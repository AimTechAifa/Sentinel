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41426210af9d495/Documents/"/>
    </mc:Choice>
  </mc:AlternateContent>
  <xr:revisionPtr revIDLastSave="0" documentId="8_{0920D97A-2196-4F12-96C1-EE51E72A70BA}" xr6:coauthVersionLast="47" xr6:coauthVersionMax="47" xr10:uidLastSave="{00000000-0000-0000-0000-000000000000}"/>
  <bookViews>
    <workbookView xWindow="-28920" yWindow="-120" windowWidth="29040" windowHeight="15720" firstSheet="25" activeTab="25" xr2:uid="{DC277D73-06C3-477C-B4EA-2E08BA63760C}"/>
  </bookViews>
  <sheets>
    <sheet name="Landing Page" sheetId="24" r:id="rId1"/>
    <sheet name="Dashboard" sheetId="23" r:id="rId2"/>
    <sheet name="README" sheetId="9" r:id="rId3"/>
    <sheet name="Technical Specifications" sheetId="25" r:id="rId4"/>
    <sheet name="Reference Data" sheetId="18" r:id="rId5"/>
    <sheet name="Applications" sheetId="1" r:id="rId6"/>
    <sheet name="Users" sheetId="5" r:id="rId7"/>
    <sheet name="Admin (Release Managers)" sheetId="4" r:id="rId8"/>
    <sheet name="Super Admins" sheetId="7" r:id="rId9"/>
    <sheet name="Releases" sheetId="3" r:id="rId10"/>
    <sheet name="Calendar" sheetId="11" r:id="rId11"/>
    <sheet name="Env booking" sheetId="6" r:id="rId12"/>
    <sheet name="Risk Factors" sheetId="17" r:id="rId13"/>
    <sheet name="Risk" sheetId="13" r:id="rId14"/>
    <sheet name="Drift" sheetId="12" r:id="rId15"/>
    <sheet name="Dependencies" sheetId="14" r:id="rId16"/>
    <sheet name="Approvals" sheetId="15" r:id="rId17"/>
    <sheet name="Leave Calendar" sheetId="10" r:id="rId18"/>
    <sheet name="Versions" sheetId="8" r:id="rId19"/>
    <sheet name="System Mapping" sheetId="2" r:id="rId20"/>
    <sheet name="Monitoring Alerts" sheetId="19" r:id="rId21"/>
    <sheet name="Incidents" sheetId="20" r:id="rId22"/>
    <sheet name="Application Status" sheetId="21" r:id="rId23"/>
    <sheet name="Planned Maintenance" sheetId="22" r:id="rId24"/>
    <sheet name="Releases_FS" sheetId="26" r:id="rId25"/>
    <sheet name="Global_Components_FS" sheetId="27" r:id="rId26"/>
    <sheet name="Calendar_FS" sheetId="28" r:id="rId27"/>
    <sheet name="EnvBooking_FS" sheetId="29" r:id="rId28"/>
    <sheet name="RiskFactors_FS" sheetId="30" r:id="rId29"/>
    <sheet name="Drift_FS" sheetId="31" r:id="rId30"/>
    <sheet name="Dependencies_FS" sheetId="32" r:id="rId31"/>
    <sheet name="Approvals_FS" sheetId="33" r:id="rId32"/>
    <sheet name="LeaveCalendar_FS" sheetId="34" r:id="rId33"/>
    <sheet name="Versions_FS" sheetId="35" r:id="rId34"/>
    <sheet name="SystemMapping_FS" sheetId="36" r:id="rId35"/>
    <sheet name="Monitoring_FS" sheetId="37" r:id="rId36"/>
    <sheet name="Incidents_FS" sheetId="38" r:id="rId37"/>
  </sheets>
  <definedNames>
    <definedName name="_xlnm._FilterDatabase" localSheetId="9" hidden="1">Releases!$A$4:$AB$84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44" i="24" l="1"/>
  <c r="G26" i="24"/>
  <c r="G23" i="24"/>
  <c r="G20" i="24"/>
  <c r="G17" i="24"/>
  <c r="G14" i="24"/>
  <c r="G11" i="24"/>
  <c r="B2" i="11" a="1"/>
  <c r="B2" i="10" a="1"/>
  <c r="I2" i="14" a="1"/>
  <c r="M3" i="12" a="1"/>
  <c r="L3" i="13" a="1"/>
  <c r="B2" i="6" a="1"/>
  <c r="AC84" i="3"/>
  <c r="AC83" i="3"/>
  <c r="AC82" i="3"/>
  <c r="AC81" i="3"/>
  <c r="AC80" i="3"/>
  <c r="AC79" i="3"/>
  <c r="AC78" i="3"/>
  <c r="AC77" i="3"/>
  <c r="AC76" i="3"/>
  <c r="AC75" i="3"/>
  <c r="AC74" i="3"/>
  <c r="AC73" i="3"/>
  <c r="AC72" i="3"/>
  <c r="AC71" i="3"/>
  <c r="AC70" i="3"/>
  <c r="AC69" i="3"/>
  <c r="AC68" i="3"/>
  <c r="AC67" i="3"/>
  <c r="AC66" i="3"/>
  <c r="AC65" i="3"/>
  <c r="AC64" i="3"/>
  <c r="AC63" i="3"/>
  <c r="AC62" i="3"/>
  <c r="AC61" i="3"/>
  <c r="AC60" i="3"/>
  <c r="AC59" i="3"/>
  <c r="AC58" i="3"/>
  <c r="AC57" i="3"/>
  <c r="AC56" i="3"/>
  <c r="AC55" i="3"/>
  <c r="AC54" i="3"/>
  <c r="AC53" i="3"/>
  <c r="AC52" i="3"/>
  <c r="AC51" i="3"/>
  <c r="AC50" i="3"/>
  <c r="AC49" i="3"/>
  <c r="AC48" i="3"/>
  <c r="AC47" i="3"/>
  <c r="AC46" i="3"/>
  <c r="AC45" i="3"/>
  <c r="AC44" i="3"/>
  <c r="AC43" i="3"/>
  <c r="AC42" i="3"/>
  <c r="AC41" i="3"/>
  <c r="AC40" i="3"/>
  <c r="AC39"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C7" i="3"/>
  <c r="AC6" i="3"/>
  <c r="AC5" i="3"/>
  <c r="E44" i="23" a="1"/>
  <c r="D44" i="23" a="1"/>
  <c r="C44" i="23" a="1"/>
  <c r="B44" i="23" a="1"/>
  <c r="J2" i="23"/>
  <c r="B31" i="23"/>
  <c r="B30" i="23"/>
  <c r="B29" i="23"/>
  <c r="B28" i="23"/>
  <c r="I31" i="23"/>
  <c r="I30" i="23" a="1"/>
  <c r="I29" i="23" a="1"/>
  <c r="I28" i="23" a="1"/>
  <c r="I27" i="23" a="1"/>
  <c r="F31" i="23" a="1"/>
  <c r="F30" i="23" a="1"/>
  <c r="F29" i="23" a="1"/>
  <c r="F28" i="23" a="1"/>
  <c r="F27" i="23" a="1"/>
  <c r="C31" i="23" a="1"/>
  <c r="C30" i="23" a="1"/>
  <c r="C29" i="23" a="1"/>
  <c r="C28" i="23" a="1"/>
  <c r="C27" i="23" a="1"/>
  <c r="I23" i="23" a="1"/>
  <c r="I22" i="23" a="1"/>
  <c r="I21" i="23" a="1"/>
  <c r="I20" i="23" a="1"/>
  <c r="I19" i="23" a="1"/>
  <c r="I18" i="23" a="1"/>
  <c r="F23" i="23" a="1"/>
  <c r="F22" i="23" a="1"/>
  <c r="F21" i="23" a="1"/>
  <c r="F20" i="23" a="1"/>
  <c r="F19" i="23" a="1"/>
  <c r="F18" i="23" a="1"/>
  <c r="C23" i="23" a="1"/>
  <c r="C22" i="23" a="1"/>
  <c r="C21" i="23" a="1"/>
  <c r="C20" i="23" a="1"/>
  <c r="C19" i="23" a="1"/>
  <c r="C18" i="23" a="1"/>
  <c r="I14" i="23" a="1"/>
  <c r="I13" i="23"/>
  <c r="I10" i="23" a="1"/>
  <c r="I9" i="23" a="1"/>
  <c r="I6" i="23" a="1"/>
  <c r="I5" i="23" a="1"/>
  <c r="F13" i="23" a="1"/>
  <c r="F12" i="23" a="1"/>
  <c r="F9" i="23" a="1"/>
  <c r="F8" i="23" a="1"/>
  <c r="F7" i="23" a="1"/>
  <c r="F6" i="23" a="1"/>
  <c r="F5" i="23" a="1"/>
  <c r="C15" i="23" a="1"/>
  <c r="C14" i="23" a="1"/>
  <c r="C13" i="23" a="1"/>
  <c r="C12" i="23" a="1"/>
  <c r="C11" i="23" a="1"/>
  <c r="C10" i="23" a="1"/>
  <c r="C9" i="23" a="1"/>
  <c r="C8" i="23" a="1"/>
  <c r="C7" i="23" a="1"/>
  <c r="C6" i="23" a="1"/>
  <c r="C5" i="23" a="1"/>
  <c r="E81" i="6" a="1"/>
  <c r="E77" i="6" a="1"/>
  <c r="E73" i="6" a="1"/>
  <c r="E69" i="6" a="1"/>
  <c r="E65" i="6" a="1"/>
  <c r="E61" i="6" a="1"/>
  <c r="E57" i="6" a="1"/>
  <c r="E53" i="6" a="1"/>
  <c r="E49" i="6" a="1"/>
  <c r="E45" i="6" a="1"/>
  <c r="E41" i="6" a="1"/>
  <c r="E37" i="6" a="1"/>
  <c r="E33" i="6" a="1"/>
  <c r="E29" i="6" a="1"/>
  <c r="E25" i="6" a="1"/>
  <c r="E21" i="6" a="1"/>
  <c r="E17" i="6" a="1"/>
  <c r="E13" i="6" a="1"/>
  <c r="E81" i="3" a="1"/>
  <c r="E77" i="3" a="1"/>
  <c r="E73" i="3" a="1"/>
  <c r="E69" i="3" a="1"/>
  <c r="E65" i="3" a="1"/>
  <c r="E61" i="3" a="1"/>
  <c r="E57" i="3" a="1"/>
  <c r="E53" i="3" a="1"/>
  <c r="E49" i="3" a="1"/>
  <c r="E45" i="3" a="1"/>
  <c r="E41" i="3" a="1"/>
  <c r="E37" i="3" a="1"/>
  <c r="E33" i="3" a="1"/>
  <c r="E29" i="3" a="1"/>
  <c r="E25" i="3" a="1"/>
  <c r="E21" i="3" a="1"/>
  <c r="E17" i="3" a="1"/>
  <c r="E13" i="3" a="1"/>
  <c r="J3" i="17"/>
  <c r="F140" i="17"/>
  <c r="E140" i="17"/>
  <c r="G119" i="17"/>
  <c r="G120" i="17"/>
  <c r="G121" i="17"/>
  <c r="G122" i="17"/>
  <c r="G123" i="17"/>
  <c r="G124" i="17"/>
  <c r="G125" i="17"/>
  <c r="G126" i="17"/>
  <c r="G127" i="17"/>
  <c r="G128" i="17"/>
  <c r="G129" i="17"/>
  <c r="G130" i="17"/>
  <c r="G131" i="17"/>
  <c r="G132" i="17"/>
  <c r="G133" i="17"/>
  <c r="G134" i="17"/>
  <c r="G135" i="17"/>
  <c r="G136" i="17"/>
  <c r="G137" i="17"/>
  <c r="G138"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AW79" i="17"/>
  <c r="AW78" i="17"/>
  <c r="AW77" i="17"/>
  <c r="AW76" i="17"/>
  <c r="AW75" i="17"/>
  <c r="AW74" i="17"/>
  <c r="AW73" i="17"/>
  <c r="AW72" i="17"/>
  <c r="AW71" i="17"/>
  <c r="AW70" i="17"/>
  <c r="AW69" i="17"/>
  <c r="AW68" i="17"/>
  <c r="R27" i="13"/>
  <c r="R33" i="13"/>
  <c r="R34" i="13"/>
  <c r="R35" i="13"/>
  <c r="E5" i="13"/>
  <c r="J5" i="13"/>
  <c r="E6" i="13"/>
  <c r="J6" i="13"/>
  <c r="E7" i="13"/>
  <c r="J7" i="13"/>
  <c r="E8" i="13"/>
  <c r="J8" i="13"/>
  <c r="E9" i="13"/>
  <c r="J9" i="13"/>
  <c r="E10" i="13"/>
  <c r="J10" i="13"/>
  <c r="E11" i="13"/>
  <c r="J11" i="13"/>
  <c r="E12" i="13"/>
  <c r="J12" i="13"/>
  <c r="E13" i="13"/>
  <c r="J13" i="13"/>
  <c r="E14" i="13"/>
  <c r="J14" i="13"/>
  <c r="E15" i="13"/>
  <c r="J15" i="13"/>
  <c r="E16" i="13"/>
  <c r="J16" i="13"/>
  <c r="E17" i="13"/>
  <c r="J17" i="13"/>
  <c r="E18" i="13"/>
  <c r="J18" i="13"/>
  <c r="E19" i="13"/>
  <c r="J19" i="13"/>
  <c r="E20" i="13"/>
  <c r="J20" i="13"/>
  <c r="E21" i="13"/>
  <c r="J21" i="13"/>
  <c r="E22" i="13"/>
  <c r="J22" i="13"/>
  <c r="E23" i="13"/>
  <c r="J23" i="13"/>
  <c r="E24" i="13"/>
  <c r="J24" i="13"/>
  <c r="E25" i="13"/>
  <c r="J25" i="13"/>
  <c r="E26" i="13"/>
  <c r="J26" i="13"/>
  <c r="E27" i="13"/>
  <c r="J27" i="13"/>
  <c r="E28" i="13"/>
  <c r="J28" i="13"/>
  <c r="E29" i="13"/>
  <c r="J29" i="13"/>
  <c r="E30" i="13"/>
  <c r="J30" i="13"/>
  <c r="E31" i="13"/>
  <c r="J31" i="13"/>
  <c r="E32" i="13"/>
  <c r="J32" i="13"/>
  <c r="E33" i="13"/>
  <c r="J33" i="13"/>
  <c r="E34" i="13"/>
  <c r="J34" i="13"/>
  <c r="E35" i="13"/>
  <c r="J35" i="13"/>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B107" i="6"/>
  <c r="B106" i="6"/>
  <c r="B105" i="6"/>
  <c r="B104" i="6"/>
  <c r="B103" i="6"/>
  <c r="B102" i="6"/>
  <c r="B101" i="6"/>
  <c r="I40" i="23" l="1"/>
  <c r="D37" i="23"/>
  <c r="B3" i="3"/>
  <c r="F47" i="23"/>
  <c r="E47" i="23"/>
  <c r="D47" i="23"/>
  <c r="C47" i="23"/>
  <c r="B47" i="23"/>
  <c r="E45" i="23"/>
  <c r="D45" i="23"/>
  <c r="C45" i="23"/>
  <c r="B45" i="23"/>
  <c r="F44" i="23"/>
  <c r="G40" i="23"/>
  <c r="E40" i="23"/>
  <c r="C40" i="23"/>
  <c r="H37" i="23"/>
  <c r="F37" i="23"/>
  <c r="B37" i="23"/>
  <c r="AX79" i="17"/>
  <c r="AX76" i="17"/>
  <c r="AX73" i="17"/>
  <c r="AX70" i="17"/>
  <c r="R30" i="13"/>
  <c r="K11" i="17"/>
  <c r="AX77" i="17"/>
  <c r="AX74" i="17"/>
  <c r="AX71" i="17"/>
  <c r="AX68" i="17"/>
  <c r="J11" i="17"/>
  <c r="R28" i="13"/>
  <c r="R31" i="13"/>
  <c r="J10" i="17"/>
  <c r="R29" i="13"/>
  <c r="AX78" i="17"/>
  <c r="AX75" i="17"/>
  <c r="AX72" i="17"/>
  <c r="AX69" i="17"/>
  <c r="G140" i="17"/>
  <c r="J7" i="17" l="1"/>
  <c r="J4" i="17"/>
  <c r="J6" i="17"/>
  <c r="J5" i="17"/>
  <c r="J8" i="17"/>
  <c r="B145" i="17"/>
  <c r="E14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tc={F0309006-7D79-4AE2-9D1B-1DBB0670F4B3}</author>
    <author>tc={AF14264F-8A43-4A05-97E8-6330C39C4F4A}</author>
    <author>tc={F46F6CDC-AE4B-4372-86C8-D74A8911ABD3}</author>
    <author>tc={6152FCB9-F136-450D-B379-B82AB41E5D64}</author>
    <author>tc={30B96B6A-00ED-4BB9-9394-A8C9F0439F1F}</author>
    <author>tc={A307E1AC-8216-4B84-82BA-44DB488B0BA5}</author>
    <author>tc={FFB6D561-FAFA-4A81-AF63-25A0D00A5B51}</author>
    <author>tc={5A4B9B46-6794-4BE9-8F5A-3164F707A26E}</author>
    <author>tc={32525F60-5CAC-490E-8120-EABFE758144D}</author>
    <author>tc={C0902078-0E97-4F8E-8D00-F0627E7C16B9}</author>
    <author>tc={BD90B856-825D-4975-8BCA-2173B73EC775}</author>
    <author>tc={767383D6-4FAF-483B-9E9A-4C8E7661D4A4}</author>
    <author>tc={79ABF32F-276A-4E1B-996E-644F8484C74C}</author>
    <author>tc={81E78845-92D0-4BF2-98D3-16574712F9FE}</author>
    <author>tc={5E23011D-5522-403E-B024-A3EB16E9CDF9}</author>
    <author>tc={87BA61F0-1CE0-42A9-A36F-7A9DB27AA739}</author>
    <author>tc={2DF49844-D9DA-4AF0-B381-1A80502C0A47}</author>
    <author>tc={AA1C334C-7EA5-4137-9F6A-A08AD0608294}</author>
    <author>tc={B1556484-DFBC-4B5E-93EE-8BB2752934DE}</author>
    <author>tc={4E0D5270-AB34-4DB8-B21E-5058976ADE0A}</author>
    <author>tc={713AE988-0C92-4A6D-83D5-206D690967F2}</author>
    <author>tc={1FC090DC-58F3-4184-95CA-D409F72B605D}</author>
    <author>tc={5295111C-9134-4265-A22B-2118C2B900AB}</author>
    <author>tc={2547B8B1-6BDF-4F0A-AAF2-69B587145A44}</author>
    <author>tc={E849D6E5-5956-4FEE-8133-32FAEFDD541D}</author>
    <author>tc={19BA223E-FDA1-445E-A520-52FDE4E9B389}</author>
    <author>tc={C5CDE005-A69A-462D-80E8-8B3E599C44C6}</author>
    <author>tc={C0986098-8AEB-466C-871B-435CFFFE5A07}</author>
    <author>tc={D33112D8-4C2B-4C3F-9B09-716EBBA1D3A5}</author>
    <author>tc={2EEDE5D7-0BB8-4A19-A456-E7D85B330D80}</author>
    <author>tc={436B59B1-B980-4094-A888-AACE92E25DBB}</author>
    <author>tc={31910DB3-C8CC-4D20-9CC1-7F4D200D2782}</author>
    <author>tc={387EEBD1-B3C7-41D3-A02C-BEA5410C4403}</author>
    <author>tc={5648D2A4-2A93-45A9-930E-30B37F6F7FF5}</author>
    <author>tc={70A36042-29AE-48F9-BDA1-3AFC9E0A7CE5}</author>
    <author>tc={EDFACCF3-B8E4-4B44-B785-7D9D58D668EC}</author>
    <author>tc={F1689D7A-5098-4796-BF1B-77A23947794D}</author>
    <author>tc={A605FFF5-E10E-4B07-A8DF-E6AE0ADE2781}</author>
    <author>tc={24E61E60-646E-4D33-BCEC-B1AAE265EDF9}</author>
    <author>tc={31BB31E4-A635-4FB6-BB33-EF7B1DCBE443}</author>
    <author>tc={A0AC79AB-4546-4F69-8E8B-9E61CDC44965}</author>
    <author>tc={D40B9CC0-EB78-4897-9615-C160FA2834D8}</author>
    <author>tc={420ED592-1242-427F-8301-BB43C8947473}</author>
    <author>tc={C858CEE4-DAED-4473-93F0-F4DD290FF67E}</author>
    <author>tc={D4714BEE-9843-420B-BDB4-9FCC58D8D866}</author>
    <author>tc={5FA26CE4-7540-41B4-9E75-2D5EEF086820}</author>
    <author>tc={C3978A0C-D002-4F94-89DE-2CA936E2CEE4}</author>
    <author>tc={32867735-6567-4594-9104-1B7A6013920B}</author>
    <author>tc={4C914ED0-CE26-468A-B313-048250DCAF2F}</author>
    <author>tc={139BA4B2-EA8C-49D3-9C4A-4ED015292ACF}</author>
    <author>tc={B1BF2EC1-54A7-49C0-8DF8-72D3715335D3}</author>
    <author>tc={1C93BA73-4BC4-4846-A30D-35F4736818FC}</author>
    <author>tc={08E674ED-34CA-4D9D-8CFF-FF0E442C580B}</author>
    <author>tc={E8551B8F-2708-4708-AF56-5FD95382D668}</author>
    <author>tc={824EC9F1-D7EB-4ACF-A17A-F49390E08F1A}</author>
    <author>tc={3D987C9B-DE9D-402B-968F-162B9ECE3047}</author>
    <author>tc={84E317F3-3082-4317-A3F9-8336A2763696}</author>
    <author>tc={6E9E87B1-AA4B-4837-8D83-893630842809}</author>
    <author>tc={179CC6F0-3347-40E7-9F86-DF0440538CCE}</author>
    <author>tc={5868391E-176F-4C30-8B7B-641320594301}</author>
    <author>tc={C2C1D4FE-43F4-4F26-98DB-C44548488C65}</author>
    <author>tc={B95B58D0-745F-40F6-8D1A-E7A9CB9EC5CE}</author>
    <author>tc={1E4D48E3-C83D-4F4F-A93F-3F4F5CE37600}</author>
    <author>tc={BD7DEB45-92F3-4CB8-81E6-228BC961005F}</author>
    <author>tc={799791C5-0FDD-4E6C-8C7E-4E9E40A080B8}</author>
    <author>tc={2B594DF5-8D2E-43E4-BB79-6072034B02DF}</author>
    <author>tc={8C906281-3D27-468E-AE61-E4F4D10DE777}</author>
    <author>tc={59A624D6-149A-4B9E-B3C1-A302138B388D}</author>
    <author>tc={650CA4AA-D67F-415A-8BCE-575F60C7BC38}</author>
    <author>tc={50537D73-F7E1-43ED-91CB-3F2B117CA542}</author>
    <author>tc={384B6A70-C780-4452-8299-9A9C3DEFF1AC}</author>
    <author>tc={B5C9F3A9-B07A-49E3-9F47-FE46508AEF77}</author>
    <author>tc={9E51EDBA-4746-4E5C-9BCF-F99C9A661D71}</author>
    <author>tc={B4C6D08F-B1FA-4E2A-A49A-8227BC68DA54}</author>
    <author>tc={50A0CCB9-ADBB-4B0B-8840-16B41061E251}</author>
    <author>tc={0F694D4C-4440-4256-B6F3-8517958231FB}</author>
    <author>tc={1087A740-5AD1-4E3B-827C-470DE78855DC}</author>
    <author>tc={5D416B25-9E96-4D34-8449-73788F4565FA}</author>
    <author>tc={1D2333A6-3C51-42B1-9C86-46AE328F5009}</author>
    <author>tc={8598B092-A1C4-4B41-855A-98B519D03A9C}</author>
    <author>tc={981DC5F3-5E8E-43E6-8514-47C6CA897933}</author>
    <author>tc={F95E2B89-1821-4066-A3FC-398720D16920}</author>
    <author>tc={D50A12A9-F319-4D57-A49B-BBE3797A2E1D}</author>
    <author>tc={4D8CAB68-135D-4B1C-BC7C-1FE956A30EC0}</author>
    <author>tc={FE443512-8ED2-4E16-8BBD-D405B4396667}</author>
    <author>tc={A8A93EF8-D7E5-45B4-9AF3-7F867294EA5C}</author>
    <author>tc={B713B935-A5D9-4EF4-87D6-D7736CC8A09B}</author>
    <author>tc={2079573F-A38F-4DD7-800D-FA66B822E63C}</author>
  </authors>
  <commentList>
    <comment ref="B1" authorId="0" shapeId="0" xr:uid="{F0309006-7D79-4AE2-9D1B-1DBB0670F4B3}">
      <text>
        <t>[Threaded comment]
Your version of Excel allows you to read this threaded comment; however, any edits to it will get removed if the file is opened in a newer version of Excel. Learn more: https://go.microsoft.com/fwlink/?linkid=870924
Comment:
    RELEASE DESK DASHBOARD: Enterprise Release Management Dashboard for real-time visibility.</t>
      </text>
    </comment>
    <comment ref="J1" authorId="1" shapeId="0" xr:uid="{AF14264F-8A43-4A05-97E8-6330C39C4F4A}">
      <text>
        <t>[Threaded comment]
Your version of Excel allows you to read this threaded comment; however, any edits to it will get removed if the file is opened in a newer version of Excel. Learn more: https://go.microsoft.com/fwlink/?linkid=870924
Comment:
    Last Refresh: Auto-updates when workbook recalculates.</t>
      </text>
    </comment>
    <comment ref="B2" authorId="2" shapeId="0" xr:uid="{F46F6CDC-AE4B-4372-86C8-D74A8911ABD3}">
      <text>
        <t>[Threaded comment]
Your version of Excel allows you to read this threaded comment; however, any edits to it will get removed if the file is opened in a newer version of Excel. Learn more: https://go.microsoft.com/fwlink/?linkid=870924
Comment:
    🔍 FILTERS: Use dropdowns to filter all dashboard metrics.</t>
      </text>
    </comment>
    <comment ref="D2" authorId="3" shapeId="0" xr:uid="{6152FCB9-F136-450D-B379-B82AB41E5D64}">
      <text>
        <t>[Threaded comment]
Your version of Excel allows you to read this threaded comment; however, any edits to it will get removed if the file is opened in a newer version of Excel. Learn more: https://go.microsoft.com/fwlink/?linkid=870924
Comment:
    Time Period: All Time | Today | This Week | This Month | This Year</t>
      </text>
    </comment>
    <comment ref="F2" authorId="4" shapeId="0" xr:uid="{30B96B6A-00ED-4BB9-9394-A8C9F0439F1F}">
      <text>
        <t>[Threaded comment]
Your version of Excel allows you to read this threaded comment; however, any edits to it will get removed if the file is opened in a newer version of Excel. Learn more: https://go.microsoft.com/fwlink/?linkid=870924
Comment:
    Department: Filter by department or select 'All'.</t>
      </text>
    </comment>
    <comment ref="H2" authorId="5" shapeId="0" xr:uid="{A307E1AC-8216-4B84-82BA-44DB488B0BA5}">
      <text>
        <t>[Threaded comment]
Your version of Excel allows you to read this threaded comment; however, any edits to it will get removed if the file is opened in a newer version of Excel. Learn more: https://go.microsoft.com/fwlink/?linkid=870924
Comment:
    Application: Filter by application or select 'All'.</t>
      </text>
    </comment>
    <comment ref="B4" authorId="6" shapeId="0" xr:uid="{FFB6D561-FAFA-4A81-AF63-25A0D00A5B51}">
      <text>
        <t>[Threaded comment]
Your version of Excel allows you to read this threaded comment; however, any edits to it will get removed if the file is opened in a newer version of Excel. Learn more: https://go.microsoft.com/fwlink/?linkid=870924
Comment:
    📦 RELEASE PIPELINE
Overview of all releases in the system, filtered by your selected time period, department, and application.</t>
      </text>
    </comment>
    <comment ref="E4" authorId="7" shapeId="0" xr:uid="{5A4B9B46-6794-4BE9-8F5A-3164F707A26E}">
      <text>
        <t>[Threaded comment]
Your version of Excel allows you to read this threaded comment; however, any edits to it will get removed if the file is opened in a newer version of Excel. Learn more: https://go.microsoft.com/fwlink/?linkid=870924
Comment:
    ⚠️ RELEASE CONFLICTS &amp; RISKS
Identifies scheduling conflicts and risk levels. High numbers indicate potential deployment issues.</t>
      </text>
    </comment>
    <comment ref="H4" authorId="8" shapeId="0" xr:uid="{32525F60-5CAC-490E-8120-EABFE758144D}">
      <text>
        <t>[Threaded comment]
Your version of Excel allows you to read this threaded comment; however, any edits to it will get removed if the file is opened in a newer version of Excel. Learn more: https://go.microsoft.com/fwlink/?linkid=870924
Comment:
    🖥️ ENVIRONMENT BOOKINGS: Test and UAT environment utilization tracking.</t>
      </text>
    </comment>
    <comment ref="B5" authorId="9" shapeId="0" xr:uid="{C0902078-0E97-4F8E-8D00-F0627E7C16B9}">
      <text>
        <t>[Threaded comment]
Your version of Excel allows you to read this threaded comment; however, any edits to it will get removed if the file is opened in a newer version of Excel. Learn more: https://go.microsoft.com/fwlink/?linkid=870924
Comment:
    Total Releases: The complete count of all releases matching your current filter criteria. Includes all statuses.</t>
      </text>
    </comment>
    <comment ref="E5" authorId="10" shapeId="0" xr:uid="{BD90B856-825D-4975-8BCA-2173B73EC775}">
      <text>
        <t>[Threaded comment]
Your version of Excel allows you to read this threaded comment; however, any edits to it will get removed if the file is opened in a newer version of Excel. Learn more: https://go.microsoft.com/fwlink/?linkid=870924
Comment:
    Active Conflicts: Releases with scheduling or resource conflicts (overlapping windows, shared environments).</t>
      </text>
    </comment>
    <comment ref="H5" authorId="11" shapeId="0" xr:uid="{767383D6-4FAF-483B-9E9A-4C8E7661D4A4}">
      <text>
        <t>[Threaded comment]
Your version of Excel allows you to read this threaded comment; however, any edits to it will get removed if the file is opened in a newer version of Excel. Learn more: https://go.microsoft.com/fwlink/?linkid=870924
Comment:
    Env Conflicts: Environment booking conflicts requiring scheduling resolution.</t>
      </text>
    </comment>
    <comment ref="B6" authorId="12" shapeId="0" xr:uid="{79ABF32F-276A-4E1B-996E-644F8484C74C}">
      <text>
        <t>[Threaded comment]
Your version of Excel allows you to read this threaded comment; however, any edits to it will get removed if the file is opened in a newer version of Excel. Learn more: https://go.microsoft.com/fwlink/?linkid=870924
Comment:
    Blocked: Releases that are currently blocked and cannot proceed. Require immediate attention.</t>
      </text>
    </comment>
    <comment ref="E6" authorId="13" shapeId="0" xr:uid="{81E78845-92D0-4BF2-98D3-16574712F9FE}">
      <text>
        <t>[Threaded comment]
Your version of Excel allows you to read this threaded comment; however, any edits to it will get removed if the file is opened in a newer version of Excel. Learn more: https://go.microsoft.com/fwlink/?linkid=870924
Comment:
    Critical Risk (20+): Requires executive attention and detailed mitigation plans.</t>
      </text>
    </comment>
    <comment ref="H6" authorId="14" shapeId="0" xr:uid="{5E23011D-5522-403E-B024-A3EB16E9CDF9}">
      <text>
        <t>[Threaded comment]
Your version of Excel allows you to read this threaded comment; however, any edits to it will get removed if the file is opened in a newer version of Excel. Learn more: https://go.microsoft.com/fwlink/?linkid=870924
Comment:
    Env Bookings Active: Total active environment reservations.</t>
      </text>
    </comment>
    <comment ref="B7" authorId="15" shapeId="0" xr:uid="{87BA61F0-1CE0-42A9-A36F-7A9DB27AA739}">
      <text>
        <t>[Threaded comment]
Your version of Excel allows you to read this threaded comment; however, any edits to it will get removed if the file is opened in a newer version of Excel. Learn more: https://go.microsoft.com/fwlink/?linkid=870924
Comment:
    Approved: Releases that have received all necessary approvals and are cleared for deployment.</t>
      </text>
    </comment>
    <comment ref="E7" authorId="16" shapeId="0" xr:uid="{2DF49844-D9DA-4AF0-B381-1A80502C0A47}">
      <text>
        <t>[Threaded comment]
Your version of Excel allows you to read this threaded comment; however, any edits to it will get removed if the file is opened in a newer version of Excel. Learn more: https://go.microsoft.com/fwlink/?linkid=870924
Comment:
    High Risk (15-19): Elevated risk, requires additional review and contingency planning.</t>
      </text>
    </comment>
    <comment ref="B8" authorId="17" shapeId="0" xr:uid="{AA1C334C-7EA5-4137-9F6A-A08AD0608294}">
      <text>
        <t>[Threaded comment]
Your version of Excel allows you to read this threaded comment; however, any edits to it will get removed if the file is opened in a newer version of Excel. Learn more: https://go.microsoft.com/fwlink/?linkid=870924
Comment:
    Testing: Releases currently in the testing phase (unit, integration, QA).</t>
      </text>
    </comment>
    <comment ref="E8" authorId="18" shapeId="0" xr:uid="{B1556484-DFBC-4B5E-93EE-8BB2752934DE}">
      <text>
        <t>[Threaded comment]
Your version of Excel allows you to read this threaded comment; however, any edits to it will get removed if the file is opened in a newer version of Excel. Learn more: https://go.microsoft.com/fwlink/?linkid=870924
Comment:
    Medium Risk (10-14): Moderate risk, standard change management applies.</t>
      </text>
    </comment>
    <comment ref="H8" authorId="19" shapeId="0" xr:uid="{4E0D5270-AB34-4DB8-B21E-5058976ADE0A}">
      <text>
        <t>[Threaded comment]
Your version of Excel allows you to read this threaded comment; however, any edits to it will get removed if the file is opened in a newer version of Excel. Learn more: https://go.microsoft.com/fwlink/?linkid=870924
Comment:
    🔗 DEPENDENCIES: Inter-release and system dependencies affecting scheduling.</t>
      </text>
    </comment>
    <comment ref="B9" authorId="20" shapeId="0" xr:uid="{713AE988-0C92-4A6D-83D5-206D690967F2}">
      <text>
        <t>[Threaded comment]
Your version of Excel allows you to read this threaded comment; however, any edits to it will get removed if the file is opened in a newer version of Excel. Learn more: https://go.microsoft.com/fwlink/?linkid=870924
Comment:
    Planning: Releases in planning stage. Requirements and scheduling being finalized.</t>
      </text>
    </comment>
    <comment ref="E9" authorId="21" shapeId="0" xr:uid="{1FC090DC-58F3-4184-95CA-D409F72B605D}">
      <text>
        <t>[Threaded comment]
Your version of Excel allows you to read this threaded comment; however, any edits to it will get removed if the file is opened in a newer version of Excel. Learn more: https://go.microsoft.com/fwlink/?linkid=870924
Comment:
    Low Risk (&lt;10): Minimal risk, routine changes with proven rollback.</t>
      </text>
    </comment>
    <comment ref="H9" authorId="22" shapeId="0" xr:uid="{5295111C-9134-4265-A22B-2118C2B900AB}">
      <text>
        <t>[Threaded comment]
Your version of Excel allows you to read this threaded comment; however, any edits to it will get removed if the file is opened in a newer version of Excel. Learn more: https://go.microsoft.com/fwlink/?linkid=870924
Comment:
    Blocked Dependencies: Dependencies blocking release progress.</t>
      </text>
    </comment>
    <comment ref="B10" authorId="23" shapeId="0" xr:uid="{2547B8B1-6BDF-4F0A-AAF2-69B587145A44}">
      <text>
        <t>[Threaded comment]
Your version of Excel allows you to read this threaded comment; however, any edits to it will get removed if the file is opened in a newer version of Excel. Learn more: https://go.microsoft.com/fwlink/?linkid=870924
Comment:
    Draft: Releases in draft status. Initial documentation being prepared.</t>
      </text>
    </comment>
    <comment ref="H10" authorId="24" shapeId="0" xr:uid="{E849D6E5-5956-4FEE-8133-32FAEFDD541D}">
      <text>
        <t>[Threaded comment]
Your version of Excel allows you to read this threaded comment; however, any edits to it will get removed if the file is opened in a newer version of Excel. Learn more: https://go.microsoft.com/fwlink/?linkid=870924
Comment:
    Total Dependencies: All tracked upstream/downstream dependencies.</t>
      </text>
    </comment>
    <comment ref="B11" authorId="25" shapeId="0" xr:uid="{19BA223E-FDA1-445E-A520-52FDE4E9B389}">
      <text>
        <t>[Threaded comment]
Your version of Excel allows you to read this threaded comment; however, any edits to it will get removed if the file is opened in a newer version of Excel. Learn more: https://go.microsoft.com/fwlink/?linkid=870924
Comment:
    Pending CAB: Releases awaiting Change Advisory Board review and approval.</t>
      </text>
    </comment>
    <comment ref="E11" authorId="26" shapeId="0" xr:uid="{C5CDE005-A69A-462D-80E8-8B3E599C44C6}">
      <text>
        <t>[Threaded comment]
Your version of Excel allows you to read this threaded comment; however, any edits to it will get removed if the file is opened in a newer version of Excel. Learn more: https://go.microsoft.com/fwlink/?linkid=870924
Comment:
    📋 CAB &amp; APPROVALS: Change Advisory Board meeting schedule and approval pipeline.</t>
      </text>
    </comment>
    <comment ref="B12" authorId="27" shapeId="0" xr:uid="{C0986098-8AEB-466C-871B-435CFFFE5A07}">
      <text>
        <t>[Threaded comment]
Your version of Excel allows you to read this threaded comment; however, any edits to it will get removed if the file is opened in a newer version of Excel. Learn more: https://go.microsoft.com/fwlink/?linkid=870924
Comment:
    P1 - Critical: Highest priority. Security patches, critical fixes. Target SLA: 24-48 hours.</t>
      </text>
    </comment>
    <comment ref="E12" authorId="28" shapeId="0" xr:uid="{D33112D8-4C2B-4C3F-9B09-716EBBA1D3A5}">
      <text>
        <t>[Threaded comment]
Your version of Excel allows you to read this threaded comment; however, any edits to it will get removed if the file is opened in a newer version of Excel. Learn more: https://go.microsoft.com/fwlink/?linkid=870924
Comment:
    CAB Meetings: Number of CAB meetings scheduled within selected time period.</t>
      </text>
    </comment>
    <comment ref="H12" authorId="29" shapeId="0" xr:uid="{2EEDE5D7-0BB8-4A19-A456-E7D85B330D80}">
      <text>
        <t>[Threaded comment]
Your version of Excel allows you to read this threaded comment; however, any edits to it will get removed if the file is opened in a newer version of Excel. Learn more: https://go.microsoft.com/fwlink/?linkid=870924
Comment:
    👥 RESOURCE AVAILABILITY: Staff availability for release activities.</t>
      </text>
    </comment>
    <comment ref="B13" authorId="30" shapeId="0" xr:uid="{436B59B1-B980-4094-A888-AACE92E25DBB}">
      <text>
        <t>[Threaded comment]
Your version of Excel allows you to read this threaded comment; however, any edits to it will get removed if the file is opened in a newer version of Excel. Learn more: https://go.microsoft.com/fwlink/?linkid=870924
Comment:
    P2 - High: Significant business impact. Target SLA: 1-2 weeks.</t>
      </text>
    </comment>
    <comment ref="E13" authorId="31" shapeId="0" xr:uid="{31910DB3-C8CC-4D20-9CC1-7F4D200D2782}">
      <text>
        <t>[Threaded comment]
Your version of Excel allows you to read this threaded comment; however, any edits to it will get removed if the file is opened in a newer version of Excel. Learn more: https://go.microsoft.com/fwlink/?linkid=870924
Comment:
    Pending Approvals: Releases awaiting approval (CAB review or sign-offs).</t>
      </text>
    </comment>
    <comment ref="H13" authorId="32" shapeId="0" xr:uid="{387EEBD1-B3C7-41D3-A02C-BEA5410C4403}">
      <text>
        <t>[Threaded comment]
Your version of Excel allows you to read this threaded comment; however, any edits to it will get removed if the file is opened in a newer version of Excel. Learn more: https://go.microsoft.com/fwlink/?linkid=870924
Comment:
    Staff on Leave Today: Team members on leave today.</t>
      </text>
    </comment>
    <comment ref="B14" authorId="33" shapeId="0" xr:uid="{5648D2A4-2A93-45A9-930E-30B37F6F7FF5}">
      <text>
        <t>[Threaded comment]
Your version of Excel allows you to read this threaded comment; however, any edits to it will get removed if the file is opened in a newer version of Excel. Learn more: https://go.microsoft.com/fwlink/?linkid=870924
Comment:
    P3 - Medium: Planned enhancements, non-critical fixes. Target SLA: 2-4 weeks.</t>
      </text>
    </comment>
    <comment ref="H14" authorId="34" shapeId="0" xr:uid="{70A36042-29AE-48F9-BDA1-3AFC9E0A7CE5}">
      <text>
        <t>[Threaded comment]
Your version of Excel allows you to read this threaded comment; however, any edits to it will get removed if the file is opened in a newer version of Excel. Learn more: https://go.microsoft.com/fwlink/?linkid=870924
Comment:
    Staff on Leave (7 Days): Total leave days in next 7 days.</t>
      </text>
    </comment>
    <comment ref="B15" authorId="35" shapeId="0" xr:uid="{EDFACCF3-B8E4-4B44-B785-7D9D58D668EC}">
      <text>
        <t>[Threaded comment]
Your version of Excel allows you to read this threaded comment; however, any edits to it will get removed if the file is opened in a newer version of Excel. Learn more: https://go.microsoft.com/fwlink/?linkid=870924
Comment:
    P4 - Low: Minor improvements, cosmetic changes. Target SLA: 4-8 weeks.</t>
      </text>
    </comment>
    <comment ref="B17" authorId="36" shapeId="0" xr:uid="{F1689D7A-5098-4796-BF1B-77A23947794D}">
      <text>
        <t>[Threaded comment]
Your version of Excel allows you to read this threaded comment; however, any edits to it will get removed if the file is opened in a newer version of Excel. Learn more: https://go.microsoft.com/fwlink/?linkid=870924
Comment:
    🚨 MONITORING ALERTS: Real-time infrastructure and application alerts.</t>
      </text>
    </comment>
    <comment ref="E17" authorId="37" shapeId="0" xr:uid="{A605FFF5-E10E-4B07-A8DF-E6AE0ADE2781}">
      <text>
        <t>[Threaded comment]
Your version of Excel allows you to read this threaded comment; however, any edits to it will get removed if the file is opened in a newer version of Excel. Learn more: https://go.microsoft.com/fwlink/?linkid=870924
Comment:
    🔥 INCIDENTS: Active incidents affecting production and non-production environments.</t>
      </text>
    </comment>
    <comment ref="H17" authorId="38" shapeId="0" xr:uid="{24E61E60-646E-4D33-BCEC-B1AAE265EDF9}">
      <text>
        <t>[Threaded comment]
Your version of Excel allows you to read this threaded comment; however, any edits to it will get removed if the file is opened in a newer version of Excel. Learn more: https://go.microsoft.com/fwlink/?linkid=870924
Comment:
    📊 APPLICATION AVAILABILITY: Real-time health status across all environments.</t>
      </text>
    </comment>
    <comment ref="B18" authorId="39" shapeId="0" xr:uid="{31BB31E4-A635-4FB6-BB33-EF7B1DCBE443}">
      <text>
        <t>[Threaded comment]
Your version of Excel allows you to read this threaded comment; however, any edits to it will get removed if the file is opened in a newer version of Excel. Learn more: https://go.microsoft.com/fwlink/?linkid=870924
Comment:
    Critical Alerts: CRITICAL severity. Requires immediate action (&lt;15 min response).</t>
      </text>
    </comment>
    <comment ref="E18" authorId="40" shapeId="0" xr:uid="{A0AC79AB-4546-4F69-8E8B-9E61CDC44965}">
      <text>
        <t>[Threaded comment]
Your version of Excel allows you to read this threaded comment; however, any edits to it will get removed if the file is opened in a newer version of Excel. Learn more: https://go.microsoft.com/fwlink/?linkid=870924
Comment:
    P1 Incidents: Severity 1 - Critical. Major business impact. Target: &lt;4 hours.</t>
      </text>
    </comment>
    <comment ref="H18" authorId="41" shapeId="0" xr:uid="{D40B9CC0-EB78-4897-9615-C160FA2834D8}">
      <text>
        <t>[Threaded comment]
Your version of Excel allows you to read this threaded comment; however, any edits to it will get removed if the file is opened in a newer version of Excel. Learn more: https://go.microsoft.com/fwlink/?linkid=870924
Comment:
    Apps Down - Production: 🔴 CRITICAL. Production apps unavailable. Immediate business impact.</t>
      </text>
    </comment>
    <comment ref="B19" authorId="42" shapeId="0" xr:uid="{420ED592-1242-427F-8301-BB43C8947473}">
      <text>
        <t>[Threaded comment]
Your version of Excel allows you to read this threaded comment; however, any edits to it will get removed if the file is opened in a newer version of Excel. Learn more: https://go.microsoft.com/fwlink/?linkid=870924
Comment:
    Warning Alerts: WARNING severity. Potential issue developing (&lt;1 hour response).</t>
      </text>
    </comment>
    <comment ref="E19" authorId="43" shapeId="0" xr:uid="{C858CEE4-DAED-4473-93F0-F4DD290FF67E}">
      <text>
        <t>[Threaded comment]
Your version of Excel allows you to read this threaded comment; however, any edits to it will get removed if the file is opened in a newer version of Excel. Learn more: https://go.microsoft.com/fwlink/?linkid=870924
Comment:
    P2 Incidents: Severity 2 - High. Significant impact. Target: &lt;8 hours.</t>
      </text>
    </comment>
    <comment ref="H19" authorId="44" shapeId="0" xr:uid="{D4714BEE-9843-420B-BDB4-9FCC58D8D866}">
      <text>
        <t>[Threaded comment]
Your version of Excel allows you to read this threaded comment; however, any edits to it will get removed if the file is opened in a newer version of Excel. Learn more: https://go.microsoft.com/fwlink/?linkid=870924
Comment:
    Apps Degraded - Production: 🟡 WARNING. Reduced functionality or performance.</t>
      </text>
    </comment>
    <comment ref="B20" authorId="45" shapeId="0" xr:uid="{5FA26CE4-7540-41B4-9E75-2D5EEF086820}">
      <text>
        <t>[Threaded comment]
Your version of Excel allows you to read this threaded comment; however, any edits to it will get removed if the file is opened in a newer version of Excel. Learn more: https://go.microsoft.com/fwlink/?linkid=870924
Comment:
    Info Alerts: INFO severity. Informational notifications.</t>
      </text>
    </comment>
    <comment ref="E20" authorId="46" shapeId="0" xr:uid="{C3978A0C-D002-4F94-89DE-2CA936E2CEE4}">
      <text>
        <t>[Threaded comment]
Your version of Excel allows you to read this threaded comment; however, any edits to it will get removed if the file is opened in a newer version of Excel. Learn more: https://go.microsoft.com/fwlink/?linkid=870924
Comment:
    P3 Incidents: Severity 3 - Medium. Minor impact. Target: &lt;24 hours.</t>
      </text>
    </comment>
    <comment ref="H20" authorId="47" shapeId="0" xr:uid="{32867735-6567-4594-9104-1B7A6013920B}">
      <text>
        <t>[Threaded comment]
Your version of Excel allows you to read this threaded comment; however, any edits to it will get removed if the file is opened in a newer version of Excel. Learn more: https://go.microsoft.com/fwlink/?linkid=870924
Comment:
    Apps Healthy - Production: 🟢 HEALTHY. Operating normally.</t>
      </text>
    </comment>
    <comment ref="B21" authorId="48" shapeId="0" xr:uid="{4C914ED0-CE26-468A-B313-048250DCAF2F}">
      <text>
        <t>[Threaded comment]
Your version of Excel allows you to read this threaded comment; however, any edits to it will get removed if the file is opened in a newer version of Excel. Learn more: https://go.microsoft.com/fwlink/?linkid=870924
Comment:
    Acknowledged: Alerts acknowledged by ops team, under investigation.</t>
      </text>
    </comment>
    <comment ref="E21" authorId="49" shapeId="0" xr:uid="{139BA4B2-EA8C-49D3-9C4A-4ED015292ACF}">
      <text>
        <t>[Threaded comment]
Your version of Excel allows you to read this threaded comment; however, any edits to it will get removed if the file is opened in a newer version of Excel. Learn more: https://go.microsoft.com/fwlink/?linkid=870924
Comment:
    Investigating: Incidents under active investigation.</t>
      </text>
    </comment>
    <comment ref="H21" authorId="50" shapeId="0" xr:uid="{B1BF2EC1-54A7-49C0-8DF8-72D3715335D3}">
      <text>
        <t>[Threaded comment]
Your version of Excel allows you to read this threaded comment; however, any edits to it will get removed if the file is opened in a newer version of Excel. Learn more: https://go.microsoft.com/fwlink/?linkid=870924
Comment:
    Apps Down - Lower Env: Non-production apps unavailable. May block testing.</t>
      </text>
    </comment>
    <comment ref="B22" authorId="51" shapeId="0" xr:uid="{1C93BA73-4BC4-4846-A30D-35F4736818FC}">
      <text>
        <t>[Threaded comment]
Your version of Excel allows you to read this threaded comment; however, any edits to it will get removed if the file is opened in a newer version of Excel. Learn more: https://go.microsoft.com/fwlink/?linkid=870924
Comment:
    Resolved (24h): Alerts resolved in past 24 hours.</t>
      </text>
    </comment>
    <comment ref="E22" authorId="52" shapeId="0" xr:uid="{08E674ED-34CA-4D9D-8CFF-FF0E442C580B}">
      <text>
        <t>[Threaded comment]
Your version of Excel allows you to read this threaded comment; however, any edits to it will get removed if the file is opened in a newer version of Excel. Learn more: https://go.microsoft.com/fwlink/?linkid=870924
Comment:
    Resolved (24h): Incidents resolved in past 24 hours.</t>
      </text>
    </comment>
    <comment ref="H22" authorId="53" shapeId="0" xr:uid="{E8551B8F-2708-4708-AF56-5FD95382D668}">
      <text>
        <t>[Threaded comment]
Your version of Excel allows you to read this threaded comment; however, any edits to it will get removed if the file is opened in a newer version of Excel. Learn more: https://go.microsoft.com/fwlink/?linkid=870924
Comment:
    Apps Degraded - Lower Env: Non-production apps with issues.</t>
      </text>
    </comment>
    <comment ref="B23" authorId="54" shapeId="0" xr:uid="{824EC9F1-D7EB-4ACF-A17A-F49390E08F1A}">
      <text>
        <t>[Threaded comment]
Your version of Excel allows you to read this threaded comment; however, any edits to it will get removed if the file is opened in a newer version of Excel. Learn more: https://go.microsoft.com/fwlink/?linkid=870924
Comment:
    Total Active Alerts: Sum of all unresolved alerts. Key health indicator.</t>
      </text>
    </comment>
    <comment ref="E23" authorId="55" shapeId="0" xr:uid="{3D987C9B-DE9D-402B-968F-162B9ECE3047}">
      <text>
        <t>[Threaded comment]
Your version of Excel allows you to read this threaded comment; however, any edits to it will get removed if the file is opened in a newer version of Excel. Learn more: https://go.microsoft.com/fwlink/?linkid=870924
Comment:
    Total Active Incidents: All unresolved incidents. Key operational health indicator.</t>
      </text>
    </comment>
    <comment ref="H23" authorId="56" shapeId="0" xr:uid="{84E317F3-3082-4317-A3F9-8336A2763696}">
      <text>
        <t>[Threaded comment]
Your version of Excel allows you to read this threaded comment; however, any edits to it will get removed if the file is opened in a newer version of Excel. Learn more: https://go.microsoft.com/fwlink/?linkid=870924
Comment:
    Total App-Env Records: Total application-environment combinations monitored.</t>
      </text>
    </comment>
    <comment ref="B26" authorId="57" shapeId="0" xr:uid="{6E9E87B1-AA4B-4837-8D83-893630842809}">
      <text>
        <t>[Threaded comment]
Your version of Excel allows you to read this threaded comment; however, any edits to it will get removed if the file is opened in a newer version of Excel. Learn more: https://go.microsoft.com/fwlink/?linkid=870924
Comment:
    🔧 PLANNED MAINTENANCE: Scheduled maintenance windows and infrastructure activities.</t>
      </text>
    </comment>
    <comment ref="E26" authorId="58" shapeId="0" xr:uid="{179CC6F0-3347-40E7-9F86-DF0440538CCE}">
      <text>
        <t>[Threaded comment]
Your version of Excel allows you to read this threaded comment; however, any edits to it will get removed if the file is opened in a newer version of Excel. Learn more: https://go.microsoft.com/fwlink/?linkid=870924
Comment:
    ❄️ CHANGE FREEZE: Releases affected by freeze periods. No deployments except emergencies.</t>
      </text>
    </comment>
    <comment ref="H26" authorId="59" shapeId="0" xr:uid="{5868391E-176F-4C30-8B7B-641320594301}">
      <text>
        <t>[Threaded comment]
Your version of Excel allows you to read this threaded comment; however, any edits to it will get removed if the file is opened in a newer version of Excel. Learn more: https://go.microsoft.com/fwlink/?linkid=870924
Comment:
    📈 QUICK STATS: Key release metrics and readiness indicators for executive overview.</t>
      </text>
    </comment>
    <comment ref="B27" authorId="60" shapeId="0" xr:uid="{C2C1D4FE-43F4-4F26-98DB-C44548488C65}">
      <text>
        <t>[Threaded comment]
Your version of Excel allows you to read this threaded comment; however, any edits to it will get removed if the file is opened in a newer version of Excel. Learn more: https://go.microsoft.com/fwlink/?linkid=870924
Comment:
    Scheduled Today: Maintenance activities scheduled for today.</t>
      </text>
    </comment>
    <comment ref="E27" authorId="61" shapeId="0" xr:uid="{B95B58D0-745F-40F6-8D1A-E7A9CB9EC5CE}">
      <text>
        <t>[Threaded comment]
Your version of Excel allows you to read this threaded comment; however, any edits to it will get removed if the file is opened in a newer version of Excel. Learn more: https://go.microsoft.com/fwlink/?linkid=870924
Comment:
    Quarter-End Freeze: Releases during quarter-end (finance system lockdown).</t>
      </text>
    </comment>
    <comment ref="H27" authorId="62" shapeId="0" xr:uid="{1E4D48E3-C83D-4F4F-A93F-3F4F5CE37600}">
      <text>
        <t>[Threaded comment]
Your version of Excel allows you to read this threaded comment; however, any edits to it will get removed if the file is opened in a newer version of Excel. Learn more: https://go.microsoft.com/fwlink/?linkid=870924
Comment:
    Releases This Week: Releases scheduled in next 7 days. Capacity planning metric.</t>
      </text>
    </comment>
    <comment ref="B28" authorId="63" shapeId="0" xr:uid="{BD7DEB45-92F3-4CB8-81E6-228BC961005F}">
      <text>
        <t>[Threaded comment]
Your version of Excel allows you to read this threaded comment; however, any edits to it will get removed if the file is opened in a newer version of Excel. Learn more: https://go.microsoft.com/fwlink/?linkid=870924
Comment:
    DB Refreshes: Database refresh activities (copies prod data to lower envs).</t>
      </text>
    </comment>
    <comment ref="E28" authorId="64" shapeId="0" xr:uid="{799791C5-0FDD-4E6C-8C7E-4E9E40A080B8}">
      <text>
        <t>[Threaded comment]
Your version of Excel allows you to read this threaded comment; however, any edits to it will get removed if the file is opened in a newer version of Excel. Learn more: https://go.microsoft.com/fwlink/?linkid=870924
Comment:
    Year-End Freeze: Releases during year-end (Dec-Jan annual close).</t>
      </text>
    </comment>
    <comment ref="H28" authorId="65" shapeId="0" xr:uid="{2B594DF5-8D2E-43E4-BB79-6072034B02DF}">
      <text>
        <t>[Threaded comment]
Your version of Excel allows you to read this threaded comment; however, any edits to it will get removed if the file is opened in a newer version of Excel. Learn more: https://go.microsoft.com/fwlink/?linkid=870924
Comment:
    Releases This Month: Releases scheduled in next 30 days. Monthly planning metric.</t>
      </text>
    </comment>
    <comment ref="B29" authorId="66" shapeId="0" xr:uid="{8C906281-3D27-468E-AE61-E4F4D10DE777}">
      <text>
        <t>[Threaded comment]
Your version of Excel allows you to read this threaded comment; however, any edits to it will get removed if the file is opened in a newer version of Excel. Learn more: https://go.microsoft.com/fwlink/?linkid=870924
Comment:
    Vendor Windows: Vendor-scheduled maintenance for SaaS/cloud apps.</t>
      </text>
    </comment>
    <comment ref="E29" authorId="67" shapeId="0" xr:uid="{59A624D6-149A-4B9E-B3C1-A302138B388D}">
      <text>
        <t>[Threaded comment]
Your version of Excel allows you to read this threaded comment; however, any edits to it will get removed if the file is opened in a newer version of Excel. Learn more: https://go.microsoft.com/fwlink/?linkid=870924
Comment:
    Audit Freeze: Releases during audit periods (maintain audit trail).</t>
      </text>
    </comment>
    <comment ref="H29" authorId="68" shapeId="0" xr:uid="{650CA4AA-D67F-415A-8BCE-575F60C7BC38}">
      <text>
        <t>[Threaded comment]
Your version of Excel allows you to read this threaded comment; however, any edits to it will get removed if the file is opened in a newer version of Excel. Learn more: https://go.microsoft.com/fwlink/?linkid=870924
Comment:
    Rollback Plan Ready: Releases with documented, tested rollback plans. Target: 100%.</t>
      </text>
    </comment>
    <comment ref="B30" authorId="69" shapeId="0" xr:uid="{50537D73-F7E1-43ED-91CB-3F2B117CA542}">
      <text>
        <t>[Threaded comment]
Your version of Excel allows you to read this threaded comment; however, any edits to it will get removed if the file is opened in a newer version of Excel. Learn more: https://go.microsoft.com/fwlink/?linkid=870924
Comment:
    Full Outages: Activities causing complete service unavailability.</t>
      </text>
    </comment>
    <comment ref="E30" authorId="70" shapeId="0" xr:uid="{384B6A70-C780-4452-8299-9A9C3DEFF1AC}">
      <text>
        <t>[Threaded comment]
Your version of Excel allows you to read this threaded comment; however, any edits to it will get removed if the file is opened in a newer version of Excel. Learn more: https://go.microsoft.com/fwlink/?linkid=870924
Comment:
    Holiday Freeze: Releases during holidays (reduced staffing).</t>
      </text>
    </comment>
    <comment ref="H30" authorId="71" shapeId="0" xr:uid="{B5C9F3A9-B07A-49E3-9F47-FE46508AEF77}">
      <text>
        <t>[Threaded comment]
Your version of Excel allows you to read this threaded comment; however, any edits to it will get removed if the file is opened in a newer version of Excel. Learn more: https://go.microsoft.com/fwlink/?linkid=870924
Comment:
    Rollback At Risk: Releases with at-risk rollback plans. Need attention.</t>
      </text>
    </comment>
    <comment ref="B31" authorId="72" shapeId="0" xr:uid="{9E51EDBA-4746-4E5C-9BCF-F99C9A661D71}">
      <text>
        <t>[Threaded comment]
Your version of Excel allows you to read this threaded comment; however, any edits to it will get removed if the file is opened in a newer version of Excel. Learn more: https://go.microsoft.com/fwlink/?linkid=870924
Comment:
    Total Maintenance: All scheduled maintenance in selected period.</t>
      </text>
    </comment>
    <comment ref="E31" authorId="73" shapeId="0" xr:uid="{B4C6D08F-B1FA-4E2A-A49A-8227BC68DA54}">
      <text>
        <t>[Threaded comment]
Your version of Excel allows you to read this threaded comment; however, any edits to it will get removed if the file is opened in a newer version of Excel. Learn more: https://go.microsoft.com/fwlink/?linkid=870924
Comment:
    Total Frozen Releases: All releases needing reschedule or exception approval.</t>
      </text>
    </comment>
    <comment ref="H31" authorId="74" shapeId="0" xr:uid="{50A0CCB9-ADBB-4B0B-8840-16B41061E251}">
      <text>
        <t>[Threaded comment]
Your version of Excel allows you to read this threaded comment; however, any edits to it will get removed if the file is opened in a newer version of Excel. Learn more: https://go.microsoft.com/fwlink/?linkid=870924
Comment:
    Avg Go-Live Checklist %: Average checklist completion. Target: &gt;90% before deploy.</t>
      </text>
    </comment>
    <comment ref="B35" authorId="75" shapeId="0" xr:uid="{0F694D4C-4440-4256-B6F3-8517958231FB}">
      <text>
        <t>[Threaded comment]
Your version of Excel allows you to read this threaded comment; however, any edits to it will get removed if the file is opened in a newer version of Excel. Learn more: https://go.microsoft.com/fwlink/?linkid=870924
Comment:
    🚦 OVERALL HEALTH STATUS: RAG indicators showing system health at a glance.</t>
      </text>
    </comment>
    <comment ref="B36" authorId="76" shapeId="0" xr:uid="{1087A740-5AD1-4E3B-827C-470DE78855DC}">
      <text>
        <t>[Threaded comment]
Your version of Excel allows you to read this threaded comment; however, any edits to it will get removed if the file is opened in a newer version of Excel. Learn more: https://go.microsoft.com/fwlink/?linkid=870924
Comment:
    Release Pipeline: 🟢=0 blocked | 🟡=1-2 blocked | 🔴=&gt;2 blocked</t>
      </text>
    </comment>
    <comment ref="D36" authorId="77" shapeId="0" xr:uid="{5D416B25-9E96-4D34-8449-73788F4565FA}">
      <text>
        <t>[Threaded comment]
Your version of Excel allows you to read this threaded comment; however, any edits to it will get removed if the file is opened in a newer version of Excel. Learn more: https://go.microsoft.com/fwlink/?linkid=870924
Comment:
    Environment Health: 🟢=0 apps down | 🟡=1 down | 🔴=&gt;2 down</t>
      </text>
    </comment>
    <comment ref="F36" authorId="78" shapeId="0" xr:uid="{1D2333A6-3C51-42B1-9C86-46AE328F5009}">
      <text>
        <t>[Threaded comment]
Your version of Excel allows you to read this threaded comment; however, any edits to it will get removed if the file is opened in a newer version of Excel. Learn more: https://go.microsoft.com/fwlink/?linkid=870924
Comment:
    Incident Status: 🟢=0 P1 | 🟡=1 P1 | 🔴=&gt;2 P1</t>
      </text>
    </comment>
    <comment ref="H36" authorId="79" shapeId="0" xr:uid="{8598B092-A1C4-4B41-855A-98B519D03A9C}">
      <text>
        <t>[Threaded comment]
Your version of Excel allows you to read this threaded comment; however, any edits to it will get removed if the file is opened in a newer version of Excel. Learn more: https://go.microsoft.com/fwlink/?linkid=870924
Comment:
    Alert Status: 🟢=0 critical | 🟡=1-5 critical | 🔴=&gt;5 critical</t>
      </text>
    </comment>
    <comment ref="B39" authorId="80" shapeId="0" xr:uid="{981DC5F3-5E8E-43E6-8514-47C6CA897933}">
      <text>
        <t>[Threaded comment]
Your version of Excel allows you to read this threaded comment; however, any edits to it will get removed if the file is opened in a newer version of Excel. Learn more: https://go.microsoft.com/fwlink/?linkid=870924
Comment:
    📊 SUMMARY TOTALS: Quick reference totals for executive overview.</t>
      </text>
    </comment>
    <comment ref="B40" authorId="81" shapeId="0" xr:uid="{F95E2B89-1821-4066-A3FC-398720D16920}">
      <text>
        <t>[Threaded comment]
Your version of Excel allows you to read this threaded comment; however, any edits to it will get removed if the file is opened in a newer version of Excel. Learn more: https://go.microsoft.com/fwlink/?linkid=870924
Comment:
    Total Releases: Count of all releases matching current filters.</t>
      </text>
    </comment>
    <comment ref="D40" authorId="82" shapeId="0" xr:uid="{D50A12A9-F319-4D57-A49B-BBE3797A2E1D}">
      <text>
        <t>[Threaded comment]
Your version of Excel allows you to read this threaded comment; however, any edits to it will get removed if the file is opened in a newer version of Excel. Learn more: https://go.microsoft.com/fwlink/?linkid=870924
Comment:
    Active Incidents: Total unresolved incidents (P1+P2+P3).</t>
      </text>
    </comment>
    <comment ref="F40" authorId="83" shapeId="0" xr:uid="{4D8CAB68-135D-4B1C-BC7C-1FE956A30EC0}">
      <text>
        <t>[Threaded comment]
Your version of Excel allows you to read this threaded comment; however, any edits to it will get removed if the file is opened in a newer version of Excel. Learn more: https://go.microsoft.com/fwlink/?linkid=870924
Comment:
    Active Alerts: Total unresolved monitoring alerts.</t>
      </text>
    </comment>
    <comment ref="H40" authorId="84" shapeId="0" xr:uid="{FE443512-8ED2-4E16-8BBD-D405B4396667}">
      <text>
        <t>[Threaded comment]
Your version of Excel allows you to read this threaded comment; however, any edits to it will get removed if the file is opened in a newer version of Excel. Learn more: https://go.microsoft.com/fwlink/?linkid=870924
Comment:
    Apps Down: Total unavailable apps (Production + Lower Environments).</t>
      </text>
    </comment>
    <comment ref="B42" authorId="85" shapeId="0" xr:uid="{A8A93EF8-D7E5-45B4-9AF3-7F867294EA5C}">
      <text>
        <t>[Threaded comment]
Your version of Excel allows you to read this threaded comment; however, any edits to it will get removed if the file is opened in a newer version of Excel. Learn more: https://go.microsoft.com/fwlink/?linkid=870924
Comment:
    📈 RELEASE TREND: Visualization of release volume over next 4 weeks.</t>
      </text>
    </comment>
    <comment ref="F44" authorId="86" shapeId="0" xr:uid="{B713B935-A5D9-4EF4-87D6-D7736CC8A09B}">
      <text>
        <t>[Threaded comment]
Your version of Excel allows you to read this threaded comment; however, any edits to it will get removed if the file is opened in a newer version of Excel. Learn more: https://go.microsoft.com/fwlink/?linkid=870924
Comment:
    Trend Direction: 📈=Increasing | 📉=Decreasing | ➡️=Stable</t>
      </text>
    </comment>
    <comment ref="F47" authorId="87" shapeId="0" xr:uid="{2079573F-A38F-4DD7-800D-FA66B822E63C}">
      <text>
        <t>[Threaded comment]
Your version of Excel allows you to read this threaded comment; however, any edits to it will get removed if the file is opened in a newer version of Excel. Learn more: https://go.microsoft.com/fwlink/?linkid=870924
Comment:
    Incident Trend: 🔴=P1 Active | 🟠=Watch P2 | 🟢=Stable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<sst xmlns="http://schemas.openxmlformats.org/spreadsheetml/2006/main" count="16444" uniqueCount="6872">
  <si>
    <t>Departments</t>
  </si>
  <si>
    <t>Department</t>
  </si>
  <si>
    <t>Application</t>
  </si>
  <si>
    <t>Env</t>
  </si>
  <si>
    <t>Period</t>
  </si>
  <si>
    <t>Finance</t>
  </si>
  <si>
    <t>Logistics</t>
  </si>
  <si>
    <t>CRM</t>
  </si>
  <si>
    <t>Manufacturing</t>
  </si>
  <si>
    <t>IT</t>
  </si>
  <si>
    <t>HR</t>
  </si>
  <si>
    <t>Legal</t>
  </si>
  <si>
    <t>Security</t>
  </si>
  <si>
    <t>SAP S/4HANA Finance (FICO)</t>
  </si>
  <si>
    <t>Anaplan</t>
  </si>
  <si>
    <t>Oracle Hyperion HFM</t>
  </si>
  <si>
    <t>Kyriba</t>
  </si>
  <si>
    <t>Coupa</t>
  </si>
  <si>
    <t>Zuora</t>
  </si>
  <si>
    <t>RevPro</t>
  </si>
  <si>
    <t>Thomson Reuters ONESOURCE</t>
  </si>
  <si>
    <t>SAP Concur</t>
  </si>
  <si>
    <t>Workday Financials</t>
  </si>
  <si>
    <t>MetricStream</t>
  </si>
  <si>
    <t>IBM Cognos</t>
  </si>
  <si>
    <t>HighRadius</t>
  </si>
  <si>
    <t>Basware</t>
  </si>
  <si>
    <t>Dev</t>
  </si>
  <si>
    <t>Test</t>
  </si>
  <si>
    <t>UAT</t>
  </si>
  <si>
    <t>Pre-prod</t>
  </si>
  <si>
    <t>Prod</t>
  </si>
  <si>
    <t>DR</t>
  </si>
  <si>
    <t>SAP Transportation Management (TM)</t>
  </si>
  <si>
    <t>Oracle Transportation Management</t>
  </si>
  <si>
    <t>Blue Yonder WMS</t>
  </si>
  <si>
    <t>Manhattan Associates WMS</t>
  </si>
  <si>
    <t>JDA Supply Chain Planning</t>
  </si>
  <si>
    <t>Kinaxis RapidResponse</t>
  </si>
  <si>
    <t>E2open</t>
  </si>
  <si>
    <t>Descartes Systems</t>
  </si>
  <si>
    <t>project44</t>
  </si>
  <si>
    <t>FourKites</t>
  </si>
  <si>
    <t>Salesforce Sales Cloud</t>
  </si>
  <si>
    <t>Salesforce Service Cloud</t>
  </si>
  <si>
    <t>Microsoft Dynamics 365 CRM</t>
  </si>
  <si>
    <t>SAP CRM</t>
  </si>
  <si>
    <t>HubSpot CRM</t>
  </si>
  <si>
    <t>Zoho CRM</t>
  </si>
  <si>
    <t>Oracle CX Cloud</t>
  </si>
  <si>
    <t>Pega CRM</t>
  </si>
  <si>
    <t>Zendesk</t>
  </si>
  <si>
    <t>Freshworks CRM</t>
  </si>
  <si>
    <t>SAP S/4HANA Manufacturing</t>
  </si>
  <si>
    <t>Siemens Opcenter</t>
  </si>
  <si>
    <t>Rockwell FactoryTalk</t>
  </si>
  <si>
    <t>AVEVA MES</t>
  </si>
  <si>
    <t>Dassault DELMIA</t>
  </si>
  <si>
    <t>Oracle Manufacturing Cloud</t>
  </si>
  <si>
    <t>Plex Smart Manufacturing</t>
  </si>
  <si>
    <t>Epicor Kinetic</t>
  </si>
  <si>
    <t>Infor CloudSuite Industrial</t>
  </si>
  <si>
    <t>QAD Adaptive ERP</t>
  </si>
  <si>
    <t>ServiceNow ITSM</t>
  </si>
  <si>
    <t>BMC Remedy</t>
  </si>
  <si>
    <t>Jira Service Management</t>
  </si>
  <si>
    <t>Splunk Enterprise</t>
  </si>
  <si>
    <t>Dynatrace</t>
  </si>
  <si>
    <t>New Relic</t>
  </si>
  <si>
    <t>PagerDuty</t>
  </si>
  <si>
    <t>Datadog</t>
  </si>
  <si>
    <t>Ansible Tower</t>
  </si>
  <si>
    <t>Terraform Enterprise</t>
  </si>
  <si>
    <t>Workday HCM</t>
  </si>
  <si>
    <t>SAP SuccessFactors</t>
  </si>
  <si>
    <t>Oracle HCM Cloud</t>
  </si>
  <si>
    <t>ADP Workforce Now</t>
  </si>
  <si>
    <t>UKG Pro</t>
  </si>
  <si>
    <t>Ceridian Dayforce</t>
  </si>
  <si>
    <t>BambooHR</t>
  </si>
  <si>
    <t>Cornerstone OnDemand</t>
  </si>
  <si>
    <t>Greenhouse</t>
  </si>
  <si>
    <t>LinkedIn Talent Solutions</t>
  </si>
  <si>
    <t>Thomson Reuters Legal Tracker</t>
  </si>
  <si>
    <t>Mitratech TeamConnect</t>
  </si>
  <si>
    <t>Wolters Kluwer ELM Solutions</t>
  </si>
  <si>
    <t>ContractPodAi</t>
  </si>
  <si>
    <t>Ironclad</t>
  </si>
  <si>
    <t>DocuSign CLM</t>
  </si>
  <si>
    <t>Conga Contracts</t>
  </si>
  <si>
    <t>Agiloft CLM</t>
  </si>
  <si>
    <t>SimpleLegal</t>
  </si>
  <si>
    <t>Onit</t>
  </si>
  <si>
    <t>CrowdStrike Falcon</t>
  </si>
  <si>
    <t>Palo Alto Cortex XDR</t>
  </si>
  <si>
    <t>Splunk SIEM</t>
  </si>
  <si>
    <t>Microsoft Sentinel</t>
  </si>
  <si>
    <t>Okta Identity Cloud</t>
  </si>
  <si>
    <t>CyberArk PAM</t>
  </si>
  <si>
    <t>Qualys VMDR</t>
  </si>
  <si>
    <t>Tenable.io</t>
  </si>
  <si>
    <t>Zscaler</t>
  </si>
  <si>
    <t>Proofpoint</t>
  </si>
  <si>
    <t>Release ID</t>
  </si>
  <si>
    <t>Release Name</t>
  </si>
  <si>
    <t>Release Size</t>
  </si>
  <si>
    <t>Impact</t>
  </si>
  <si>
    <t>Priority</t>
  </si>
  <si>
    <t>Start Date</t>
  </si>
  <si>
    <t>End Date</t>
  </si>
  <si>
    <t>Test Env Required</t>
  </si>
  <si>
    <t>UAT Env Required</t>
  </si>
  <si>
    <t>Status</t>
  </si>
  <si>
    <t>Conflict Flag</t>
  </si>
  <si>
    <t>Notes</t>
  </si>
  <si>
    <t>REL-0001</t>
  </si>
  <si>
    <t>Kyriba UI Tweak v4.5</t>
  </si>
  <si>
    <t>Small</t>
  </si>
  <si>
    <t>Low</t>
  </si>
  <si>
    <t>P4 - Low</t>
  </si>
  <si>
    <t>FIN-TEST-01</t>
  </si>
  <si>
    <t>FIN-UAT-01</t>
  </si>
  <si>
    <t>Scheduled</t>
  </si>
  <si>
    <t>⚠️ CONFLICT</t>
  </si>
  <si>
    <t>Resource conflict with REL-0003 - Same Test/UAT env required</t>
  </si>
  <si>
    <t>REL-0002</t>
  </si>
  <si>
    <t>Blue Workflow Automation v2.1</t>
  </si>
  <si>
    <t>Medium</t>
  </si>
  <si>
    <t>High</t>
  </si>
  <si>
    <t>P1 - Critical</t>
  </si>
  <si>
    <t>LOG-TEST-01</t>
  </si>
  <si>
    <t>LOG-UAT-01</t>
  </si>
  <si>
    <t>REL-0003</t>
  </si>
  <si>
    <t>Zendesk Minor Update v4.3</t>
  </si>
  <si>
    <t>P3 - Medium</t>
  </si>
  <si>
    <t>Resource conflict with REL-0007 - Same Test/UAT env required</t>
  </si>
  <si>
    <t>REL-0004</t>
  </si>
  <si>
    <t>AVEVA Dashboard Upgrade v5.5</t>
  </si>
  <si>
    <t>MAN-TEST-03</t>
  </si>
  <si>
    <t>MAN-UAT-01</t>
  </si>
  <si>
    <t>REL-0005</t>
  </si>
  <si>
    <t>Datadog Security Patch Bundle v3.5</t>
  </si>
  <si>
    <t>P2 - High</t>
  </si>
  <si>
    <t>IT-TEST-01</t>
  </si>
  <si>
    <t>IT-UAT-01</t>
  </si>
  <si>
    <t>Resource conflict with REL-0010 - Same Test/UAT env required</t>
  </si>
  <si>
    <t>REL-0006</t>
  </si>
  <si>
    <t>SAP Configuration Change v5.2</t>
  </si>
  <si>
    <t>HR-TEST-01</t>
  </si>
  <si>
    <t>HR-UAT-01</t>
  </si>
  <si>
    <t>REL-0007</t>
  </si>
  <si>
    <t>Mitratech Integration Enhancement v5.2</t>
  </si>
  <si>
    <t>Resource conflict with REL-0012 - Same Test/UAT env required</t>
  </si>
  <si>
    <t>REL-0008</t>
  </si>
  <si>
    <t>CrowdStrike Minor Update v3.6</t>
  </si>
  <si>
    <t>SEC-TEST-01</t>
  </si>
  <si>
    <t>SEC-UAT-02</t>
  </si>
  <si>
    <t>REL-0009</t>
  </si>
  <si>
    <t>Oracle Report Fix v3.4</t>
  </si>
  <si>
    <t>FIN-TEST-03</t>
  </si>
  <si>
    <t>Resource conflict with REL-0014 - Same Test/UAT env required</t>
  </si>
  <si>
    <t>REL-0010</t>
  </si>
  <si>
    <t>Manhattan Major Enhancement v5.2</t>
  </si>
  <si>
    <t>Large</t>
  </si>
  <si>
    <t>Resource conflict with REL-0005 - Same Test/UAT env required</t>
  </si>
  <si>
    <t>REL-0011</t>
  </si>
  <si>
    <t>HubSpot Minor Update v3.7</t>
  </si>
  <si>
    <t>CRM-TEST-02</t>
  </si>
  <si>
    <t>CRM-UAT-01</t>
  </si>
  <si>
    <t>REL-0012</t>
  </si>
  <si>
    <t>Plex Report Fix v2.5</t>
  </si>
  <si>
    <t>REL-0013</t>
  </si>
  <si>
    <t>Dynatrace UI Tweak v3.1</t>
  </si>
  <si>
    <t>IT-TEST-03</t>
  </si>
  <si>
    <t>Resource conflict with REL-0015 - Same Test/UAT env required</t>
  </si>
  <si>
    <t>REL-0014</t>
  </si>
  <si>
    <t>Oracle Global Rollout v2.2</t>
  </si>
  <si>
    <t>Resource conflict with REL-0011 - Same Test/UAT env required</t>
  </si>
  <si>
    <t>REL-0015</t>
  </si>
  <si>
    <t>DocuSign Core Transformation v1.0</t>
  </si>
  <si>
    <t>Resource conflict with REL-0017 - Same Test/UAT env required</t>
  </si>
  <si>
    <t>REL-0016</t>
  </si>
  <si>
    <t>CyberArk Enterprise Integration v2.0</t>
  </si>
  <si>
    <t>REL-0017</t>
  </si>
  <si>
    <t>HighRadius Report Fix v2.4</t>
  </si>
  <si>
    <t>Resource conflict with REL-0022 - Same Test/UAT env required</t>
  </si>
  <si>
    <t>REL-0018</t>
  </si>
  <si>
    <t>Oracle UI Tweak v2.0</t>
  </si>
  <si>
    <t>LOG-TEST-03</t>
  </si>
  <si>
    <t>LOG-UAT-02</t>
  </si>
  <si>
    <t>REL-0019</t>
  </si>
  <si>
    <t>Salesforce Minor Update v2.5</t>
  </si>
  <si>
    <t>CRM-TEST-01</t>
  </si>
  <si>
    <t>CRM-UAT-02</t>
  </si>
  <si>
    <t>Resource conflict with REL-0021 - Same Test/UAT env required</t>
  </si>
  <si>
    <t>REL-0020</t>
  </si>
  <si>
    <t>Rockwell Quick Enhancement v1.5</t>
  </si>
  <si>
    <t>REL-0021</t>
  </si>
  <si>
    <t>Splunk Bug Fix Release v3.7</t>
  </si>
  <si>
    <t>Resource conflict with REL-0026 - Same Test/UAT env required</t>
  </si>
  <si>
    <t>REL-0022</t>
  </si>
  <si>
    <t>Oracle Dashboard Upgrade v2.5</t>
  </si>
  <si>
    <t>REL-0023</t>
  </si>
  <si>
    <t>DocuSign Feature Release v3.0</t>
  </si>
  <si>
    <t>LEG-TEST-02</t>
  </si>
  <si>
    <t>LEG-UAT-02</t>
  </si>
  <si>
    <t>Resource conflict with REL-0027 - Same Test/UAT env required</t>
  </si>
  <si>
    <t>REL-0024</t>
  </si>
  <si>
    <t>Okta Minor Update v4.1</t>
  </si>
  <si>
    <t>REL-0025</t>
  </si>
  <si>
    <t>Coupa Dashboard Upgrade v5.8</t>
  </si>
  <si>
    <t>FIN-UAT-02</t>
  </si>
  <si>
    <t>REL-0026</t>
  </si>
  <si>
    <t>Kinaxis Dashboard Upgrade v3.2</t>
  </si>
  <si>
    <t>REL-0027</t>
  </si>
  <si>
    <t>Salesforce Hotfix v4.3</t>
  </si>
  <si>
    <t>Resource conflict with REL-0023 - Same Test/UAT env required</t>
  </si>
  <si>
    <t>REL-0028</t>
  </si>
  <si>
    <t>SAP Architecture Overhaul v5.5</t>
  </si>
  <si>
    <t>REL-0029</t>
  </si>
  <si>
    <t>Datadog Feature Release v2.2</t>
  </si>
  <si>
    <t>REL-0030</t>
  </si>
  <si>
    <t>Cornerstone Feature Release v1.7</t>
  </si>
  <si>
    <t>HR-TEST-02</t>
  </si>
  <si>
    <t>REL-0031</t>
  </si>
  <si>
    <t>Mitratech Data Patch v2.9</t>
  </si>
  <si>
    <t>REL-0032</t>
  </si>
  <si>
    <t>CrowdStrike UI Tweak v1.5</t>
  </si>
  <si>
    <t>REL-0033</t>
  </si>
  <si>
    <t>Oracle Major Enhancement v5.3</t>
  </si>
  <si>
    <t>REL-0034</t>
  </si>
  <si>
    <t>Manhattan Module Update v2.8</t>
  </si>
  <si>
    <t>REL-0035</t>
  </si>
  <si>
    <t>Salesforce Report Fix v5.8</t>
  </si>
  <si>
    <t>REL-0036</t>
  </si>
  <si>
    <t>Plex UI Tweak v3.6</t>
  </si>
  <si>
    <t>REL-0037</t>
  </si>
  <si>
    <t>Dynatrace Platform Upgrade v4.0</t>
  </si>
  <si>
    <t>IT-UAT-02</t>
  </si>
  <si>
    <t>REL-0038</t>
  </si>
  <si>
    <t>SAP Bug Fix Release v5.5</t>
  </si>
  <si>
    <t>HR-UAT-02</t>
  </si>
  <si>
    <t>REL-0039</t>
  </si>
  <si>
    <t>Agiloft Core Transformation v4.6</t>
  </si>
  <si>
    <t>LEG-TEST-03</t>
  </si>
  <si>
    <t>LEG-UAT-01</t>
  </si>
  <si>
    <t>REL-0040</t>
  </si>
  <si>
    <t>Palo Quick Enhancement v3.7</t>
  </si>
  <si>
    <t>SEC-TEST-03</t>
  </si>
  <si>
    <t>REL-0041</t>
  </si>
  <si>
    <t>Anaplan Bug Fix Release v3.3</t>
  </si>
  <si>
    <t>REL-0042</t>
  </si>
  <si>
    <t>Oracle Security Patch Bundle v5.6</t>
  </si>
  <si>
    <t>REL-0043</t>
  </si>
  <si>
    <t>Microsoft Integration Enhancement v1.9</t>
  </si>
  <si>
    <t>REL-0044</t>
  </si>
  <si>
    <t>Siemens Integration Enhancement v2.2</t>
  </si>
  <si>
    <t>MAN-TEST-01</t>
  </si>
  <si>
    <t>REL-0045</t>
  </si>
  <si>
    <t>Splunk Global Rollout v3.0</t>
  </si>
  <si>
    <t>REL-0046</t>
  </si>
  <si>
    <t>SAP UI Tweak v5.2</t>
  </si>
  <si>
    <t>HR-TEST-03</t>
  </si>
  <si>
    <t>REL-0047</t>
  </si>
  <si>
    <t>DocuSign Integration Enhancement v1.4</t>
  </si>
  <si>
    <t>REL-0048</t>
  </si>
  <si>
    <t>Okta Report Fix v4.1</t>
  </si>
  <si>
    <t>SEC-UAT-01</t>
  </si>
  <si>
    <t>REL-0049</t>
  </si>
  <si>
    <t>Anaplan Minor Update v3.3</t>
  </si>
  <si>
    <t>FIN-TEST-02</t>
  </si>
  <si>
    <t>REL-0050</t>
  </si>
  <si>
    <t>Blue Configuration Change v5.9</t>
  </si>
  <si>
    <t>REL-0051</t>
  </si>
  <si>
    <t>HubSpot Module Update v4.7</t>
  </si>
  <si>
    <t>CRM-TEST-03</t>
  </si>
  <si>
    <t>REL-0052</t>
  </si>
  <si>
    <t>SAP Configuration Change v1.3</t>
  </si>
  <si>
    <t>REL-0053</t>
  </si>
  <si>
    <t>Splunk Global Rollout v5.8</t>
  </si>
  <si>
    <t>REL-0054</t>
  </si>
  <si>
    <t>Workday Core Transformation v2.7</t>
  </si>
  <si>
    <t>REL-0055</t>
  </si>
  <si>
    <t>DocuSign Major Enhancement v5.2</t>
  </si>
  <si>
    <t>REL-0056</t>
  </si>
  <si>
    <t>Okta Performance Optimization v5.0</t>
  </si>
  <si>
    <t>REL-0057</t>
  </si>
  <si>
    <t>Coupa Security Patch Bundle v3.3</t>
  </si>
  <si>
    <t>REL-0058</t>
  </si>
  <si>
    <t>Manhattan API Enhancement v2.0</t>
  </si>
  <si>
    <t>REL-0059</t>
  </si>
  <si>
    <t>Salesforce Workflow Automation v5.8</t>
  </si>
  <si>
    <t>REL-0060</t>
  </si>
  <si>
    <t>Plex UI Tweak v4.0</t>
  </si>
  <si>
    <t>MAN-TEST-02</t>
  </si>
  <si>
    <t>MAN-UAT-02</t>
  </si>
  <si>
    <t>REL-0061</t>
  </si>
  <si>
    <t>Datadog API Enhancement v5.6</t>
  </si>
  <si>
    <t>IT-TEST-02</t>
  </si>
  <si>
    <t>REL-0062</t>
  </si>
  <si>
    <t>SAP Report Fix v2.8</t>
  </si>
  <si>
    <t>REL-0063</t>
  </si>
  <si>
    <t>Mitratech Workflow Automation v2.3</t>
  </si>
  <si>
    <t>LEG-TEST-01</t>
  </si>
  <si>
    <t>REL-0064</t>
  </si>
  <si>
    <t>Microsoft Integration Enhancement v4.1</t>
  </si>
  <si>
    <t>REL-0065</t>
  </si>
  <si>
    <t>Oracle System Migration v1.9</t>
  </si>
  <si>
    <t>REL-0066</t>
  </si>
  <si>
    <t>Oracle Module Update v5.6</t>
  </si>
  <si>
    <t>LOG-TEST-02</t>
  </si>
  <si>
    <t>REL-0067</t>
  </si>
  <si>
    <t>Salesforce Complete Redesign v1.9</t>
  </si>
  <si>
    <t>REL-0068</t>
  </si>
  <si>
    <t>Rockwell Minor Update v1.1</t>
  </si>
  <si>
    <t>REL-0069</t>
  </si>
  <si>
    <t>BMC UI Tweak v5.1</t>
  </si>
  <si>
    <t>REL-0070</t>
  </si>
  <si>
    <t>Oracle Workflow Automation v3.6</t>
  </si>
  <si>
    <t>REL-0071</t>
  </si>
  <si>
    <t>Agiloft Minor Update v4.1</t>
  </si>
  <si>
    <t>REL-0072</t>
  </si>
  <si>
    <t>Palo Hotfix v5.8</t>
  </si>
  <si>
    <t>REL-0073</t>
  </si>
  <si>
    <t>Kyriba Security Patch Bundle v3.6</t>
  </si>
  <si>
    <t>REL-0074</t>
  </si>
  <si>
    <t>Oracle Hotfix v4.3</t>
  </si>
  <si>
    <t>REL-0075</t>
  </si>
  <si>
    <t>HubSpot Performance Optimization v3.0</t>
  </si>
  <si>
    <t>REL-0076</t>
  </si>
  <si>
    <t>SAP Hotfix v4.1</t>
  </si>
  <si>
    <t>REL-0077</t>
  </si>
  <si>
    <t>Jira Core Transformation v1.8</t>
  </si>
  <si>
    <t>REL-0078</t>
  </si>
  <si>
    <t>ADP Workflow Automation v2.7</t>
  </si>
  <si>
    <t>REL-0079</t>
  </si>
  <si>
    <t>Ironclad Module Update v4.7</t>
  </si>
  <si>
    <t>REL-0080</t>
  </si>
  <si>
    <t>CrowdStrike Performance Optimization v5.9</t>
  </si>
  <si>
    <t>Executive sponsor: CFO</t>
  </si>
  <si>
    <t>Blackout period consideration</t>
  </si>
  <si>
    <t>Integration testing with downstream systems</t>
  </si>
  <si>
    <t>Data migration included</t>
  </si>
  <si>
    <t>Change Advisory Board approval needed</t>
  </si>
  <si>
    <t>Audit finding remediation</t>
  </si>
  <si>
    <t>Holiday freeze exception requested</t>
  </si>
  <si>
    <t>Security review pending</t>
  </si>
  <si>
    <t>DR sync required post-deployment</t>
  </si>
  <si>
    <t>Critical for Q3 financial close</t>
  </si>
  <si>
    <t>Dependencies on infrastructure team</t>
  </si>
  <si>
    <t>Dependent on vendor patch delivery</t>
  </si>
  <si>
    <t>Executive sponsor: CIO</t>
  </si>
  <si>
    <t>Customer-facing impact - coordinate with support</t>
  </si>
  <si>
    <t>Resource conflict with REL-0043 - Overlapping Test/UAT window</t>
  </si>
  <si>
    <t>Resource conflict with REL-0041 - Overlapping Test/UAT window</t>
  </si>
  <si>
    <t>License renewal dependency</t>
  </si>
  <si>
    <t>External vendor coordination needed</t>
  </si>
  <si>
    <t>Requires weekend deployment window</t>
  </si>
  <si>
    <t>Training materials to be updated</t>
  </si>
  <si>
    <t>Rollback plan required</t>
  </si>
  <si>
    <t>Resource conflict with REL-0058 - Overlapping Test/UAT window</t>
  </si>
  <si>
    <t>Resource conflict with REL-0056 - Overlapping Test/UAT window</t>
  </si>
  <si>
    <t>Performance testing mandatory</t>
  </si>
  <si>
    <t>Business continuity testing required</t>
  </si>
  <si>
    <t>Resource conflict with REL-0068 - Overlapping Test/UAT window</t>
  </si>
  <si>
    <t>Resource conflict with REL-0066 - Overlapping Test/UAT window</t>
  </si>
  <si>
    <t>Resource conflict with REL-0073 - Overlapping Test/UAT window</t>
  </si>
  <si>
    <t>Resource conflict with REL-0071 - Overlapping Test/UAT window</t>
  </si>
  <si>
    <t>Regulatory deadline driven</t>
  </si>
  <si>
    <t>Enterprise System Integration Map</t>
  </si>
  <si>
    <t>Legend:</t>
  </si>
  <si>
    <t>Core ERP/Platform</t>
  </si>
  <si>
    <t>Central hub systems</t>
  </si>
  <si>
    <t>Bidirectional Integration</t>
  </si>
  <si>
    <t>Two-way data flow</t>
  </si>
  <si>
    <t>Data Feed (Upstream)</t>
  </si>
  <si>
    <t>Sends data to other systems</t>
  </si>
  <si>
    <t>Data Feed (Downstream)</t>
  </si>
  <si>
    <t>Receives data from other systems</t>
  </si>
  <si>
    <t>Shared Services</t>
  </si>
  <si>
    <t>Cross-department systems</t>
  </si>
  <si>
    <t>CORE SYSTEMS HUB</t>
  </si>
  <si>
    <t>System</t>
  </si>
  <si>
    <t>Type</t>
  </si>
  <si>
    <t>Integrates With</t>
  </si>
  <si>
    <t>Data Flow</t>
  </si>
  <si>
    <t>Key Data Exchanged</t>
  </si>
  <si>
    <t>SAP S/4HANA (ERP)</t>
  </si>
  <si>
    <t>Finance / Manufacturing</t>
  </si>
  <si>
    <t>Core ERP</t>
  </si>
  <si>
    <t>All Departments</t>
  </si>
  <si>
    <t>Bidirectional</t>
  </si>
  <si>
    <t>GL, AP, AR, Inventory, Orders, Cost Centers</t>
  </si>
  <si>
    <t>Core HCM</t>
  </si>
  <si>
    <t>Finance, IT, Security</t>
  </si>
  <si>
    <t>Employee Data, Payroll, Org Structure</t>
  </si>
  <si>
    <t>Service Platform</t>
  </si>
  <si>
    <t>Incidents, Changes, Assets, CMDB</t>
  </si>
  <si>
    <t>Salesforce CRM</t>
  </si>
  <si>
    <t>Core CRM</t>
  </si>
  <si>
    <t>Finance, Manufacturing, Logistics</t>
  </si>
  <si>
    <t>Customers, Opportunities, Orders, Contracts</t>
  </si>
  <si>
    <t>DEPARTMENT INTEGRATION MATRIX</t>
  </si>
  <si>
    <t>From \ To</t>
  </si>
  <si>
    <t>—</t>
  </si>
  <si>
    <t>●</t>
  </si>
  <si>
    <t>○</t>
  </si>
  <si>
    <t>● Primary Integration</t>
  </si>
  <si>
    <t>Critical data exchange, real-time or daily sync</t>
  </si>
  <si>
    <t>○ Secondary Integration</t>
  </si>
  <si>
    <t>Periodic data exchange, reporting or audit</t>
  </si>
  <si>
    <t>KEY INTEGRATION FLOWS</t>
  </si>
  <si>
    <t>Flow ID</t>
  </si>
  <si>
    <t>Source System</t>
  </si>
  <si>
    <t>Target System</t>
  </si>
  <si>
    <t>Integration Type</t>
  </si>
  <si>
    <t>Frequency</t>
  </si>
  <si>
    <t>Data Elements</t>
  </si>
  <si>
    <t>Business Purpose</t>
  </si>
  <si>
    <t>INT-001</t>
  </si>
  <si>
    <t>SAP S/4HANA</t>
  </si>
  <si>
    <t>API / Real-time</t>
  </si>
  <si>
    <t>Real-time</t>
  </si>
  <si>
    <t>Sales Orders, Customer Master</t>
  </si>
  <si>
    <t>Order-to-Cash Process</t>
  </si>
  <si>
    <t>INT-002</t>
  </si>
  <si>
    <t>Batch / API</t>
  </si>
  <si>
    <t>Daily</t>
  </si>
  <si>
    <t>Cost Centers, GL Accounts</t>
  </si>
  <si>
    <t>Payroll &amp; Financial Reporting</t>
  </si>
  <si>
    <t>INT-003</t>
  </si>
  <si>
    <t>Okta Identity</t>
  </si>
  <si>
    <t>SCIM</t>
  </si>
  <si>
    <t>User Provisioning, Roles</t>
  </si>
  <si>
    <t>Identity &amp; Access Management</t>
  </si>
  <si>
    <t>INT-004</t>
  </si>
  <si>
    <t>SAP Manufacturing</t>
  </si>
  <si>
    <t>API / Batch</t>
  </si>
  <si>
    <t>Hourly</t>
  </si>
  <si>
    <t>Production Orders, BOM</t>
  </si>
  <si>
    <t>Supply Chain Execution</t>
  </si>
  <si>
    <t>INT-005</t>
  </si>
  <si>
    <t>SAP Transportation</t>
  </si>
  <si>
    <t>API</t>
  </si>
  <si>
    <t>Shipments, Inventory</t>
  </si>
  <si>
    <t>Logistics Coordination</t>
  </si>
  <si>
    <t>INT-006</t>
  </si>
  <si>
    <t>Incidents, Alerts</t>
  </si>
  <si>
    <t>Security Operations</t>
  </si>
  <si>
    <t>INT-007</t>
  </si>
  <si>
    <t>CrowdStrike</t>
  </si>
  <si>
    <t>Threat Intelligence</t>
  </si>
  <si>
    <t>Security Monitoring</t>
  </si>
  <si>
    <t>INT-008</t>
  </si>
  <si>
    <t>On-demand</t>
  </si>
  <si>
    <t>Contracts, Vendor Terms</t>
  </si>
  <si>
    <t>Procurement &amp; Legal</t>
  </si>
  <si>
    <t>INT-009</t>
  </si>
  <si>
    <t>Batch</t>
  </si>
  <si>
    <t>Budgets, Forecasts</t>
  </si>
  <si>
    <t>Financial Planning</t>
  </si>
  <si>
    <t>INT-010</t>
  </si>
  <si>
    <t>Oracle HCM</t>
  </si>
  <si>
    <t>ADP Workforce</t>
  </si>
  <si>
    <t>Bi-weekly</t>
  </si>
  <si>
    <t>Payroll Data, Time</t>
  </si>
  <si>
    <t>Payroll Processing</t>
  </si>
  <si>
    <t>INT-011</t>
  </si>
  <si>
    <t>Cases, Customer Data</t>
  </si>
  <si>
    <t>Customer Service</t>
  </si>
  <si>
    <t>INT-012</t>
  </si>
  <si>
    <t>Financial Data</t>
  </si>
  <si>
    <t>Business Intelligence</t>
  </si>
  <si>
    <t>INT-013</t>
  </si>
  <si>
    <t>ServiceNow</t>
  </si>
  <si>
    <t>Access Requests</t>
  </si>
  <si>
    <t>Privileged Access</t>
  </si>
  <si>
    <t>INT-014</t>
  </si>
  <si>
    <t>Workday</t>
  </si>
  <si>
    <t>Cornerstone LMS</t>
  </si>
  <si>
    <t>Employee, Training</t>
  </si>
  <si>
    <t>Learning Management</t>
  </si>
  <si>
    <t>INT-015</t>
  </si>
  <si>
    <t>Expenses, T&amp;E</t>
  </si>
  <si>
    <t>Expense Management</t>
  </si>
  <si>
    <t>SYSTEM ARCHITECTURE DIAGRAM</t>
  </si>
  <si>
    <t>SHARED ENVIRONMENT &amp; RESOURCE DEPENDENCIES</t>
  </si>
  <si>
    <t>Environment</t>
  </si>
  <si>
    <t>Shared By</t>
  </si>
  <si>
    <t>Capacity</t>
  </si>
  <si>
    <t>Booking Required</t>
  </si>
  <si>
    <t>Conflict Risk</t>
  </si>
  <si>
    <t>Finance, Legal, CRM</t>
  </si>
  <si>
    <t>Limited (3 concurrent)</t>
  </si>
  <si>
    <t>Yes - 2 weeks advance</t>
  </si>
  <si>
    <t>HIGH</t>
  </si>
  <si>
    <t>Standard</t>
  </si>
  <si>
    <t>Yes - 1 week advance</t>
  </si>
  <si>
    <t>Finance, Legal, Manufacturing</t>
  </si>
  <si>
    <t>Limited (2 concurrent)</t>
  </si>
  <si>
    <t>Yes - 3 weeks advance</t>
  </si>
  <si>
    <t>IT, Security, All Depts</t>
  </si>
  <si>
    <t>Shared Pool</t>
  </si>
  <si>
    <t>IT, Security</t>
  </si>
  <si>
    <t>Limited</t>
  </si>
  <si>
    <t>CRM, Sales Ops</t>
  </si>
  <si>
    <t>Recommended</t>
  </si>
  <si>
    <t>CRM, Marketing</t>
  </si>
  <si>
    <t>Manufacturing, Logistics</t>
  </si>
  <si>
    <t>Logistics, Manufacturing</t>
  </si>
  <si>
    <t>Security, IT</t>
  </si>
  <si>
    <t>Restricted</t>
  </si>
  <si>
    <t>HR, Payroll</t>
  </si>
  <si>
    <t>INTEG-01</t>
  </si>
  <si>
    <t>Integration</t>
  </si>
  <si>
    <t>ALL DEPARTMENTS</t>
  </si>
  <si>
    <t>Critical Shared</t>
  </si>
  <si>
    <t>Mandatory - 4 weeks</t>
  </si>
  <si>
    <t>CRITICAL</t>
  </si>
  <si>
    <t>CRITICAL INTEGRATION PATHS (Release Impact Analysis)</t>
  </si>
  <si>
    <t>Path ID</t>
  </si>
  <si>
    <t>Integration Path</t>
  </si>
  <si>
    <t>Upstream Systems</t>
  </si>
  <si>
    <t>Downstream Systems</t>
  </si>
  <si>
    <t>Release Coordination</t>
  </si>
  <si>
    <t>Blackout Windows</t>
  </si>
  <si>
    <t>PATH-001</t>
  </si>
  <si>
    <t>Order-to-Cash</t>
  </si>
  <si>
    <t>Salesforce → SAP</t>
  </si>
  <si>
    <t>SAP → Logistics → Finance</t>
  </si>
  <si>
    <t>Mandatory joint testing</t>
  </si>
  <si>
    <t>Month-end, Quarter-end</t>
  </si>
  <si>
    <t>Revenue impacting - CFO approval required</t>
  </si>
  <si>
    <t>PATH-002</t>
  </si>
  <si>
    <t>Procure-to-Pay</t>
  </si>
  <si>
    <t>SAP → Coupa → Vendors</t>
  </si>
  <si>
    <t>AP → Treasury → Banking</t>
  </si>
  <si>
    <t>Finance sign-off required</t>
  </si>
  <si>
    <t>Month-end close (Days 1-5)</t>
  </si>
  <si>
    <t>Payment processing critical</t>
  </si>
  <si>
    <t>PATH-003</t>
  </si>
  <si>
    <t>Hire-to-Retire</t>
  </si>
  <si>
    <t>Workday → Okta → All Apps</t>
  </si>
  <si>
    <t>Payroll → Finance → Tax</t>
  </si>
  <si>
    <t>HR + IT + Security coord</t>
  </si>
  <si>
    <t>Payroll windows</t>
  </si>
  <si>
    <t>Employee data sensitive</t>
  </si>
  <si>
    <t>PATH-004</t>
  </si>
  <si>
    <t>Record-to-Report</t>
  </si>
  <si>
    <t>All Source Systems → SAP</t>
  </si>
  <si>
    <t>SAP → Cognos → Reporting</t>
  </si>
  <si>
    <t>Finance freeze periods</t>
  </si>
  <si>
    <t>Close periods</t>
  </si>
  <si>
    <t>SOX compliance required</t>
  </si>
  <si>
    <t>PATH-005</t>
  </si>
  <si>
    <t>Plan-to-Produce</t>
  </si>
  <si>
    <t>SAP → MES → WMS</t>
  </si>
  <si>
    <t>Production → Inventory → Ship</t>
  </si>
  <si>
    <t>Manufacturing + Logistics</t>
  </si>
  <si>
    <t>Production schedules</t>
  </si>
  <si>
    <t>Supply chain disruption risk</t>
  </si>
  <si>
    <t>PATH-006</t>
  </si>
  <si>
    <t>All Systems → SIEM</t>
  </si>
  <si>
    <t>SIEM → SOC → Incident</t>
  </si>
  <si>
    <t>Security team approval</t>
  </si>
  <si>
    <t>Never (24/7 ops)</t>
  </si>
  <si>
    <t>Cannot have monitoring gaps</t>
  </si>
  <si>
    <t>PATH-007</t>
  </si>
  <si>
    <t>Identity Lifecycle</t>
  </si>
  <si>
    <t>Workday → Okta → Apps</t>
  </si>
  <si>
    <t>Access → Audit → Compliance</t>
  </si>
  <si>
    <t>HR + IT + Security</t>
  </si>
  <si>
    <t>Audit periods</t>
  </si>
  <si>
    <t>Access control critical</t>
  </si>
  <si>
    <t>PATH-008</t>
  </si>
  <si>
    <t>Contract Lifecycle</t>
  </si>
  <si>
    <t>Legal → DocuSign → SAP</t>
  </si>
  <si>
    <t>Procurement → Vendors</t>
  </si>
  <si>
    <t>Legal + Procurement</t>
  </si>
  <si>
    <t>Contract renewals</t>
  </si>
  <si>
    <t>Legal/financial obligations</t>
  </si>
  <si>
    <t>📋 RELEASE MANAGER NOTES:</t>
  </si>
  <si>
    <t>1. Always check Integration Matrix before scheduling cross-department releases</t>
  </si>
  <si>
    <t>2. Shared environments (especially FIN-TEST-01, IT-TEST-01, INTEG-01) require advance booking</t>
  </si>
  <si>
    <t>3. Critical Integration Paths require coordinated testing across all connected systems</t>
  </si>
  <si>
    <t>4. Month-end, Quarter-end, and Year-end are high-risk periods - minimize changes</t>
  </si>
  <si>
    <t>5. Security systems (PATH-006, PATH-007) require 24/7 availability - schedule carefully</t>
  </si>
  <si>
    <t>6. SAP S/4HANA is the central hub - any SAP changes impact multiple departments</t>
  </si>
  <si>
    <t>╔══════════════════════════════════════════════════════════════════════════════════════════════════════════════╗</t>
  </si>
  <si>
    <t>║                                      ENTERPRISE INTEGRATION LAYER                                            ║</t>
  </si>
  <si>
    <t>║                                  (API Gateway / ESB / Integration Platform)                                  ║</t>
  </si>
  <si>
    <t>╚════════════╦═══════════════╦═══════════════╦═══════════════╦═══════════════╦═══════════════╦═════════════════╝</t>
  </si>
  <si>
    <t xml:space="preserve">             ║               ║               ║               ║               ║               ║                  </t>
  </si>
  <si>
    <t xml:space="preserve">             ▼               ▼               ▼               ▼               ▼               ▼                  </t>
  </si>
  <si>
    <t xml:space="preserve">     ┌──────────────┐ ┌──────────────┐ ┌──────────────┐ ┌──────────────┐ ┌──────────────┐ ┌──────────────┐      </t>
  </si>
  <si>
    <t xml:space="preserve">     │   FINANCE    │ │      HR      │ │      IT      │ │     CRM      │ │ MANUFACTURING│ │   LOGISTICS  │      </t>
  </si>
  <si>
    <t xml:space="preserve">     ├──────────────┤ ├──────────────┤ ├──────────────┤ ├──────────────┤ ├──────────────┤ ├──────────────┤      </t>
  </si>
  <si>
    <t xml:space="preserve">     │ SAP S/4HANA  │ │ Workday HCM  │ │ ServiceNow   │ │ Salesforce   │ │ SAP S/4 Manu │ │ SAP TM       │      </t>
  </si>
  <si>
    <t xml:space="preserve">     │ Anaplan      │ │ SuccessFactors│ │ Splunk       │ │ Dynamics 365 │ │ Siemens MES  │ │ Blue Yonder  │      </t>
  </si>
  <si>
    <t xml:space="preserve">     │ Hyperion HFM │ │ ADP Workforce│ │ Dynatrace    │ │ Zendesk      │ │ Rockwell FT  │ │ Manhattan    │      </t>
  </si>
  <si>
    <t xml:space="preserve">     │ IBM Cognos   │ │ Cornerstone  │ │ PagerDuty    │ │ HubSpot      │ │ AVEVA MES    │ │ FourKites    │      </t>
  </si>
  <si>
    <t xml:space="preserve">     └──────┬───────┘ └──────┬───────┘ └──────┬───────┘ └──────┬───────┘ └──────┬───────┘ └──────┬───────┘      </t>
  </si>
  <si>
    <t xml:space="preserve">            │                │                │                │                │                │               </t>
  </si>
  <si>
    <t xml:space="preserve">            │◄──────────────►│◄──────────────►│◄──────────────►│◄──────────────►│◄──────────────►│               </t>
  </si>
  <si>
    <t xml:space="preserve">            └────────────────┴────────────────┴───────┬────────┴────────────────┴────────────────┘               </t>
  </si>
  <si>
    <t xml:space="preserve">                                                      │                                                          </t>
  </si>
  <si>
    <t xml:space="preserve">                           ┌──────────────────────────┼──────────────────────────┐                               </t>
  </si>
  <si>
    <t xml:space="preserve">                           │                          │                          │                               </t>
  </si>
  <si>
    <t xml:space="preserve">                           ▼                          ▼                          ▼                               </t>
  </si>
  <si>
    <t xml:space="preserve">                   ┌──────────────┐           ┌──────────────┐           ┌──────────────┐                        </t>
  </si>
  <si>
    <t xml:space="preserve">                   │    LEGAL     │◄─────────►│   SECURITY   │◄─────────►│  SHARED SVC  │                        </t>
  </si>
  <si>
    <t xml:space="preserve">                   ├──────────────┤           ├──────────────┤           ├──────────────┤                        </t>
  </si>
  <si>
    <t xml:space="preserve">                   │ DocuSign CLM │           │ CrowdStrike  │           │ ServiceNow   │                        </t>
  </si>
  <si>
    <t xml:space="preserve">                   │ Ironclad     │           │ Okta Identity│           │ Active Dir   │                        </t>
  </si>
  <si>
    <t xml:space="preserve">                   │ Legal Tracker│           │ CyberArk PAM │           │ Email/Collab │                        </t>
  </si>
  <si>
    <t xml:space="preserve">                   │ Agiloft CLM  │           │ MS Sentinel  │           │ SharePoint   │                        </t>
  </si>
  <si>
    <t xml:space="preserve">                   └──────────────┘           └──────────────┘           └──────────────┘                        </t>
  </si>
  <si>
    <t>══════════════════════════════════════════════════════════════════════════════════════════════════════════════════</t>
  </si>
  <si>
    <t xml:space="preserve">                                           DATA FLOW LEGEND                                                       </t>
  </si>
  <si>
    <t xml:space="preserve">     ◄──────────────►  =  Bidirectional Integration (Real-time or Batch sync)                                    </t>
  </si>
  <si>
    <t xml:space="preserve">     ───────────────►  =  Unidirectional Data Flow (Source to Target)                                            </t>
  </si>
  <si>
    <t xml:space="preserve">     ║                 =  Connection to Integration Layer                                                         </t>
  </si>
  <si>
    <t>Tech Lead</t>
  </si>
  <si>
    <t>Sarah Mitchell</t>
  </si>
  <si>
    <t>James Wilson</t>
  </si>
  <si>
    <t>David Chen</t>
  </si>
  <si>
    <t>Emily Zhang</t>
  </si>
  <si>
    <t>Jennifer Walsh</t>
  </si>
  <si>
    <t>Michael Brown</t>
  </si>
  <si>
    <t>Robert Kim</t>
  </si>
  <si>
    <t>Priya Sharma</t>
  </si>
  <si>
    <t>Michelle Torres</t>
  </si>
  <si>
    <t>Christopher Davis</t>
  </si>
  <si>
    <t>Andrew Patel</t>
  </si>
  <si>
    <t>Angela Liu</t>
  </si>
  <si>
    <t>Lisa Thompson</t>
  </si>
  <si>
    <t>Daniel Park</t>
  </si>
  <si>
    <t>Mark Rodriguez</t>
  </si>
  <si>
    <t>Jessica Nguyen</t>
  </si>
  <si>
    <t>Amanda Foster</t>
  </si>
  <si>
    <t>Ryan Cooper</t>
  </si>
  <si>
    <t>Kevin O'Brien</t>
  </si>
  <si>
    <t>Samantha Reed</t>
  </si>
  <si>
    <t>Rachel Green</t>
  </si>
  <si>
    <t>William Chen</t>
  </si>
  <si>
    <t>Thomas Wright</t>
  </si>
  <si>
    <t>Olivia Martinez</t>
  </si>
  <si>
    <t>Diana Lee</t>
  </si>
  <si>
    <t>Nathan Brooks</t>
  </si>
  <si>
    <t>Steven Martinez</t>
  </si>
  <si>
    <t>Karen Singh</t>
  </si>
  <si>
    <t>Brian Murphy</t>
  </si>
  <si>
    <t>Marcus Johnson</t>
  </si>
  <si>
    <t>Catherine Hayes</t>
  </si>
  <si>
    <t>Tina Wang</t>
  </si>
  <si>
    <t>Eric Johansson</t>
  </si>
  <si>
    <t>Alexander Petrov</t>
  </si>
  <si>
    <t>Patricia Wong</t>
  </si>
  <si>
    <t>Rachel Kim</t>
  </si>
  <si>
    <t>Gregory Adams</t>
  </si>
  <si>
    <t>Vincent Lopez</t>
  </si>
  <si>
    <t>Nicole Fraser</t>
  </si>
  <si>
    <t>Heather Stone</t>
  </si>
  <si>
    <t>Jason Burke</t>
  </si>
  <si>
    <t>Brandon Lee</t>
  </si>
  <si>
    <t>Laura Schmidt</t>
  </si>
  <si>
    <t>Melissa Chang</t>
  </si>
  <si>
    <t>Derek Coleman</t>
  </si>
  <si>
    <t>Tyler Morrison</t>
  </si>
  <si>
    <t>Stephanie Mills</t>
  </si>
  <si>
    <t>Christina Reyes</t>
  </si>
  <si>
    <t>Matthew Clarke</t>
  </si>
  <si>
    <t>Carlos Mendez</t>
  </si>
  <si>
    <t>Victoria Santos</t>
  </si>
  <si>
    <t>Jennifer Park</t>
  </si>
  <si>
    <t>Benjamin Scott</t>
  </si>
  <si>
    <t>Michael Chang</t>
  </si>
  <si>
    <t>Alexis Rivera</t>
  </si>
  <si>
    <t>Natalie Brooks</t>
  </si>
  <si>
    <t>Jonathan Reed</t>
  </si>
  <si>
    <t>David Kim</t>
  </si>
  <si>
    <t>Megan O'Connor</t>
  </si>
  <si>
    <t>Rebecca Torres</t>
  </si>
  <si>
    <t>Patrick Dunn</t>
  </si>
  <si>
    <t>Anthony Chen</t>
  </si>
  <si>
    <t>Ashley Gonzalez</t>
  </si>
  <si>
    <t>Stephanie Wu</t>
  </si>
  <si>
    <t>Trevor Banks</t>
  </si>
  <si>
    <t>Justin Taylor</t>
  </si>
  <si>
    <t>Courtney Price</t>
  </si>
  <si>
    <t>Amanda Lee</t>
  </si>
  <si>
    <t>Richard Hoffman</t>
  </si>
  <si>
    <t>Kenneth Wright</t>
  </si>
  <si>
    <t>Sandra Peters</t>
  </si>
  <si>
    <t>Edward Mueller</t>
  </si>
  <si>
    <t>Paul Anderson</t>
  </si>
  <si>
    <t>Christine Larson</t>
  </si>
  <si>
    <t>Michelle Davis</t>
  </si>
  <si>
    <t>George Volkov</t>
  </si>
  <si>
    <t>Steven Nakamura</t>
  </si>
  <si>
    <t>Deborah Nash</t>
  </si>
  <si>
    <t>Teresa Gonzalez</t>
  </si>
  <si>
    <t>Harold Chen</t>
  </si>
  <si>
    <t>Bruce Thompson</t>
  </si>
  <si>
    <t>Monica Fernandez</t>
  </si>
  <si>
    <t>Angela Park</t>
  </si>
  <si>
    <t>Russell White</t>
  </si>
  <si>
    <t>Douglas Chen</t>
  </si>
  <si>
    <t>Janet Kowalski</t>
  </si>
  <si>
    <t>Carolyn Reed</t>
  </si>
  <si>
    <t>Christopher Blake</t>
  </si>
  <si>
    <t>Jeffrey Kumar</t>
  </si>
  <si>
    <t>Elizabeth Morgan</t>
  </si>
  <si>
    <t>Stephanie Liu</t>
  </si>
  <si>
    <t>Joseph Turner</t>
  </si>
  <si>
    <t>Robert Chang</t>
  </si>
  <si>
    <t>Margaret Sullivan</t>
  </si>
  <si>
    <t>Karen Patel</t>
  </si>
  <si>
    <t>Raymond Diaz</t>
  </si>
  <si>
    <t>Brian Yamamoto</t>
  </si>
  <si>
    <t>Pamela Anderson</t>
  </si>
  <si>
    <t>Lisa Hernandez</t>
  </si>
  <si>
    <t>Timothy Foster</t>
  </si>
  <si>
    <t>Scott McKenzie</t>
  </si>
  <si>
    <t>Diane Wilson</t>
  </si>
  <si>
    <t>Nicole Chen</t>
  </si>
  <si>
    <t>Gary Martinez</t>
  </si>
  <si>
    <t>Adam Roberts</t>
  </si>
  <si>
    <t>Barbara Collins</t>
  </si>
  <si>
    <t>Katherine Wong</t>
  </si>
  <si>
    <t>Daniel Crawford</t>
  </si>
  <si>
    <t>Nicholas Chen</t>
  </si>
  <si>
    <t>Susan Perry</t>
  </si>
  <si>
    <t>William Hughes</t>
  </si>
  <si>
    <t>Jonathan Park</t>
  </si>
  <si>
    <t>Dorothy Barnes</t>
  </si>
  <si>
    <t>Christine Lee</t>
  </si>
  <si>
    <t>Frank Reynolds</t>
  </si>
  <si>
    <t>Gregory Wang</t>
  </si>
  <si>
    <t>Helen Stewart</t>
  </si>
  <si>
    <t>Melissa Johnson</t>
  </si>
  <si>
    <t>Keith Nelson</t>
  </si>
  <si>
    <t>Eric Tanaka</t>
  </si>
  <si>
    <t>Gloria Ramirez</t>
  </si>
  <si>
    <t>Patricia Kim</t>
  </si>
  <si>
    <t>Ronald Cooper</t>
  </si>
  <si>
    <t>Howard Lin</t>
  </si>
  <si>
    <t>Ruth Simmons</t>
  </si>
  <si>
    <t>Sandra Mitchell</t>
  </si>
  <si>
    <t>Howard Blackwell</t>
  </si>
  <si>
    <t>Jeremy Thompson</t>
  </si>
  <si>
    <t>Cynthia Drake</t>
  </si>
  <si>
    <t>Kimberly Chen</t>
  </si>
  <si>
    <t>Vincent Marshall</t>
  </si>
  <si>
    <t>Patrick Sullivan</t>
  </si>
  <si>
    <t>Evelyn Rhodes</t>
  </si>
  <si>
    <t>Diana Wong</t>
  </si>
  <si>
    <t>Lawrence Griffin</t>
  </si>
  <si>
    <t>Raymond Lee</t>
  </si>
  <si>
    <t>Judith Palmer</t>
  </si>
  <si>
    <t>Vanessa Garcia</t>
  </si>
  <si>
    <t>Stanley Cross</t>
  </si>
  <si>
    <t>Derek Martin</t>
  </si>
  <si>
    <t>Marilyn Webb</t>
  </si>
  <si>
    <t>Julie Park</t>
  </si>
  <si>
    <t>Leonard Foster</t>
  </si>
  <si>
    <t>Marcus Davis</t>
  </si>
  <si>
    <t>Theresa Quinn</t>
  </si>
  <si>
    <t>Eleanor Kim</t>
  </si>
  <si>
    <t>Charles Hamilton</t>
  </si>
  <si>
    <t>Donald Chen</t>
  </si>
  <si>
    <t>Nancy Porter</t>
  </si>
  <si>
    <t>Sarah Yamamoto</t>
  </si>
  <si>
    <t>Franklin Shaw</t>
  </si>
  <si>
    <t>Bruce Lee</t>
  </si>
  <si>
    <t>Joan Mitchell</t>
  </si>
  <si>
    <t>Michelle Patel</t>
  </si>
  <si>
    <t>Gerald Davidson</t>
  </si>
  <si>
    <t>Victor Wang</t>
  </si>
  <si>
    <t>Alice Brennan</t>
  </si>
  <si>
    <t>Cynthia Kim</t>
  </si>
  <si>
    <t>Eugene Watts</t>
  </si>
  <si>
    <t>Arthur Santos</t>
  </si>
  <si>
    <t>Marie Coleman</t>
  </si>
  <si>
    <t>Linda Nguyen</t>
  </si>
  <si>
    <t>Henry Sutton</t>
  </si>
  <si>
    <t>Norman Park</t>
  </si>
  <si>
    <t>Grace Hartley</t>
  </si>
  <si>
    <t>Betty Liu</t>
  </si>
  <si>
    <t>Env Owner</t>
  </si>
  <si>
    <t>Alex Rivera (Dev Mgr)</t>
  </si>
  <si>
    <t>Sam Anderson (QA Lead)</t>
  </si>
  <si>
    <t>Rachel Green (Bus Analyst)</t>
  </si>
  <si>
    <t>Nathan Cole (Release Mgr)</t>
  </si>
  <si>
    <t>Victoria Sterling (Ops Mgr)</t>
  </si>
  <si>
    <t>Robert Shield (Infra Lead)</t>
  </si>
  <si>
    <t>Jordan Lee (Dev Mgr)</t>
  </si>
  <si>
    <t>Chris Park (QA Lead)</t>
  </si>
  <si>
    <t>Monica Geller (Bus Analyst)</t>
  </si>
  <si>
    <t>Ethan Black (Release Mgr)</t>
  </si>
  <si>
    <t>Elizabeth Crown (Ops Mgr)</t>
  </si>
  <si>
    <t>William Guard (Infra Lead)</t>
  </si>
  <si>
    <t>Casey Chen (Dev Mgr)</t>
  </si>
  <si>
    <t>Pat Murphy (QA Lead)</t>
  </si>
  <si>
    <t>Phoebe Buffay (Bus Analyst)</t>
  </si>
  <si>
    <t>Lucas White (Release Mgr)</t>
  </si>
  <si>
    <t>Catherine Royal (Ops Mgr)</t>
  </si>
  <si>
    <t>James Fortress (Infra Lead)</t>
  </si>
  <si>
    <t>Morgan Taylor (Dev Mgr)</t>
  </si>
  <si>
    <t>Jesse Garcia (QA Lead)</t>
  </si>
  <si>
    <t>Emma Watson (Bus Analyst)</t>
  </si>
  <si>
    <t>Mason Gray (Release Mgr)</t>
  </si>
  <si>
    <t>Margaret Noble (Ops Mgr)</t>
  </si>
  <si>
    <t>Michael Bastion (Infra Lead)</t>
  </si>
  <si>
    <t>Jamie Patel (Dev Mgr)</t>
  </si>
  <si>
    <t>Robin Chen (QA Lead)</t>
  </si>
  <si>
    <t>Sophie Turner (Bus Analyst)</t>
  </si>
  <si>
    <t>Logan Stone (Release Mgr)</t>
  </si>
  <si>
    <t>Diana Prince (Ops Mgr)</t>
  </si>
  <si>
    <t>David Tower (Infra Lead)</t>
  </si>
  <si>
    <t>Riley Kim (Dev Mgr)</t>
  </si>
  <si>
    <t>Dana Wilson (QA Lead)</t>
  </si>
  <si>
    <t>Mia Collins (Bus Analyst)</t>
  </si>
  <si>
    <t>Jacob Hill (Release Mgr)</t>
  </si>
  <si>
    <t>Helena Troy (Ops Mgr)</t>
  </si>
  <si>
    <t>Richard Wall (Infra Lead)</t>
  </si>
  <si>
    <t>Quinn Johnson (Dev Mgr)</t>
  </si>
  <si>
    <t>Kelly Nguyen (QA Lead)</t>
  </si>
  <si>
    <t>Isabella Moore (Bus Analyst)</t>
  </si>
  <si>
    <t>Aiden Clark (Release Mgr)</t>
  </si>
  <si>
    <t>Sophia Grace (Ops Mgr)</t>
  </si>
  <si>
    <t>Thomas Castle (Infra Lead)</t>
  </si>
  <si>
    <t>Avery Williams (Dev Mgr)</t>
  </si>
  <si>
    <t>Terry Brooks (QA Lead)</t>
  </si>
  <si>
    <t>Olivia James (Bus Analyst)</t>
  </si>
  <si>
    <t>Jackson Moore (Release Mgr)</t>
  </si>
  <si>
    <t>Alexandra Reid (Ops Mgr)</t>
  </si>
  <si>
    <t>Charles Vault (Infra Lead)</t>
  </si>
  <si>
    <t>Drew Martinez (Dev Mgr)</t>
  </si>
  <si>
    <t>Skyler Davis (QA Lead)</t>
  </si>
  <si>
    <t>Ava Mitchell (Bus Analyst)</t>
  </si>
  <si>
    <t>Sebastian Hall (Release Mgr)</t>
  </si>
  <si>
    <t>Christina Vale (Ops Mgr)</t>
  </si>
  <si>
    <t>Daniel Bunker (Infra Lead)</t>
  </si>
  <si>
    <t>Cameron Brown (Dev Mgr)</t>
  </si>
  <si>
    <t>Jordan Reed (QA Lead)</t>
  </si>
  <si>
    <t>Charlotte Price (Bus Analyst)</t>
  </si>
  <si>
    <t>Caleb Young (Release Mgr)</t>
  </si>
  <si>
    <t>Natasha Roman (Ops Mgr)</t>
  </si>
  <si>
    <t>Matthew Haven (Infra Lead)</t>
  </si>
  <si>
    <t>Taylor Singh (Dev Mgr)</t>
  </si>
  <si>
    <t>Alex Foster (QA Lead)</t>
  </si>
  <si>
    <t>Amelia Scott (Bus Analyst)</t>
  </si>
  <si>
    <t>Owen King (Release Mgr)</t>
  </si>
  <si>
    <t>Amanda Cross (Ops Mgr)</t>
  </si>
  <si>
    <t>Anthony Secure (Infra Lead)</t>
  </si>
  <si>
    <t>Blake Thompson (Dev Mgr)</t>
  </si>
  <si>
    <t>Morgan Hayes (QA Lead)</t>
  </si>
  <si>
    <t>Harper Lewis (Bus Analyst)</t>
  </si>
  <si>
    <t>Liam Wright (Release Mgr)</t>
  </si>
  <si>
    <t>Rebecca Stone (Ops Mgr)</t>
  </si>
  <si>
    <t>Mark Backup (Infra Lead)</t>
  </si>
  <si>
    <t>Application Owner</t>
  </si>
  <si>
    <t>ID</t>
  </si>
  <si>
    <t>Name</t>
  </si>
  <si>
    <t>Email</t>
  </si>
  <si>
    <t>Region</t>
  </si>
  <si>
    <t>Phone</t>
  </si>
  <si>
    <t>Specialization</t>
  </si>
  <si>
    <t>RM-001</t>
  </si>
  <si>
    <t>Nathan Cole</t>
  </si>
  <si>
    <t>nathan.cole@company.com</t>
  </si>
  <si>
    <t>North America</t>
  </si>
  <si>
    <t>+1-555-0101</t>
  </si>
  <si>
    <t>Active</t>
  </si>
  <si>
    <t>Finance &amp; HR Systems</t>
  </si>
  <si>
    <t>RM-002</t>
  </si>
  <si>
    <t>Ethan Black</t>
  </si>
  <si>
    <t>ethan.black@company.com</t>
  </si>
  <si>
    <t>+1-555-0102</t>
  </si>
  <si>
    <t>Manufacturing &amp; Logistics</t>
  </si>
  <si>
    <t>RM-003</t>
  </si>
  <si>
    <t>Lucas White</t>
  </si>
  <si>
    <t>lucas.white@company.com</t>
  </si>
  <si>
    <t>EMEA</t>
  </si>
  <si>
    <t>+44-20-5550103</t>
  </si>
  <si>
    <t>CRM &amp; Sales Systems</t>
  </si>
  <si>
    <t>RM-004</t>
  </si>
  <si>
    <t>Mason Gray</t>
  </si>
  <si>
    <t>mason.gray@company.com</t>
  </si>
  <si>
    <t>+44-20-5550104</t>
  </si>
  <si>
    <t>Security &amp; Infrastructure</t>
  </si>
  <si>
    <t>RM-005</t>
  </si>
  <si>
    <t>Logan Stone</t>
  </si>
  <si>
    <t>logan.stone@company.com</t>
  </si>
  <si>
    <t>APAC</t>
  </si>
  <si>
    <t>+61-2-5550105</t>
  </si>
  <si>
    <t>Legal &amp; Compliance</t>
  </si>
  <si>
    <t>RM-006</t>
  </si>
  <si>
    <t>Jacob Hill</t>
  </si>
  <si>
    <t>jacob.hill@company.com</t>
  </si>
  <si>
    <t>+61-2-5550106</t>
  </si>
  <si>
    <t>HR &amp; Talent Systems</t>
  </si>
  <si>
    <t>RM-007</t>
  </si>
  <si>
    <t>Aiden Clark</t>
  </si>
  <si>
    <t>aiden.clark@company.com</t>
  </si>
  <si>
    <t>+1-555-0107</t>
  </si>
  <si>
    <t>Integration &amp; Middleware</t>
  </si>
  <si>
    <t>RM-008</t>
  </si>
  <si>
    <t>Jackson Moore</t>
  </si>
  <si>
    <t>jackson.moore@company.com</t>
  </si>
  <si>
    <t>+44-20-5550108</t>
  </si>
  <si>
    <t>Data &amp; Analytics</t>
  </si>
  <si>
    <t>RM-009</t>
  </si>
  <si>
    <t>Sebastian Hall</t>
  </si>
  <si>
    <t>sebastian.hall@company.com</t>
  </si>
  <si>
    <t>LATAM</t>
  </si>
  <si>
    <t>+55-11-5550109</t>
  </si>
  <si>
    <t>ERP Systems</t>
  </si>
  <si>
    <t>RM-010</t>
  </si>
  <si>
    <t>Caleb Young</t>
  </si>
  <si>
    <t>caleb.young@company.com</t>
  </si>
  <si>
    <t>+1-555-0110</t>
  </si>
  <si>
    <t>Cloud &amp; SaaS Platforms</t>
  </si>
  <si>
    <t>RM-011</t>
  </si>
  <si>
    <t>Owen King</t>
  </si>
  <si>
    <t>owen.king@company.com</t>
  </si>
  <si>
    <t>+65-5550111</t>
  </si>
  <si>
    <t>Manufacturing Execution</t>
  </si>
  <si>
    <t>RM-012</t>
  </si>
  <si>
    <t>Liam Wright</t>
  </si>
  <si>
    <t>liam.wright@company.com</t>
  </si>
  <si>
    <t>+49-30-5550112</t>
  </si>
  <si>
    <t>On Leave</t>
  </si>
  <si>
    <t>Finance Reporting</t>
  </si>
  <si>
    <t>User ID</t>
  </si>
  <si>
    <t>Role</t>
  </si>
  <si>
    <t>Manager</t>
  </si>
  <si>
    <t>Access Level</t>
  </si>
  <si>
    <t>Last Login</t>
  </si>
  <si>
    <t>USR-001</t>
  </si>
  <si>
    <t>Alex Rivera</t>
  </si>
  <si>
    <t>alex.rivera@company.com</t>
  </si>
  <si>
    <t>Development Manager</t>
  </si>
  <si>
    <t>CTO Office</t>
  </si>
  <si>
    <t>Admin</t>
  </si>
  <si>
    <t>USR-002</t>
  </si>
  <si>
    <t>Jordan Lee</t>
  </si>
  <si>
    <t>jordan.lee@company.com</t>
  </si>
  <si>
    <t>USR-003</t>
  </si>
  <si>
    <t>Casey Chen</t>
  </si>
  <si>
    <t>casey.chen@company.com</t>
  </si>
  <si>
    <t>USR-004</t>
  </si>
  <si>
    <t>Morgan Taylor</t>
  </si>
  <si>
    <t>morgan.taylor@company.com</t>
  </si>
  <si>
    <t>USR-005</t>
  </si>
  <si>
    <t>Jamie Patel</t>
  </si>
  <si>
    <t>jamie.patel@company.com</t>
  </si>
  <si>
    <t>USR-006</t>
  </si>
  <si>
    <t>Riley Kim</t>
  </si>
  <si>
    <t>riley.kim@company.com</t>
  </si>
  <si>
    <t>USR-007</t>
  </si>
  <si>
    <t>Quinn Johnson</t>
  </si>
  <si>
    <t>quinn.johnson@company.com</t>
  </si>
  <si>
    <t>USR-008</t>
  </si>
  <si>
    <t>Avery Williams</t>
  </si>
  <si>
    <t>avery.williams@company.com</t>
  </si>
  <si>
    <t>USR-009</t>
  </si>
  <si>
    <t>Drew Martinez</t>
  </si>
  <si>
    <t>drew.martinez@company.com</t>
  </si>
  <si>
    <t>USR-010</t>
  </si>
  <si>
    <t>Cameron Brown</t>
  </si>
  <si>
    <t>cameron.brown@company.com</t>
  </si>
  <si>
    <t>USR-011</t>
  </si>
  <si>
    <t>Taylor Singh</t>
  </si>
  <si>
    <t>taylor.singh@company.com</t>
  </si>
  <si>
    <t>USR-012</t>
  </si>
  <si>
    <t>Blake Thompson</t>
  </si>
  <si>
    <t>blake.thompson@company.com</t>
  </si>
  <si>
    <t>USR-013</t>
  </si>
  <si>
    <t>Sam Anderson</t>
  </si>
  <si>
    <t>sam.anderson@company.com</t>
  </si>
  <si>
    <t>QA Lead</t>
  </si>
  <si>
    <t>QA</t>
  </si>
  <si>
    <t>QA Director</t>
  </si>
  <si>
    <t>USR-014</t>
  </si>
  <si>
    <t>Chris Park</t>
  </si>
  <si>
    <t>chris.park@company.com</t>
  </si>
  <si>
    <t>USR-015</t>
  </si>
  <si>
    <t>Pat Murphy</t>
  </si>
  <si>
    <t>pat.murphy@company.com</t>
  </si>
  <si>
    <t>USR-016</t>
  </si>
  <si>
    <t>Jesse Garcia</t>
  </si>
  <si>
    <t>jesse.garcia@company.com</t>
  </si>
  <si>
    <t>USR-017</t>
  </si>
  <si>
    <t>Robin Chen</t>
  </si>
  <si>
    <t>robin.chen@company.com</t>
  </si>
  <si>
    <t>USR-018</t>
  </si>
  <si>
    <t>Dana Wilson</t>
  </si>
  <si>
    <t>dana.wilson@company.com</t>
  </si>
  <si>
    <t>USR-019</t>
  </si>
  <si>
    <t>Kelly Nguyen</t>
  </si>
  <si>
    <t>kelly.nguyen@company.com</t>
  </si>
  <si>
    <t>USR-020</t>
  </si>
  <si>
    <t>Terry Brooks</t>
  </si>
  <si>
    <t>terry.brooks@company.com</t>
  </si>
  <si>
    <t>USR-021</t>
  </si>
  <si>
    <t>Skyler Davis</t>
  </si>
  <si>
    <t>skyler.davis@company.com</t>
  </si>
  <si>
    <t>USR-022</t>
  </si>
  <si>
    <t>Jordan Reed</t>
  </si>
  <si>
    <t>jordan.reed@company.com</t>
  </si>
  <si>
    <t>USR-023</t>
  </si>
  <si>
    <t>Alex Foster</t>
  </si>
  <si>
    <t>alex.foster@company.com</t>
  </si>
  <si>
    <t>USR-024</t>
  </si>
  <si>
    <t>Morgan Hayes</t>
  </si>
  <si>
    <t>morgan.hayes@company.com</t>
  </si>
  <si>
    <t>USR-025</t>
  </si>
  <si>
    <t>rachel.green@company.com</t>
  </si>
  <si>
    <t>Business Analyst</t>
  </si>
  <si>
    <t>Business Ops</t>
  </si>
  <si>
    <t>BA Manager</t>
  </si>
  <si>
    <t>USR-026</t>
  </si>
  <si>
    <t>Monica Geller</t>
  </si>
  <si>
    <t>monica.geller@company.com</t>
  </si>
  <si>
    <t>USR-027</t>
  </si>
  <si>
    <t>Phoebe Buffay</t>
  </si>
  <si>
    <t>phoebe.buffay@company.com</t>
  </si>
  <si>
    <t>USR-028</t>
  </si>
  <si>
    <t>Emma Watson</t>
  </si>
  <si>
    <t>emma.watson@company.com</t>
  </si>
  <si>
    <t>USR-029</t>
  </si>
  <si>
    <t>Sophie Turner</t>
  </si>
  <si>
    <t>sophie.turner@company.com</t>
  </si>
  <si>
    <t>USR-030</t>
  </si>
  <si>
    <t>Mia Collins</t>
  </si>
  <si>
    <t>mia.collins@company.com</t>
  </si>
  <si>
    <t>USR-031</t>
  </si>
  <si>
    <t>Isabella Moore</t>
  </si>
  <si>
    <t>isabella.moore@company.com</t>
  </si>
  <si>
    <t>USR-032</t>
  </si>
  <si>
    <t>Olivia James</t>
  </si>
  <si>
    <t>olivia.james@company.com</t>
  </si>
  <si>
    <t>USR-033</t>
  </si>
  <si>
    <t>Ava Mitchell</t>
  </si>
  <si>
    <t>ava.mitchell@company.com</t>
  </si>
  <si>
    <t>USR-034</t>
  </si>
  <si>
    <t>Charlotte Price</t>
  </si>
  <si>
    <t>charlotte.price@company.com</t>
  </si>
  <si>
    <t>USR-035</t>
  </si>
  <si>
    <t>Amelia Scott</t>
  </si>
  <si>
    <t>amelia.scott@company.com</t>
  </si>
  <si>
    <t>USR-036</t>
  </si>
  <si>
    <t>Harper Lewis</t>
  </si>
  <si>
    <t>harper.lewis@company.com</t>
  </si>
  <si>
    <t>USR-037</t>
  </si>
  <si>
    <t>Release Manager</t>
  </si>
  <si>
    <t>IT Director</t>
  </si>
  <si>
    <t>USR-038</t>
  </si>
  <si>
    <t>USR-039</t>
  </si>
  <si>
    <t>USR-040</t>
  </si>
  <si>
    <t>USR-041</t>
  </si>
  <si>
    <t>USR-042</t>
  </si>
  <si>
    <t>USR-043</t>
  </si>
  <si>
    <t>USR-044</t>
  </si>
  <si>
    <t>USR-045</t>
  </si>
  <si>
    <t>USR-046</t>
  </si>
  <si>
    <t>USR-047</t>
  </si>
  <si>
    <t>USR-048</t>
  </si>
  <si>
    <t>USR-049</t>
  </si>
  <si>
    <t>Victoria Sterling</t>
  </si>
  <si>
    <t>victoria.sterling@company.com</t>
  </si>
  <si>
    <t>Operations Manager</t>
  </si>
  <si>
    <t>Operations</t>
  </si>
  <si>
    <t>VP Operations</t>
  </si>
  <si>
    <t>USR-050</t>
  </si>
  <si>
    <t>Elizabeth Crown</t>
  </si>
  <si>
    <t>elizabeth.crown@company.com</t>
  </si>
  <si>
    <t>USR-051</t>
  </si>
  <si>
    <t>Catherine Royal</t>
  </si>
  <si>
    <t>catherine.royal@company.com</t>
  </si>
  <si>
    <t>USR-052</t>
  </si>
  <si>
    <t>Margaret Noble</t>
  </si>
  <si>
    <t>margaret.noble@company.com</t>
  </si>
  <si>
    <t>USR-053</t>
  </si>
  <si>
    <t>Diana Prince</t>
  </si>
  <si>
    <t>diana.prince@company.com</t>
  </si>
  <si>
    <t>USR-054</t>
  </si>
  <si>
    <t>Helena Troy</t>
  </si>
  <si>
    <t>helena.troy@company.com</t>
  </si>
  <si>
    <t>USR-055</t>
  </si>
  <si>
    <t>Sophia Grace</t>
  </si>
  <si>
    <t>sophia.grace@company.com</t>
  </si>
  <si>
    <t>USR-056</t>
  </si>
  <si>
    <t>Alexandra Reid</t>
  </si>
  <si>
    <t>alexandra.reid@company.com</t>
  </si>
  <si>
    <t>USR-057</t>
  </si>
  <si>
    <t>Christina Vale</t>
  </si>
  <si>
    <t>christina.vale@company.com</t>
  </si>
  <si>
    <t>USR-058</t>
  </si>
  <si>
    <t>Natasha Roman</t>
  </si>
  <si>
    <t>natasha.roman@company.com</t>
  </si>
  <si>
    <t>USR-059</t>
  </si>
  <si>
    <t>Amanda Cross</t>
  </si>
  <si>
    <t>amanda.cross@company.com</t>
  </si>
  <si>
    <t>USR-060</t>
  </si>
  <si>
    <t>Rebecca Stone</t>
  </si>
  <si>
    <t>rebecca.stone@company.com</t>
  </si>
  <si>
    <t>USR-061</t>
  </si>
  <si>
    <t>Robert Shield</t>
  </si>
  <si>
    <t>robert.shield@company.com</t>
  </si>
  <si>
    <t>Infrastructure Lead</t>
  </si>
  <si>
    <t>Infrastructure</t>
  </si>
  <si>
    <t>Infra Director</t>
  </si>
  <si>
    <t>USR-062</t>
  </si>
  <si>
    <t>William Guard</t>
  </si>
  <si>
    <t>william.guard@company.com</t>
  </si>
  <si>
    <t>USR-063</t>
  </si>
  <si>
    <t>James Fortress</t>
  </si>
  <si>
    <t>james.fortress@company.com</t>
  </si>
  <si>
    <t>USR-064</t>
  </si>
  <si>
    <t>Michael Bastion</t>
  </si>
  <si>
    <t>michael.bastion@company.com</t>
  </si>
  <si>
    <t>USR-065</t>
  </si>
  <si>
    <t>David Tower</t>
  </si>
  <si>
    <t>david.tower@company.com</t>
  </si>
  <si>
    <t>USR-066</t>
  </si>
  <si>
    <t>Richard Wall</t>
  </si>
  <si>
    <t>richard.wall@company.com</t>
  </si>
  <si>
    <t>USR-067</t>
  </si>
  <si>
    <t>Thomas Castle</t>
  </si>
  <si>
    <t>thomas.castle@company.com</t>
  </si>
  <si>
    <t>USR-068</t>
  </si>
  <si>
    <t>Charles Vault</t>
  </si>
  <si>
    <t>charles.vault@company.com</t>
  </si>
  <si>
    <t>USR-069</t>
  </si>
  <si>
    <t>Daniel Bunker</t>
  </si>
  <si>
    <t>daniel.bunker@company.com</t>
  </si>
  <si>
    <t>USR-070</t>
  </si>
  <si>
    <t>Matthew Haven</t>
  </si>
  <si>
    <t>matthew.haven@company.com</t>
  </si>
  <si>
    <t>USR-071</t>
  </si>
  <si>
    <t>Anthony Secure</t>
  </si>
  <si>
    <t>anthony.secure@company.com</t>
  </si>
  <si>
    <t>USR-072</t>
  </si>
  <si>
    <t>Mark Backup</t>
  </si>
  <si>
    <t>mark.backup@company.com</t>
  </si>
  <si>
    <t>USR-073</t>
  </si>
  <si>
    <t>sarah.mitchell@company.com</t>
  </si>
  <si>
    <t>Finance Director</t>
  </si>
  <si>
    <t>USR-074</t>
  </si>
  <si>
    <t>david.chen@company.com</t>
  </si>
  <si>
    <t>USR-075</t>
  </si>
  <si>
    <t>brian.murphy@company.com</t>
  </si>
  <si>
    <t>Logistics Director</t>
  </si>
  <si>
    <t>USR-076</t>
  </si>
  <si>
    <t>matthew.clarke@company.com</t>
  </si>
  <si>
    <t>Sales Director</t>
  </si>
  <si>
    <t>USR-077</t>
  </si>
  <si>
    <t>richard.hoffman@company.com</t>
  </si>
  <si>
    <t>Mfg Director</t>
  </si>
  <si>
    <t>USR-078</t>
  </si>
  <si>
    <t>christopher.blake@company.com</t>
  </si>
  <si>
    <t>USR-079</t>
  </si>
  <si>
    <t>daniel.crawford@company.com</t>
  </si>
  <si>
    <t>HR Director</t>
  </si>
  <si>
    <t>USR-080</t>
  </si>
  <si>
    <t>howard.blackwell@company.com</t>
  </si>
  <si>
    <t>Legal Director</t>
  </si>
  <si>
    <t>USR-081</t>
  </si>
  <si>
    <t>charles.hamilton@company.com</t>
  </si>
  <si>
    <t>CISO</t>
  </si>
  <si>
    <t>USR-082</t>
  </si>
  <si>
    <t>james.wilson@company.com</t>
  </si>
  <si>
    <t>App Owner</t>
  </si>
  <si>
    <t>USR-083</t>
  </si>
  <si>
    <t>marcus.johnson@company.com</t>
  </si>
  <si>
    <t>USR-084</t>
  </si>
  <si>
    <t>carlos.mendez@company.com</t>
  </si>
  <si>
    <t>USR-085</t>
  </si>
  <si>
    <t>kenneth.wright@company.com</t>
  </si>
  <si>
    <t>USR-086</t>
  </si>
  <si>
    <t>jeffrey.kumar@company.com</t>
  </si>
  <si>
    <t>USR-087</t>
  </si>
  <si>
    <t>nicholas.chen@company.com</t>
  </si>
  <si>
    <t>USR-088</t>
  </si>
  <si>
    <t>Michael Sterling</t>
  </si>
  <si>
    <t>michael.sterling@company.com</t>
  </si>
  <si>
    <t>CTO</t>
  </si>
  <si>
    <t>Executive</t>
  </si>
  <si>
    <t>CEO</t>
  </si>
  <si>
    <t>USR-089</t>
  </si>
  <si>
    <t>Jennifer Morrison</t>
  </si>
  <si>
    <t>jennifer.morrison@company.com</t>
  </si>
  <si>
    <t>CIO</t>
  </si>
  <si>
    <t>USR-090</t>
  </si>
  <si>
    <t>Robert Anderson</t>
  </si>
  <si>
    <t>robert.anderson@company.com</t>
  </si>
  <si>
    <t>CFO</t>
  </si>
  <si>
    <t>USR-091</t>
  </si>
  <si>
    <t>Linda Prescott</t>
  </si>
  <si>
    <t>linda.prescott@company.com</t>
  </si>
  <si>
    <t>VP Engineering</t>
  </si>
  <si>
    <t>USR-092</t>
  </si>
  <si>
    <t>Thomas Reynolds</t>
  </si>
  <si>
    <t>thomas.reynolds@company.com</t>
  </si>
  <si>
    <t>COO</t>
  </si>
  <si>
    <t>USR-093</t>
  </si>
  <si>
    <t>emily.zhang@company.com</t>
  </si>
  <si>
    <t>Senior Developer</t>
  </si>
  <si>
    <t>Dev Manager</t>
  </si>
  <si>
    <t>USR-094</t>
  </si>
  <si>
    <t>michael.brown@company.com</t>
  </si>
  <si>
    <t>USR-095</t>
  </si>
  <si>
    <t>priya.sharma@company.com</t>
  </si>
  <si>
    <t>Database Admin</t>
  </si>
  <si>
    <t>Infra Lead</t>
  </si>
  <si>
    <t>USR-096</t>
  </si>
  <si>
    <t>angela.liu@company.com</t>
  </si>
  <si>
    <t>Systems Analyst</t>
  </si>
  <si>
    <t>USR-097</t>
  </si>
  <si>
    <t>ryan.cooper@company.com</t>
  </si>
  <si>
    <t>DevOps Engineer</t>
  </si>
  <si>
    <t>USR-098</t>
  </si>
  <si>
    <t>jessica.nguyen@company.com</t>
  </si>
  <si>
    <t>Security Analyst</t>
  </si>
  <si>
    <t>USR-099</t>
  </si>
  <si>
    <t>brandon.lee@company.com</t>
  </si>
  <si>
    <t>Network Engineer</t>
  </si>
  <si>
    <t>USR-100</t>
  </si>
  <si>
    <t>michelle.davis@company.com</t>
  </si>
  <si>
    <t>Project Manager</t>
  </si>
  <si>
    <t>PMO</t>
  </si>
  <si>
    <t>PMO Director</t>
  </si>
  <si>
    <t>App ID</t>
  </si>
  <si>
    <t>Version</t>
  </si>
  <si>
    <t>Build Number</t>
  </si>
  <si>
    <t>Deploy Date</t>
  </si>
  <si>
    <t>Deployed By</t>
  </si>
  <si>
    <t>APP-001</t>
  </si>
  <si>
    <t>2026.3.0-beta</t>
  </si>
  <si>
    <t>Build-45892</t>
  </si>
  <si>
    <t>Latest features in testing</t>
  </si>
  <si>
    <t>2026.2.5</t>
  </si>
  <si>
    <t>Build-45721</t>
  </si>
  <si>
    <t>QA validation in progress</t>
  </si>
  <si>
    <t>2026.2.3</t>
  </si>
  <si>
    <t>Build-45650</t>
  </si>
  <si>
    <t>Business sign-off pending</t>
  </si>
  <si>
    <t>2026.2.1</t>
  </si>
  <si>
    <t>Build-45580</t>
  </si>
  <si>
    <t>Ready for production</t>
  </si>
  <si>
    <t>2026.2.0-GA</t>
  </si>
  <si>
    <t>Build-45500</t>
  </si>
  <si>
    <t>Current production version</t>
  </si>
  <si>
    <t>Mirrors production</t>
  </si>
  <si>
    <t>APP-002</t>
  </si>
  <si>
    <t>5.8.2-alpha</t>
  </si>
  <si>
    <t>Build-12340</t>
  </si>
  <si>
    <t>New planning module</t>
  </si>
  <si>
    <t>5.8.1</t>
  </si>
  <si>
    <t>Build-12280</t>
  </si>
  <si>
    <t>Regression testing</t>
  </si>
  <si>
    <t>5.7.5</t>
  </si>
  <si>
    <t>Build-12150</t>
  </si>
  <si>
    <t>User acceptance</t>
  </si>
  <si>
    <t>5.7.4</t>
  </si>
  <si>
    <t>Build-12100</t>
  </si>
  <si>
    <t>Performance verified</t>
  </si>
  <si>
    <t>5.7.3-GA</t>
  </si>
  <si>
    <t>Build-12050</t>
  </si>
  <si>
    <t>Stable release</t>
  </si>
  <si>
    <t>DR sync complete</t>
  </si>
  <si>
    <t>APP-003</t>
  </si>
  <si>
    <t>10.5.0-dev</t>
  </si>
  <si>
    <t>Build-78901</t>
  </si>
  <si>
    <t>Route optimization update</t>
  </si>
  <si>
    <t>10.4.8</t>
  </si>
  <si>
    <t>Build-78800</t>
  </si>
  <si>
    <t>Integration tests</t>
  </si>
  <si>
    <t>10.4.6</t>
  </si>
  <si>
    <t>Build-78700</t>
  </si>
  <si>
    <t>Carrier testing</t>
  </si>
  <si>
    <t>10.4.5</t>
  </si>
  <si>
    <t>Build-78650</t>
  </si>
  <si>
    <t>Load tested</t>
  </si>
  <si>
    <t>10.4.4-GA</t>
  </si>
  <si>
    <t>Build-78600</t>
  </si>
  <si>
    <t>Production stable</t>
  </si>
  <si>
    <t>Failover tested</t>
  </si>
  <si>
    <t>APP-004</t>
  </si>
  <si>
    <t>Spring'26.3-beta</t>
  </si>
  <si>
    <t>Build-SF2603</t>
  </si>
  <si>
    <t>Lightning update</t>
  </si>
  <si>
    <t>Spring'26.2</t>
  </si>
  <si>
    <t>Build-SF2602</t>
  </si>
  <si>
    <t>API testing</t>
  </si>
  <si>
    <t>Spring'26.1</t>
  </si>
  <si>
    <t>Build-SF2601</t>
  </si>
  <si>
    <t>Sales team review</t>
  </si>
  <si>
    <t>Winter'26.5</t>
  </si>
  <si>
    <t>Build-SF2605</t>
  </si>
  <si>
    <t>Sandbox refresh done</t>
  </si>
  <si>
    <t>Winter'26.4-GA</t>
  </si>
  <si>
    <t>Build-SF2604</t>
  </si>
  <si>
    <t>Current release</t>
  </si>
  <si>
    <t>DR active</t>
  </si>
  <si>
    <t>APP-005</t>
  </si>
  <si>
    <t>2026.Q2.3-dev</t>
  </si>
  <si>
    <t>Build-MFG890</t>
  </si>
  <si>
    <t>MES integration</t>
  </si>
  <si>
    <t>2026.Q2.2</t>
  </si>
  <si>
    <t>Build-MFG880</t>
  </si>
  <si>
    <t>Shop floor tests</t>
  </si>
  <si>
    <t>2026.Q2.1</t>
  </si>
  <si>
    <t>Build-MFG870</t>
  </si>
  <si>
    <t>Plant validation</t>
  </si>
  <si>
    <t>2026.Q1.5</t>
  </si>
  <si>
    <t>Build-MFG860</t>
  </si>
  <si>
    <t>Capacity tested</t>
  </si>
  <si>
    <t>2026.Q1.4-GA</t>
  </si>
  <si>
    <t>Build-MFG850</t>
  </si>
  <si>
    <t>Running in 3 plants</t>
  </si>
  <si>
    <t>Geo-redundant</t>
  </si>
  <si>
    <t>APP-006</t>
  </si>
  <si>
    <t>Tokyo-P3-dev</t>
  </si>
  <si>
    <t>Build-SN5502</t>
  </si>
  <si>
    <t>CMDB enhancements</t>
  </si>
  <si>
    <t>Tokyo-P2</t>
  </si>
  <si>
    <t>Build-SN5501</t>
  </si>
  <si>
    <t>Workflow testing</t>
  </si>
  <si>
    <t>Tokyo-P1</t>
  </si>
  <si>
    <t>Build-SN5500</t>
  </si>
  <si>
    <t>IT team sign-off</t>
  </si>
  <si>
    <t>San Diego-P5</t>
  </si>
  <si>
    <t>Build-SN5405</t>
  </si>
  <si>
    <t>Performance OK</t>
  </si>
  <si>
    <t>San Diego-P4-GA</t>
  </si>
  <si>
    <t>Build-SN5404</t>
  </si>
  <si>
    <t>All modules active</t>
  </si>
  <si>
    <t>HA configured</t>
  </si>
  <si>
    <t>APP-007</t>
  </si>
  <si>
    <t>2026R2-dev</t>
  </si>
  <si>
    <t>Build-WD2602</t>
  </si>
  <si>
    <t>Talent module update</t>
  </si>
  <si>
    <t>2026R1.5</t>
  </si>
  <si>
    <t>Build-WD2615</t>
  </si>
  <si>
    <t>Payroll integration</t>
  </si>
  <si>
    <t>2026R1.4</t>
  </si>
  <si>
    <t>Build-WD2614</t>
  </si>
  <si>
    <t>HR validation</t>
  </si>
  <si>
    <t>2026R1.3</t>
  </si>
  <si>
    <t>Build-WD2613</t>
  </si>
  <si>
    <t>Data migration done</t>
  </si>
  <si>
    <t>2026R1.2-GA</t>
  </si>
  <si>
    <t>Build-WD2612</t>
  </si>
  <si>
    <t>Global rollout</t>
  </si>
  <si>
    <t>Cross-region sync</t>
  </si>
  <si>
    <t>APP-008</t>
  </si>
  <si>
    <t>23.5.0-beta</t>
  </si>
  <si>
    <t>Build-DS2350</t>
  </si>
  <si>
    <t>AI clause analysis</t>
  </si>
  <si>
    <t>23.4.3</t>
  </si>
  <si>
    <t>Build-DS2343</t>
  </si>
  <si>
    <t>E-signature tests</t>
  </si>
  <si>
    <t>23.4.2</t>
  </si>
  <si>
    <t>Build-DS2342</t>
  </si>
  <si>
    <t>Legal review</t>
  </si>
  <si>
    <t>23.4.1</t>
  </si>
  <si>
    <t>Build-DS2341</t>
  </si>
  <si>
    <t>Compliance verified</t>
  </si>
  <si>
    <t>23.4.0-GA</t>
  </si>
  <si>
    <t>Build-DS2340</t>
  </si>
  <si>
    <t>All templates live</t>
  </si>
  <si>
    <t>Cloud DR active</t>
  </si>
  <si>
    <t>APP-009</t>
  </si>
  <si>
    <t>7.2.0-alpha</t>
  </si>
  <si>
    <t>Build-CS720</t>
  </si>
  <si>
    <t>New threat models</t>
  </si>
  <si>
    <t>7.1.5</t>
  </si>
  <si>
    <t>Build-CS715</t>
  </si>
  <si>
    <t>Detection testing</t>
  </si>
  <si>
    <t>7.1.4</t>
  </si>
  <si>
    <t>Build-CS714</t>
  </si>
  <si>
    <t>SOC validation</t>
  </si>
  <si>
    <t>7.1.3</t>
  </si>
  <si>
    <t>Build-CS713</t>
  </si>
  <si>
    <t>Sensor verified</t>
  </si>
  <si>
    <t>7.1.2-GA</t>
  </si>
  <si>
    <t>Build-CS712</t>
  </si>
  <si>
    <t>All endpoints</t>
  </si>
  <si>
    <t>24/7 monitoring</t>
  </si>
  <si>
    <t>APP-010</t>
  </si>
  <si>
    <t>9.3.0-dev</t>
  </si>
  <si>
    <t>Build-SP930</t>
  </si>
  <si>
    <t>ML features</t>
  </si>
  <si>
    <t>9.2.5</t>
  </si>
  <si>
    <t>Build-SP925</t>
  </si>
  <si>
    <t>Index testing</t>
  </si>
  <si>
    <t>9.2.4</t>
  </si>
  <si>
    <t>Build-SP924</t>
  </si>
  <si>
    <t>Dashboard review</t>
  </si>
  <si>
    <t>9.2.3</t>
  </si>
  <si>
    <t>Build-SP923</t>
  </si>
  <si>
    <t>License validated</t>
  </si>
  <si>
    <t>9.2.2-GA</t>
  </si>
  <si>
    <t>Build-SP922</t>
  </si>
  <si>
    <t>Heavy forwarders</t>
  </si>
  <si>
    <t>Search head cluster</t>
  </si>
  <si>
    <t>APP-011</t>
  </si>
  <si>
    <t>R33.1-dev</t>
  </si>
  <si>
    <t>Build-CP3310</t>
  </si>
  <si>
    <t>Supplier portal update</t>
  </si>
  <si>
    <t>R33.0</t>
  </si>
  <si>
    <t>Build-CP3300</t>
  </si>
  <si>
    <t>Invoice testing</t>
  </si>
  <si>
    <t>R32.5</t>
  </si>
  <si>
    <t>Build-CP3250</t>
  </si>
  <si>
    <t>Procurement review</t>
  </si>
  <si>
    <t>R32.4</t>
  </si>
  <si>
    <t>Build-CP3240</t>
  </si>
  <si>
    <t>Integration verified</t>
  </si>
  <si>
    <t>R32.3-GA</t>
  </si>
  <si>
    <t>Build-CP3230</t>
  </si>
  <si>
    <t>P2P live</t>
  </si>
  <si>
    <t>Cloud backup</t>
  </si>
  <si>
    <t>APP-012</t>
  </si>
  <si>
    <t>10.0.38-dev</t>
  </si>
  <si>
    <t>Build-D365038</t>
  </si>
  <si>
    <t>Copilot features</t>
  </si>
  <si>
    <t>10.0.37</t>
  </si>
  <si>
    <t>Build-D365037</t>
  </si>
  <si>
    <t>Plugin testing</t>
  </si>
  <si>
    <t>10.0.36</t>
  </si>
  <si>
    <t>Build-D365036</t>
  </si>
  <si>
    <t>10.0.35</t>
  </si>
  <si>
    <t>Build-D365035</t>
  </si>
  <si>
    <t>Data sync done</t>
  </si>
  <si>
    <t>10.0.34-GA</t>
  </si>
  <si>
    <t>Build-D365034</t>
  </si>
  <si>
    <t>Multi-region</t>
  </si>
  <si>
    <t>Azure failover</t>
  </si>
  <si>
    <t>APP-013</t>
  </si>
  <si>
    <t>2026.2.0-dev</t>
  </si>
  <si>
    <t>Build-OPC260</t>
  </si>
  <si>
    <t>Digital twin update</t>
  </si>
  <si>
    <t>2026.1.5</t>
  </si>
  <si>
    <t>Build-OPC255</t>
  </si>
  <si>
    <t>2026.1.4</t>
  </si>
  <si>
    <t>Build-OPC254</t>
  </si>
  <si>
    <t>Plant floor review</t>
  </si>
  <si>
    <t>2026.1.3</t>
  </si>
  <si>
    <t>Build-OPC253</t>
  </si>
  <si>
    <t>2026.1.2-GA</t>
  </si>
  <si>
    <t>Build-OPC252</t>
  </si>
  <si>
    <t>4 plants live</t>
  </si>
  <si>
    <t>Hot standby</t>
  </si>
  <si>
    <t>APP-014</t>
  </si>
  <si>
    <t>2H-2026-dev</t>
  </si>
  <si>
    <t>Build-SF2H26</t>
  </si>
  <si>
    <t>Performance mgmt</t>
  </si>
  <si>
    <t>1H-2026.5</t>
  </si>
  <si>
    <t>Build-SF1H25</t>
  </si>
  <si>
    <t>Goal setting test</t>
  </si>
  <si>
    <t>1H-2026.4</t>
  </si>
  <si>
    <t>Build-SF1H24</t>
  </si>
  <si>
    <t>Employee review</t>
  </si>
  <si>
    <t>1H-2026.3</t>
  </si>
  <si>
    <t>Build-SF1H23</t>
  </si>
  <si>
    <t>Integration OK</t>
  </si>
  <si>
    <t>1H-2026.2-GA</t>
  </si>
  <si>
    <t>Build-SF1H22</t>
  </si>
  <si>
    <t>Global HCM</t>
  </si>
  <si>
    <t>Cloud DR</t>
  </si>
  <si>
    <t>APP-015</t>
  </si>
  <si>
    <t>10.5.0-beta</t>
  </si>
  <si>
    <t>Build-IM1050</t>
  </si>
  <si>
    <t>Matter mgmt update</t>
  </si>
  <si>
    <t>Build-IM1045</t>
  </si>
  <si>
    <t>Doc search tests</t>
  </si>
  <si>
    <t>10.4.4</t>
  </si>
  <si>
    <t>Build-IM1044</t>
  </si>
  <si>
    <t>Legal team review</t>
  </si>
  <si>
    <t>10.4.3</t>
  </si>
  <si>
    <t>Build-IM1043</t>
  </si>
  <si>
    <t>Security verified</t>
  </si>
  <si>
    <t>10.4.2-GA</t>
  </si>
  <si>
    <t>Build-IM1042</t>
  </si>
  <si>
    <t>Firm-wide</t>
  </si>
  <si>
    <t>Replicated</t>
  </si>
  <si>
    <t>APP-016</t>
  </si>
  <si>
    <t>2026.05.2-dev</t>
  </si>
  <si>
    <t>Build-OK0502</t>
  </si>
  <si>
    <t>MFA enhancement</t>
  </si>
  <si>
    <t>2026.05.1</t>
  </si>
  <si>
    <t>Build-OK0501</t>
  </si>
  <si>
    <t>SSO testing</t>
  </si>
  <si>
    <t>2026.04.5</t>
  </si>
  <si>
    <t>Build-OK0405</t>
  </si>
  <si>
    <t>Access review</t>
  </si>
  <si>
    <t>2026.04.4</t>
  </si>
  <si>
    <t>Build-OK0404</t>
  </si>
  <si>
    <t>Policy verified</t>
  </si>
  <si>
    <t>2026.04.3-GA</t>
  </si>
  <si>
    <t>Build-OK0403</t>
  </si>
  <si>
    <t>Enterprise IAM</t>
  </si>
  <si>
    <t>Federated DR</t>
  </si>
  <si>
    <t>APP-017</t>
  </si>
  <si>
    <t>2026.3-dev</t>
  </si>
  <si>
    <t>Build-BY263</t>
  </si>
  <si>
    <t>AI forecasting</t>
  </si>
  <si>
    <t>Build-BY2625</t>
  </si>
  <si>
    <t>Wave planning test</t>
  </si>
  <si>
    <t>2026.2.4</t>
  </si>
  <si>
    <t>Build-BY2624</t>
  </si>
  <si>
    <t>Warehouse review</t>
  </si>
  <si>
    <t>Build-BY2623</t>
  </si>
  <si>
    <t>Peak load OK</t>
  </si>
  <si>
    <t>2026.2.2-GA</t>
  </si>
  <si>
    <t>Build-BY2622</t>
  </si>
  <si>
    <t>5 DCs live</t>
  </si>
  <si>
    <t>Regional backup</t>
  </si>
  <si>
    <t>APP-018</t>
  </si>
  <si>
    <t>1.8.0-dev</t>
  </si>
  <si>
    <t>Build-TF180</t>
  </si>
  <si>
    <t>Provider updates</t>
  </si>
  <si>
    <t>1.7.5</t>
  </si>
  <si>
    <t>Build-TF175</t>
  </si>
  <si>
    <t>Module testing</t>
  </si>
  <si>
    <t>1.7.4</t>
  </si>
  <si>
    <t>Build-TF174</t>
  </si>
  <si>
    <t>Infra review</t>
  </si>
  <si>
    <t>1.7.3</t>
  </si>
  <si>
    <t>Build-TF173</t>
  </si>
  <si>
    <t>State migrated</t>
  </si>
  <si>
    <t>1.7.2-GA</t>
  </si>
  <si>
    <t>Build-TF172</t>
  </si>
  <si>
    <t>IaC platform</t>
  </si>
  <si>
    <t>Workspace sync</t>
  </si>
  <si>
    <t>APP-019</t>
  </si>
  <si>
    <t>11.2.14-dev</t>
  </si>
  <si>
    <t>Build-HFM214</t>
  </si>
  <si>
    <t>Consolidation rules</t>
  </si>
  <si>
    <t>11.2.13</t>
  </si>
  <si>
    <t>Build-HFM213</t>
  </si>
  <si>
    <t>Close cycle test</t>
  </si>
  <si>
    <t>11.2.12</t>
  </si>
  <si>
    <t>Build-HFM212</t>
  </si>
  <si>
    <t>Finance review</t>
  </si>
  <si>
    <t>11.2.11</t>
  </si>
  <si>
    <t>Build-HFM211</t>
  </si>
  <si>
    <t>Period close OK</t>
  </si>
  <si>
    <t>11.2.10-GA</t>
  </si>
  <si>
    <t>Build-HFM210</t>
  </si>
  <si>
    <t>Multi-entity</t>
  </si>
  <si>
    <t>Oracle RAC DR</t>
  </si>
  <si>
    <t>APP-020</t>
  </si>
  <si>
    <t>2026.Q2-dev</t>
  </si>
  <si>
    <t>Build-HS26Q2</t>
  </si>
  <si>
    <t>Marketing hub</t>
  </si>
  <si>
    <t>Build-HS26Q15</t>
  </si>
  <si>
    <t>Campaign tests</t>
  </si>
  <si>
    <t>2026.Q1.4</t>
  </si>
  <si>
    <t>Build-HS26Q14</t>
  </si>
  <si>
    <t>Marketing review</t>
  </si>
  <si>
    <t>2026.Q1.3</t>
  </si>
  <si>
    <t>Build-HS26Q13</t>
  </si>
  <si>
    <t>API verified</t>
  </si>
  <si>
    <t>2026.Q1.2-GA</t>
  </si>
  <si>
    <t>Build-HS26Q12</t>
  </si>
  <si>
    <t>All hubs live</t>
  </si>
  <si>
    <t>Cloud native DR</t>
  </si>
  <si>
    <t>APP-021</t>
  </si>
  <si>
    <t>5.15.0-dev</t>
  </si>
  <si>
    <t>Build-JSM515</t>
  </si>
  <si>
    <t>AI agent update</t>
  </si>
  <si>
    <t>5.14.5</t>
  </si>
  <si>
    <t>Build-JSM5145</t>
  </si>
  <si>
    <t>Queue testing</t>
  </si>
  <si>
    <t>5.14.4</t>
  </si>
  <si>
    <t>Build-JSM5144</t>
  </si>
  <si>
    <t>Help desk review</t>
  </si>
  <si>
    <t>5.14.3</t>
  </si>
  <si>
    <t>Build-JSM5143</t>
  </si>
  <si>
    <t>SLA config OK</t>
  </si>
  <si>
    <t>5.14.2-GA</t>
  </si>
  <si>
    <t>Build-JSM5142</t>
  </si>
  <si>
    <t>IT service desk</t>
  </si>
  <si>
    <t>Atlassian DR</t>
  </si>
  <si>
    <t>APP-022</t>
  </si>
  <si>
    <t>23.10.1-dev</t>
  </si>
  <si>
    <t>Build-PA2310</t>
  </si>
  <si>
    <t>CSPM updates</t>
  </si>
  <si>
    <t>23.9.5</t>
  </si>
  <si>
    <t>Build-PA2395</t>
  </si>
  <si>
    <t>Policy testing</t>
  </si>
  <si>
    <t>23.9.4</t>
  </si>
  <si>
    <t>Build-PA2394</t>
  </si>
  <si>
    <t>SOC review</t>
  </si>
  <si>
    <t>23.9.3</t>
  </si>
  <si>
    <t>Build-PA2393</t>
  </si>
  <si>
    <t>Scan verified</t>
  </si>
  <si>
    <t>23.9.2-GA</t>
  </si>
  <si>
    <t>Build-PA2392</t>
  </si>
  <si>
    <t>Multi-cloud</t>
  </si>
  <si>
    <t>SaaS DR</t>
  </si>
  <si>
    <t>APP-023</t>
  </si>
  <si>
    <t>26B-dev</t>
  </si>
  <si>
    <t>Build-OHCM26B</t>
  </si>
  <si>
    <t>Benefits update</t>
  </si>
  <si>
    <t>26A.5</t>
  </si>
  <si>
    <t>Build-OHCM26A5</t>
  </si>
  <si>
    <t>Payroll cycle</t>
  </si>
  <si>
    <t>26A.4</t>
  </si>
  <si>
    <t>Build-OHCM26A4</t>
  </si>
  <si>
    <t>HR team review</t>
  </si>
  <si>
    <t>26A.3</t>
  </si>
  <si>
    <t>Build-OHCM26A3</t>
  </si>
  <si>
    <t>OCI tested</t>
  </si>
  <si>
    <t>26A.2-GA</t>
  </si>
  <si>
    <t>Build-OHCM26A2</t>
  </si>
  <si>
    <t>Global payroll</t>
  </si>
  <si>
    <t>Oracle DR</t>
  </si>
  <si>
    <t>APP-024</t>
  </si>
  <si>
    <t>14.0.0-dev</t>
  </si>
  <si>
    <t>Build-FT140</t>
  </si>
  <si>
    <t>SCADA update</t>
  </si>
  <si>
    <t>13.5.5</t>
  </si>
  <si>
    <t>Build-FT1355</t>
  </si>
  <si>
    <t>PLC integration</t>
  </si>
  <si>
    <t>13.5.4</t>
  </si>
  <si>
    <t>Build-FT1354</t>
  </si>
  <si>
    <t>Plant floor test</t>
  </si>
  <si>
    <t>13.5.3</t>
  </si>
  <si>
    <t>Build-FT1353</t>
  </si>
  <si>
    <t>OT network OK</t>
  </si>
  <si>
    <t>13.5.2-GA</t>
  </si>
  <si>
    <t>Build-FT1352</t>
  </si>
  <si>
    <t>6 plants live</t>
  </si>
  <si>
    <t>Historian DR</t>
  </si>
  <si>
    <t>APP-025</t>
  </si>
  <si>
    <t>Build-PL263</t>
  </si>
  <si>
    <t>Knowledge base</t>
  </si>
  <si>
    <t>Build-PL2625</t>
  </si>
  <si>
    <t>Search testing</t>
  </si>
  <si>
    <t>Build-PL2624</t>
  </si>
  <si>
    <t>Build-PL2623</t>
  </si>
  <si>
    <t>Content sync</t>
  </si>
  <si>
    <t>Build-PL2622</t>
  </si>
  <si>
    <t>All libraries</t>
  </si>
  <si>
    <t>SaaS replicated</t>
  </si>
  <si>
    <t>APP-026</t>
  </si>
  <si>
    <t>Build-MA2620</t>
  </si>
  <si>
    <t>Labor mgmt</t>
  </si>
  <si>
    <t>Build-MA2615</t>
  </si>
  <si>
    <t>Pick path test</t>
  </si>
  <si>
    <t>Build-MA2614</t>
  </si>
  <si>
    <t>DC team review</t>
  </si>
  <si>
    <t>Build-MA2613</t>
  </si>
  <si>
    <t>Build-MA2612</t>
  </si>
  <si>
    <t>3 warehouses</t>
  </si>
  <si>
    <t>APP-027</t>
  </si>
  <si>
    <t>2026R2.1-dev</t>
  </si>
  <si>
    <t>Build-WF26R2</t>
  </si>
  <si>
    <t>Revenue module</t>
  </si>
  <si>
    <t>Build-WF26R15</t>
  </si>
  <si>
    <t>GL testing</t>
  </si>
  <si>
    <t>Build-WF26R14</t>
  </si>
  <si>
    <t>Controller review</t>
  </si>
  <si>
    <t>Build-WF26R13</t>
  </si>
  <si>
    <t>Close cycle OK</t>
  </si>
  <si>
    <t>Build-WF26R12</t>
  </si>
  <si>
    <t>Core financials</t>
  </si>
  <si>
    <t>APP-028</t>
  </si>
  <si>
    <t>6.3.0-dev</t>
  </si>
  <si>
    <t>Build-SOAR63</t>
  </si>
  <si>
    <t>Playbook update</t>
  </si>
  <si>
    <t>6.2.5</t>
  </si>
  <si>
    <t>Build-SOAR625</t>
  </si>
  <si>
    <t>Automation test</t>
  </si>
  <si>
    <t>6.2.4</t>
  </si>
  <si>
    <t>Build-SOAR624</t>
  </si>
  <si>
    <t>6.2.3</t>
  </si>
  <si>
    <t>Build-SOAR623</t>
  </si>
  <si>
    <t>6.2.2-GA</t>
  </si>
  <si>
    <t>Build-SOAR622</t>
  </si>
  <si>
    <t>Active response</t>
  </si>
  <si>
    <t>SIEM linked</t>
  </si>
  <si>
    <t>APP-029</t>
  </si>
  <si>
    <t>26B.2-dev</t>
  </si>
  <si>
    <t>Build-OMC26B2</t>
  </si>
  <si>
    <t>Quality module</t>
  </si>
  <si>
    <t>26B.1</t>
  </si>
  <si>
    <t>Build-OMC26B1</t>
  </si>
  <si>
    <t>BOM testing</t>
  </si>
  <si>
    <t>Build-OMC26A5</t>
  </si>
  <si>
    <t>Production review</t>
  </si>
  <si>
    <t>Build-OMC26A4</t>
  </si>
  <si>
    <t>26A.3-GA</t>
  </si>
  <si>
    <t>Build-OMC26A3</t>
  </si>
  <si>
    <t>3 facilities</t>
  </si>
  <si>
    <t>Oracle RAC</t>
  </si>
  <si>
    <t>APP-030</t>
  </si>
  <si>
    <t>7.50.0-dev</t>
  </si>
  <si>
    <t>Build-DD750</t>
  </si>
  <si>
    <t>APM update</t>
  </si>
  <si>
    <t>7.49.5</t>
  </si>
  <si>
    <t>Build-DD7495</t>
  </si>
  <si>
    <t>Agent testing</t>
  </si>
  <si>
    <t>7.49.4</t>
  </si>
  <si>
    <t>Build-DD7494</t>
  </si>
  <si>
    <t>7.49.3</t>
  </si>
  <si>
    <t>Build-DD7493</t>
  </si>
  <si>
    <t>7.49.2-GA</t>
  </si>
  <si>
    <t>Build-DD7492</t>
  </si>
  <si>
    <t>Observability</t>
  </si>
  <si>
    <t>Admin ID</t>
  </si>
  <si>
    <t>Title</t>
  </si>
  <si>
    <t>Access Scope</t>
  </si>
  <si>
    <t>Granted Date</t>
  </si>
  <si>
    <t>Granted By</t>
  </si>
  <si>
    <t>Expiry Date</t>
  </si>
  <si>
    <t>SA-001</t>
  </si>
  <si>
    <t>Michael Stevens</t>
  </si>
  <si>
    <t>michael.stevens@company.com</t>
  </si>
  <si>
    <t>Chief Information Officer</t>
  </si>
  <si>
    <t>Global - All Systems</t>
  </si>
  <si>
    <t>CEO Office</t>
  </si>
  <si>
    <t>Executive sponsor for all IT initiatives</t>
  </si>
  <si>
    <t>SA-002</t>
  </si>
  <si>
    <t>jennifer.walsh@company.com</t>
  </si>
  <si>
    <t>VP of Enterprise Applications</t>
  </si>
  <si>
    <t>Oversight of all enterprise systems</t>
  </si>
  <si>
    <t>SA-003</t>
  </si>
  <si>
    <t>Director of IT Operations</t>
  </si>
  <si>
    <t>Global - Infrastructure</t>
  </si>
  <si>
    <t>24/7 operations oversight</t>
  </si>
  <si>
    <t>SA-004</t>
  </si>
  <si>
    <t>elizabeth.morgan@company.com</t>
  </si>
  <si>
    <t>Head of Cybersecurity</t>
  </si>
  <si>
    <t>Security incident response authority</t>
  </si>
  <si>
    <t>SA-005</t>
  </si>
  <si>
    <t>Robert Chen</t>
  </si>
  <si>
    <t>robert.chen@company.com</t>
  </si>
  <si>
    <t>Chief Technology Officer</t>
  </si>
  <si>
    <t>Technical architecture decisions</t>
  </si>
  <si>
    <t>SA-006</t>
  </si>
  <si>
    <t>patricia.wong@company.com</t>
  </si>
  <si>
    <t>Director of Release Management</t>
  </si>
  <si>
    <t>Global - Release Systems</t>
  </si>
  <si>
    <t>Emergency release authority</t>
  </si>
  <si>
    <t>SA-007</t>
  </si>
  <si>
    <t>VP of HR Technology</t>
  </si>
  <si>
    <t>HR Systems - Global</t>
  </si>
  <si>
    <t>HR data governance</t>
  </si>
  <si>
    <t>SA-008</t>
  </si>
  <si>
    <t>VP of Finance Systems</t>
  </si>
  <si>
    <t>Finance Systems - Global</t>
  </si>
  <si>
    <t>Financial data authority</t>
  </si>
  <si>
    <t>SA-009</t>
  </si>
  <si>
    <t>raymond.diaz@company.com</t>
  </si>
  <si>
    <t>Cloud Platform Architect</t>
  </si>
  <si>
    <t>Global - Cloud Infrastructure</t>
  </si>
  <si>
    <t>AWS/Azure/GCP root access</t>
  </si>
  <si>
    <t>SA-010</t>
  </si>
  <si>
    <t>margaret.sullivan@company.com</t>
  </si>
  <si>
    <t>Identity &amp; Access Manager</t>
  </si>
  <si>
    <t>Global - IAM Systems</t>
  </si>
  <si>
    <t>Identity management authority</t>
  </si>
  <si>
    <t>SA-011</t>
  </si>
  <si>
    <t>timothy.foster@company.com</t>
  </si>
  <si>
    <t>Disaster Recovery Manager</t>
  </si>
  <si>
    <t>Global - DR Systems</t>
  </si>
  <si>
    <t>DR failover authority</t>
  </si>
  <si>
    <t>SA-012</t>
  </si>
  <si>
    <t>diane.wilson@company.com</t>
  </si>
  <si>
    <t>Database Administrator Lead</t>
  </si>
  <si>
    <t>Global - Databases</t>
  </si>
  <si>
    <t>DBA root access all environments</t>
  </si>
  <si>
    <t>⚠️ RESTRICTED ACCESS: Super Admin privileges require CIO or CEO approval. Access is audited and reviewed quarterly.</t>
  </si>
  <si>
    <t>Booking ID</t>
  </si>
  <si>
    <t>Prod Release Date</t>
  </si>
  <si>
    <t>Test Env</t>
  </si>
  <si>
    <t>Test Start</t>
  </si>
  <si>
    <t>Test End</t>
  </si>
  <si>
    <t>Test Days</t>
  </si>
  <si>
    <t>UAT Env</t>
  </si>
  <si>
    <t>UAT Start</t>
  </si>
  <si>
    <t>UAT End</t>
  </si>
  <si>
    <t>UAT Days</t>
  </si>
  <si>
    <t>Pre-Prod Env</t>
  </si>
  <si>
    <t>Pre-Prod Start</t>
  </si>
  <si>
    <t>Pre-Prod End</t>
  </si>
  <si>
    <t>Pre-Prod Days</t>
  </si>
  <si>
    <t>ENVIRONMENT BOOKING SUMMARY</t>
  </si>
  <si>
    <t>Testing Phase Durations:</t>
  </si>
  <si>
    <t>Color Legend:</t>
  </si>
  <si>
    <t>Environment Usage Statistics</t>
  </si>
  <si>
    <t>Metric</t>
  </si>
  <si>
    <t>Value</t>
  </si>
  <si>
    <t>Formula</t>
  </si>
  <si>
    <t>Total Releases</t>
  </si>
  <si>
    <t>Releases with Conflicts</t>
  </si>
  <si>
    <t>Large Releases</t>
  </si>
  <si>
    <t>Medium Releases</t>
  </si>
  <si>
    <t>Small Releases</t>
  </si>
  <si>
    <t>Total Test Days Required</t>
  </si>
  <si>
    <t>Test Phase</t>
  </si>
  <si>
    <t>UAT Phase</t>
  </si>
  <si>
    <t>Pre-Prod Phase</t>
  </si>
  <si>
    <t>Conflict</t>
  </si>
  <si>
    <t>CAB Date</t>
  </si>
  <si>
    <t>ENV-0001</t>
  </si>
  <si>
    <t>FIN-PREPROD-01</t>
  </si>
  <si>
    <t>ENV-0002</t>
  </si>
  <si>
    <t>LOG-PREPROD-01</t>
  </si>
  <si>
    <t>ENV-0003</t>
  </si>
  <si>
    <t>CRM-PREPROD-01</t>
  </si>
  <si>
    <t>ENV-0004</t>
  </si>
  <si>
    <t>MFG-PREPROD-01</t>
  </si>
  <si>
    <t>ENV-0005</t>
  </si>
  <si>
    <t>IT-PREPROD-01</t>
  </si>
  <si>
    <t>ENV-0006</t>
  </si>
  <si>
    <t>HR-PREPROD-01</t>
  </si>
  <si>
    <t>ENV-0007</t>
  </si>
  <si>
    <t>LEG-PREPROD-01</t>
  </si>
  <si>
    <t>ENV-0008</t>
  </si>
  <si>
    <t>SEC-PREPROD-01</t>
  </si>
  <si>
    <t>ENV-0009</t>
  </si>
  <si>
    <t>ENV-0010</t>
  </si>
  <si>
    <t>ENV-0011</t>
  </si>
  <si>
    <t>ENV-0012</t>
  </si>
  <si>
    <t>ENV-0013</t>
  </si>
  <si>
    <t>ENV-0014</t>
  </si>
  <si>
    <t>ENV-0015</t>
  </si>
  <si>
    <t>ENV-0016</t>
  </si>
  <si>
    <t>ENV-0017</t>
  </si>
  <si>
    <t>ENV-0018</t>
  </si>
  <si>
    <t>ENV-0019</t>
  </si>
  <si>
    <t>ENV-0020</t>
  </si>
  <si>
    <t>ENV-0021</t>
  </si>
  <si>
    <t>ENV-0022</t>
  </si>
  <si>
    <t>ENV-0023</t>
  </si>
  <si>
    <t>ENV-0024</t>
  </si>
  <si>
    <t>ENV-0025</t>
  </si>
  <si>
    <t>ENV-0026</t>
  </si>
  <si>
    <t>ENV-0027</t>
  </si>
  <si>
    <t>ENV-0028</t>
  </si>
  <si>
    <t>ENV-0029</t>
  </si>
  <si>
    <t>ENV-0030</t>
  </si>
  <si>
    <t>ENV-0031</t>
  </si>
  <si>
    <t>ENV-0032</t>
  </si>
  <si>
    <t>ENV-0033</t>
  </si>
  <si>
    <t>ENV-0034</t>
  </si>
  <si>
    <t>ENV-0035</t>
  </si>
  <si>
    <t>ENV-0036</t>
  </si>
  <si>
    <t>ENV-0037</t>
  </si>
  <si>
    <t>ENV-0038</t>
  </si>
  <si>
    <t>ENV-0039</t>
  </si>
  <si>
    <t>ENV-0040</t>
  </si>
  <si>
    <t>ENV-0041</t>
  </si>
  <si>
    <t>ENV-0042</t>
  </si>
  <si>
    <t>ENV-0043</t>
  </si>
  <si>
    <t>ENV-0044</t>
  </si>
  <si>
    <t>ENV-0045</t>
  </si>
  <si>
    <t>ENV-0046</t>
  </si>
  <si>
    <t>ENV-0047</t>
  </si>
  <si>
    <t>ENV-0048</t>
  </si>
  <si>
    <t>ENV-0049</t>
  </si>
  <si>
    <t>ENV-0050</t>
  </si>
  <si>
    <t>ENV-0051</t>
  </si>
  <si>
    <t>ENV-0052</t>
  </si>
  <si>
    <t>ENV-0053</t>
  </si>
  <si>
    <t>ENV-0054</t>
  </si>
  <si>
    <t>ENV-0055</t>
  </si>
  <si>
    <t>ENV-0056</t>
  </si>
  <si>
    <t>ENV-0057</t>
  </si>
  <si>
    <t>ENV-0058</t>
  </si>
  <si>
    <t>ENV-0059</t>
  </si>
  <si>
    <t>ENV-0060</t>
  </si>
  <si>
    <t>ENV-0061</t>
  </si>
  <si>
    <t>ENV-0062</t>
  </si>
  <si>
    <t>ENV-0063</t>
  </si>
  <si>
    <t>ENV-0064</t>
  </si>
  <si>
    <t>ENV-0065</t>
  </si>
  <si>
    <t>ENV-0066</t>
  </si>
  <si>
    <t>ENV-0067</t>
  </si>
  <si>
    <t>ENV-0068</t>
  </si>
  <si>
    <t>ENV-0069</t>
  </si>
  <si>
    <t>ENV-0070</t>
  </si>
  <si>
    <t>ENV-0071</t>
  </si>
  <si>
    <t>ENV-0072</t>
  </si>
  <si>
    <t>ENV-0073</t>
  </si>
  <si>
    <t>ENV-0074</t>
  </si>
  <si>
    <t>ENV-0075</t>
  </si>
  <si>
    <t>ENV-0076</t>
  </si>
  <si>
    <t>ENV-0077</t>
  </si>
  <si>
    <t>ENV-0078</t>
  </si>
  <si>
    <t>ENV-0079</t>
  </si>
  <si>
    <t>ENV-0080</t>
  </si>
  <si>
    <t>• Large Releases: Test (10 days) → UAT (5 days) → Pre-Prod (4 days) → CAB (-3 days) → Prod (+2 days max)</t>
  </si>
  <si>
    <t>• Medium Releases: Test (5 days) → UAT (3 days) → Pre-Prod (2 days) → CAB (-2 days) → Prod (+1 day)</t>
  </si>
  <si>
    <t>• Small Releases: Test (3 days) → UAT (2 days) → Pre-Prod (1 day) → CAB (-2 days) → Prod (same day)</t>
  </si>
  <si>
    <t>Blue = Test Phase | Green = UAT Phase | Orange = Pre-Prod Phase | Purple = CAB Date | Peach = Prod Date | Red = Conflict</t>
  </si>
  <si>
    <t>CAB Meetings Required</t>
  </si>
  <si>
    <t>Readiness %</t>
  </si>
  <si>
    <t>Blockers</t>
  </si>
  <si>
    <t>Environment conflict with REL-0003; awaiting conflict resolution meeting</t>
  </si>
  <si>
    <t>Shared UAT env with REL-0001; QA sign-off pending</t>
  </si>
  <si>
    <t>Security review in progress; awaiting CISO approval</t>
  </si>
  <si>
    <t>Integration testing delayed; 3rd party API dependency unresolved</t>
  </si>
  <si>
    <t>UAT defects being triaged; 2 P2 bugs outstanding</t>
  </si>
  <si>
    <t>Performance testing incomplete; DB migration script needs optimization</t>
  </si>
  <si>
    <t>Test data refresh pending; blocked on DBA availability</t>
  </si>
  <si>
    <t>Global rollout coordination pending; APAC team capacity constrained</t>
  </si>
  <si>
    <t>Architecture review required; security scan findings need remediation</t>
  </si>
  <si>
    <t>Requirements still being finalized with business stakeholders</t>
  </si>
  <si>
    <t>Sheet Name</t>
  </si>
  <si>
    <t>Description</t>
  </si>
  <si>
    <t>Applications</t>
  </si>
  <si>
    <t>Releases</t>
  </si>
  <si>
    <t>Env booking</t>
  </si>
  <si>
    <t>System Mapping</t>
  </si>
  <si>
    <t>Admin (Release Managers)</t>
  </si>
  <si>
    <t>Users</t>
  </si>
  <si>
    <t>Versions</t>
  </si>
  <si>
    <t>Super Admins</t>
  </si>
  <si>
    <t>3 days</t>
  </si>
  <si>
    <t>Vendor Maintenance</t>
  </si>
  <si>
    <t>Change Freeze</t>
  </si>
  <si>
    <t>Regulatory</t>
  </si>
  <si>
    <t>Oracle Patch Window</t>
  </si>
  <si>
    <t>Quarter-End Freeze</t>
  </si>
  <si>
    <t>Year-End Freeze</t>
  </si>
  <si>
    <t>SOC2 Requirement</t>
  </si>
  <si>
    <t>SOX Compliance</t>
  </si>
  <si>
    <t>GDPR Compliance</t>
  </si>
  <si>
    <t>Leave ID</t>
  </si>
  <si>
    <t>User Name</t>
  </si>
  <si>
    <t>Leave Start</t>
  </si>
  <si>
    <t>Leave End</t>
  </si>
  <si>
    <t>Leave Type</t>
  </si>
  <si>
    <t>Days</t>
  </si>
  <si>
    <t>Affected Release</t>
  </si>
  <si>
    <t>Risk Impact</t>
  </si>
  <si>
    <t>LV-001</t>
  </si>
  <si>
    <t>Annual Leave</t>
  </si>
  <si>
    <t>REL-0001, REL-0002</t>
  </si>
  <si>
    <t>High - QA Lead unavailable</t>
  </si>
  <si>
    <t>LV-002</t>
  </si>
  <si>
    <t>Emma Roberts</t>
  </si>
  <si>
    <t>Personal Leave</t>
  </si>
  <si>
    <t>Medium - SME unavailable</t>
  </si>
  <si>
    <t>LV-003</t>
  </si>
  <si>
    <t>Jack Wilson</t>
  </si>
  <si>
    <t>Sick Leave</t>
  </si>
  <si>
    <t>High - Primary owner on leave</t>
  </si>
  <si>
    <t>LV-004</t>
  </si>
  <si>
    <t>REL-0004, REL-0005</t>
  </si>
  <si>
    <t>Critical - Dev Manager unavailable</t>
  </si>
  <si>
    <t>LV-005</t>
  </si>
  <si>
    <t>Oliver Wright</t>
  </si>
  <si>
    <t>REL-0009, REL-0010</t>
  </si>
  <si>
    <t>Medium - Extended absence</t>
  </si>
  <si>
    <t>LV-006</t>
  </si>
  <si>
    <t>High - Testing lead absent</t>
  </si>
  <si>
    <t>LV-007</t>
  </si>
  <si>
    <t>Ava Brown</t>
  </si>
  <si>
    <t>Medium - Security reviewer absent</t>
  </si>
  <si>
    <t>LV-008</t>
  </si>
  <si>
    <t>Ethan Clark</t>
  </si>
  <si>
    <t>REL-0016, REL-0017</t>
  </si>
  <si>
    <t>High - Legal compliance reviewer absent</t>
  </si>
  <si>
    <t>LV-009</t>
  </si>
  <si>
    <t>Conference</t>
  </si>
  <si>
    <t>Medium - Manager at conference</t>
  </si>
  <si>
    <t>LV-010</t>
  </si>
  <si>
    <t>Mia Thompson</t>
  </si>
  <si>
    <t>Low - Backup available</t>
  </si>
  <si>
    <t>LV-011</t>
  </si>
  <si>
    <t>REL-0024, REL-0025</t>
  </si>
  <si>
    <t>Critical - No QA coverage</t>
  </si>
  <si>
    <t>LV-012</t>
  </si>
  <si>
    <t>High - Key resource unavailable</t>
  </si>
  <si>
    <t>LV-013</t>
  </si>
  <si>
    <t>Liam Jackson</t>
  </si>
  <si>
    <t>REL-0031, REL-0032</t>
  </si>
  <si>
    <t>Medium - Finance SME absent</t>
  </si>
  <si>
    <t>LV-014</t>
  </si>
  <si>
    <t>Sophia Lee</t>
  </si>
  <si>
    <t>Low - Short-term absence</t>
  </si>
  <si>
    <t>LV-015</t>
  </si>
  <si>
    <t>Noah Martin</t>
  </si>
  <si>
    <t>REL-0038, REL-0039</t>
  </si>
  <si>
    <t>High - Year-end absence</t>
  </si>
  <si>
    <t>LV-016</t>
  </si>
  <si>
    <t>REL-0040 to REL-0044</t>
  </si>
  <si>
    <t>Critical - Extended holiday leave</t>
  </si>
  <si>
    <t>LV-017</t>
  </si>
  <si>
    <t>Tracy Adams</t>
  </si>
  <si>
    <t>REL-0043, REL-0044</t>
  </si>
  <si>
    <t>Critical - No QA during freeze</t>
  </si>
  <si>
    <t>LV-018</t>
  </si>
  <si>
    <t>Isabella White</t>
  </si>
  <si>
    <t>High - Security gap</t>
  </si>
  <si>
    <t>LV-019</t>
  </si>
  <si>
    <t>Lucas Harris</t>
  </si>
  <si>
    <t>REL-0048, REL-0049</t>
  </si>
  <si>
    <t>Medium - Legal at conference</t>
  </si>
  <si>
    <t>LV-020</t>
  </si>
  <si>
    <t>Low - Short absence</t>
  </si>
  <si>
    <t>LV-021</t>
  </si>
  <si>
    <t>Charlotte King</t>
  </si>
  <si>
    <t>REL-0055, REL-0056</t>
  </si>
  <si>
    <t>High - Quarter-end absence</t>
  </si>
  <si>
    <t>LV-022</t>
  </si>
  <si>
    <t>Medium - Unexpected sick leave</t>
  </si>
  <si>
    <t>LV-023</t>
  </si>
  <si>
    <t>Jordan Fisher</t>
  </si>
  <si>
    <t>REL-0062, REL-0063</t>
  </si>
  <si>
    <t>Critical - Key tester absent</t>
  </si>
  <si>
    <t>LV-024</t>
  </si>
  <si>
    <t>Amelia Garcia</t>
  </si>
  <si>
    <t>Low - Coverage available</t>
  </si>
  <si>
    <t>LV-025</t>
  </si>
  <si>
    <t>William Moore</t>
  </si>
  <si>
    <t>REL-0067, REL-0068</t>
  </si>
  <si>
    <t>High - Extended leave</t>
  </si>
  <si>
    <t>LV-026</t>
  </si>
  <si>
    <t>Medium - Tech conference</t>
  </si>
  <si>
    <t>LV-027</t>
  </si>
  <si>
    <t>Harper Robinson</t>
  </si>
  <si>
    <t>REL-0073, REL-0074</t>
  </si>
  <si>
    <t>High - Security lead absent</t>
  </si>
  <si>
    <t>LV-028</t>
  </si>
  <si>
    <t>James Lewis</t>
  </si>
  <si>
    <t>Medium - Legal review delayed</t>
  </si>
  <si>
    <t>LV-029</t>
  </si>
  <si>
    <t>Evelyn Walker</t>
  </si>
  <si>
    <t>Low - Backup SME available</t>
  </si>
  <si>
    <t>LV-030</t>
  </si>
  <si>
    <t>Alexander Hall</t>
  </si>
  <si>
    <t>Medium - Training delayed</t>
  </si>
  <si>
    <t>RELEASE CALENDAR - FY2026-2027</t>
  </si>
  <si>
    <t>■ Change Freeze</t>
  </si>
  <si>
    <t>Deployment restrictions in effect</t>
  </si>
  <si>
    <t>■ Large Release</t>
  </si>
  <si>
    <t>High impact, extended testing</t>
  </si>
  <si>
    <t>■ Medium Release</t>
  </si>
  <si>
    <t>Standard release cycle</t>
  </si>
  <si>
    <t>■ Small Release</t>
  </si>
  <si>
    <t>Quick deployment</t>
  </si>
  <si>
    <t>■ Regulatory</t>
  </si>
  <si>
    <t>Compliance-driven release</t>
  </si>
  <si>
    <t>■ Vendor Maint.</t>
  </si>
  <si>
    <t>Vendor maintenance window</t>
  </si>
  <si>
    <t>Month</t>
  </si>
  <si>
    <t>Week</t>
  </si>
  <si>
    <t>Date</t>
  </si>
  <si>
    <t>Day</t>
  </si>
  <si>
    <t>Event Type</t>
  </si>
  <si>
    <t>Size/Impact</t>
  </si>
  <si>
    <t>Sun</t>
  </si>
  <si>
    <t>CAB MEETING</t>
  </si>
  <si>
    <t>CAB: Kyriba UI Tweak v4.5...</t>
  </si>
  <si>
    <t>Approval meeting for REL-0001</t>
  </si>
  <si>
    <t>Tue</t>
  </si>
  <si>
    <t>RELEASE</t>
  </si>
  <si>
    <t>Small / Low</t>
  </si>
  <si>
    <t>Impact: Low - Quarter-End Freeze AFFECTED</t>
  </si>
  <si>
    <t>CAB: Zendesk Minor Update v4.3...</t>
  </si>
  <si>
    <t>Approval meeting for REL-0003</t>
  </si>
  <si>
    <t>Thu</t>
  </si>
  <si>
    <t>CAB: Blue Workflow Automation v2.1...</t>
  </si>
  <si>
    <t>Approval meeting for REL-0002</t>
  </si>
  <si>
    <t>Impact: Low</t>
  </si>
  <si>
    <t>CAB: Mitratech Integration Enhancem...</t>
  </si>
  <si>
    <t>Approval meeting for REL-0007</t>
  </si>
  <si>
    <t>Sat</t>
  </si>
  <si>
    <t>Medium / High</t>
  </si>
  <si>
    <t>Impact: High</t>
  </si>
  <si>
    <t>CAB: Plex Report Fix v2.5...</t>
  </si>
  <si>
    <t>Approval meeting for REL-0012</t>
  </si>
  <si>
    <t>Mon</t>
  </si>
  <si>
    <t>Small / Medium</t>
  </si>
  <si>
    <t>Impact: Medium</t>
  </si>
  <si>
    <t>Fri</t>
  </si>
  <si>
    <t>CAB: AVEVA Dashboard Upgrade v5.5...</t>
  </si>
  <si>
    <t>Approval meeting for REL-0004</t>
  </si>
  <si>
    <t>CAB: Datadog Security Patch Bundle ...</t>
  </si>
  <si>
    <t>Approval meeting for REL-0005</t>
  </si>
  <si>
    <t>Wed</t>
  </si>
  <si>
    <t>CAB: Manhattan Major Enhancement v5...</t>
  </si>
  <si>
    <t>Approval meeting for REL-0010</t>
  </si>
  <si>
    <t>CAB: SAP Configuration Change v5.2...</t>
  </si>
  <si>
    <t>Approval meeting for REL-0006</t>
  </si>
  <si>
    <t>Large / Medium</t>
  </si>
  <si>
    <t>CAB: CrowdStrike Minor Update v3.6...</t>
  </si>
  <si>
    <t>Approval meeting for REL-0008</t>
  </si>
  <si>
    <t>CAB: Oracle Report Fix v3.4...</t>
  </si>
  <si>
    <t>Approval meeting for REL-0009</t>
  </si>
  <si>
    <t>CAB: HubSpot Minor Update v3.7...</t>
  </si>
  <si>
    <t>Approval meeting for REL-0011</t>
  </si>
  <si>
    <t>CAB: Oracle Global Rollout v2.2...</t>
  </si>
  <si>
    <t>Approval meeting for REL-0014</t>
  </si>
  <si>
    <t>Large / High</t>
  </si>
  <si>
    <t>CAB: Dynatrace UI Tweak v3.1...</t>
  </si>
  <si>
    <t>Approval meeting for REL-0013</t>
  </si>
  <si>
    <t>CAB: DocuSign Core Transformation v...</t>
  </si>
  <si>
    <t>Approval meeting for REL-0015</t>
  </si>
  <si>
    <t>CAB: HighRadius Report Fix v2.4...</t>
  </si>
  <si>
    <t>Approval meeting for REL-0017</t>
  </si>
  <si>
    <t>CAB: Oracle Dashboard Upgrade v2.5...</t>
  </si>
  <si>
    <t>Approval meeting for REL-0022</t>
  </si>
  <si>
    <t>Medium / Low</t>
  </si>
  <si>
    <t>CAB: CyberArk Enterprise Integratio...</t>
  </si>
  <si>
    <t>Approval meeting for REL-0016</t>
  </si>
  <si>
    <t>REGULATORY</t>
  </si>
  <si>
    <t>CAB: Oracle UI Tweak v2.0...</t>
  </si>
  <si>
    <t>Approval meeting for REL-0018</t>
  </si>
  <si>
    <t>CAB: Salesforce Minor Update v2.5...</t>
  </si>
  <si>
    <t>Approval meeting for REL-0019</t>
  </si>
  <si>
    <t>CAB: Splunk Bug Fix Release v3.7...</t>
  </si>
  <si>
    <t>Approval meeting for REL-0021</t>
  </si>
  <si>
    <t>CAB: Rockwell Quick Enhancement v1....</t>
  </si>
  <si>
    <t>Approval meeting for REL-0020</t>
  </si>
  <si>
    <t>CAB: Kinaxis Dashboard Upgrade v3.2...</t>
  </si>
  <si>
    <t>Approval meeting for REL-0026</t>
  </si>
  <si>
    <t>CAB: DocuSign Feature Release v3.0...</t>
  </si>
  <si>
    <t>Approval meeting for REL-0023</t>
  </si>
  <si>
    <t>CAB: Salesforce Hotfix v4.3...</t>
  </si>
  <si>
    <t>Approval meeting for REL-0027</t>
  </si>
  <si>
    <t>CAB: Okta Minor Update v4.1...</t>
  </si>
  <si>
    <t>Approval meeting for REL-0024</t>
  </si>
  <si>
    <t>CAB: Coupa Dashboard Upgrade v5.8...</t>
  </si>
  <si>
    <t>Approval meeting for REL-0025</t>
  </si>
  <si>
    <t>Medium / Medium</t>
  </si>
  <si>
    <t>CAB: SAP Architecture Overhaul v5.5...</t>
  </si>
  <si>
    <t>Approval meeting for REL-0028</t>
  </si>
  <si>
    <t>CAB: Datadog Feature Release v2.2...</t>
  </si>
  <si>
    <t>Approval meeting for REL-0029</t>
  </si>
  <si>
    <t>CAB: Cornerstone Feature Release v1...</t>
  </si>
  <si>
    <t>Approval meeting for REL-0030</t>
  </si>
  <si>
    <t>CAB: Mitratech Data Patch v2.9...</t>
  </si>
  <si>
    <t>Approval meeting for REL-0031</t>
  </si>
  <si>
    <t>CAB: CrowdStrike UI Tweak v1.5...</t>
  </si>
  <si>
    <t>Approval meeting for REL-0032</t>
  </si>
  <si>
    <t>CAB: Oracle Major Enhancement v5.3...</t>
  </si>
  <si>
    <t>Approval meeting for REL-0033</t>
  </si>
  <si>
    <t>CAB: Manhattan Module Update v2.8...</t>
  </si>
  <si>
    <t>Approval meeting for REL-0034</t>
  </si>
  <si>
    <t>CAB: Salesforce Report Fix v5.8...</t>
  </si>
  <si>
    <t>Approval meeting for REL-0035</t>
  </si>
  <si>
    <t>CAB: Plex UI Tweak v3.6...</t>
  </si>
  <si>
    <t>Approval meeting for REL-0036</t>
  </si>
  <si>
    <t>CAB: Dynatrace Platform Upgrade v4....</t>
  </si>
  <si>
    <t>Approval meeting for REL-0037</t>
  </si>
  <si>
    <t>CAB: SAP Bug Fix Release v5.5...</t>
  </si>
  <si>
    <t>Approval meeting for REL-0038</t>
  </si>
  <si>
    <t>CAB: Agiloft Core Transformation v4...</t>
  </si>
  <si>
    <t>Approval meeting for REL-0039</t>
  </si>
  <si>
    <t>CHANGE FREEZE</t>
  </si>
  <si>
    <t>-</t>
  </si>
  <si>
    <t>Year-End Change Freeze START</t>
  </si>
  <si>
    <t>ALL</t>
  </si>
  <si>
    <t>Critical</t>
  </si>
  <si>
    <t>No deployments allowed</t>
  </si>
  <si>
    <t>CAB: Palo Quick Enhancement v3.7...</t>
  </si>
  <si>
    <t>Approval meeting for REL-0040</t>
  </si>
  <si>
    <t>CAB: Anaplan Bug Fix Release v3.3...</t>
  </si>
  <si>
    <t>Approval meeting for REL-0041</t>
  </si>
  <si>
    <t>Impact: Low - Year-End Freeze AFFECTED</t>
  </si>
  <si>
    <t>CAB: Microsoft Integration Enhancem...</t>
  </si>
  <si>
    <t>Approval meeting for REL-0043</t>
  </si>
  <si>
    <t>CAB: Oracle Security Patch Bundle v...</t>
  </si>
  <si>
    <t>Approval meeting for REL-0042</t>
  </si>
  <si>
    <t>Impact: Medium - Year-End Freeze AFFECTED</t>
  </si>
  <si>
    <t>VENDOR MAINT</t>
  </si>
  <si>
    <t>Year-End Change Freeze END</t>
  </si>
  <si>
    <t>CAB: Siemens Integration Enhancemen...</t>
  </si>
  <si>
    <t>Approval meeting for REL-0044</t>
  </si>
  <si>
    <t>Impact: High - Year-End Freeze AFFECTED</t>
  </si>
  <si>
    <t>CAB: Splunk Global Rollout v3.0...</t>
  </si>
  <si>
    <t>Approval meeting for REL-0045</t>
  </si>
  <si>
    <t>CAB: SAP UI Tweak v5.2...</t>
  </si>
  <si>
    <t>Approval meeting for REL-0046</t>
  </si>
  <si>
    <t>CAB: DocuSign Integration Enhanceme...</t>
  </si>
  <si>
    <t>Approval meeting for REL-0047</t>
  </si>
  <si>
    <t>CAB: Okta Report Fix v4.1...</t>
  </si>
  <si>
    <t>Approval meeting for REL-0048</t>
  </si>
  <si>
    <t>CAB: Anaplan Minor Update v3.3...</t>
  </si>
  <si>
    <t>Approval meeting for REL-0049</t>
  </si>
  <si>
    <t>CAB: Blue Configuration Change v5.9...</t>
  </si>
  <si>
    <t>Approval meeting for REL-0050</t>
  </si>
  <si>
    <t>CAB: HubSpot Module Update v4.7...</t>
  </si>
  <si>
    <t>Approval meeting for REL-0051</t>
  </si>
  <si>
    <t>CAB: SAP Configuration Change v1.3...</t>
  </si>
  <si>
    <t>Approval meeting for REL-0052</t>
  </si>
  <si>
    <t>CAB: Splunk Global Rollout v5.8...</t>
  </si>
  <si>
    <t>Approval meeting for REL-0053</t>
  </si>
  <si>
    <t>CAB: Workday Core Transformation v2...</t>
  </si>
  <si>
    <t>Approval meeting for REL-0054</t>
  </si>
  <si>
    <t>CAB: DocuSign Major Enhancement v5....</t>
  </si>
  <si>
    <t>Approval meeting for REL-0055</t>
  </si>
  <si>
    <t>CAB: Okta Performance Optimization ...</t>
  </si>
  <si>
    <t>Approval meeting for REL-0056</t>
  </si>
  <si>
    <t>CAB: Manhattan API Enhancement v2.0...</t>
  </si>
  <si>
    <t>Approval meeting for REL-0058</t>
  </si>
  <si>
    <t>CAB: Coupa Security Patch Bundle v3...</t>
  </si>
  <si>
    <t>Approval meeting for REL-0057</t>
  </si>
  <si>
    <t>CAB: Salesforce Workflow Automation...</t>
  </si>
  <si>
    <t>Approval meeting for REL-0059</t>
  </si>
  <si>
    <t>CAB: Plex UI Tweak v4.0...</t>
  </si>
  <si>
    <t>Approval meeting for REL-0060</t>
  </si>
  <si>
    <t>CAB: Datadog API Enhancement v5.6...</t>
  </si>
  <si>
    <t>Approval meeting for REL-0061</t>
  </si>
  <si>
    <t>CAB: SAP Report Fix v2.8...</t>
  </si>
  <si>
    <t>Approval meeting for REL-0062</t>
  </si>
  <si>
    <t>CAB: Mitratech Workflow Automation ...</t>
  </si>
  <si>
    <t>Approval meeting for REL-0063</t>
  </si>
  <si>
    <t>Q1 Quarter-End Freeze START</t>
  </si>
  <si>
    <t>Q1 Quarter-End Freeze END</t>
  </si>
  <si>
    <t>Approval meeting for REL-0064</t>
  </si>
  <si>
    <t>CAB: Oracle System Migration v1.9...</t>
  </si>
  <si>
    <t>Approval meeting for REL-0065</t>
  </si>
  <si>
    <t>CAB: Oracle Module Update v5.6...</t>
  </si>
  <si>
    <t>Approval meeting for REL-0066</t>
  </si>
  <si>
    <t>CAB: Salesforce Complete Redesign v...</t>
  </si>
  <si>
    <t>Approval meeting for REL-0067</t>
  </si>
  <si>
    <t>CAB: Rockwell Minor Update v1.1...</t>
  </si>
  <si>
    <t>Approval meeting for REL-0068</t>
  </si>
  <si>
    <t>CAB: BMC UI Tweak v5.1...</t>
  </si>
  <si>
    <t>Approval meeting for REL-0069</t>
  </si>
  <si>
    <t>CAB: Oracle Workflow Automation v3....</t>
  </si>
  <si>
    <t>Approval meeting for REL-0070</t>
  </si>
  <si>
    <t>CAB: Agiloft Minor Update v4.1...</t>
  </si>
  <si>
    <t>Approval meeting for REL-0071</t>
  </si>
  <si>
    <t>CAB: Kyriba Security Patch Bundle v...</t>
  </si>
  <si>
    <t>Approval meeting for REL-0073</t>
  </si>
  <si>
    <t>CAB: Palo Hotfix v5.8...</t>
  </si>
  <si>
    <t>Approval meeting for REL-0072</t>
  </si>
  <si>
    <t>CAB: Oracle Hotfix v4.3...</t>
  </si>
  <si>
    <t>Approval meeting for REL-0074</t>
  </si>
  <si>
    <t>CAB: HubSpot Performance Optimizati...</t>
  </si>
  <si>
    <t>Approval meeting for REL-0075</t>
  </si>
  <si>
    <t>CAB: SAP Hotfix v4.1...</t>
  </si>
  <si>
    <t>Approval meeting for REL-0076</t>
  </si>
  <si>
    <t>CAB: Jira Core Transformation v1.8...</t>
  </si>
  <si>
    <t>Approval meeting for REL-0077</t>
  </si>
  <si>
    <t>CAB: ADP Workflow Automation v2.7...</t>
  </si>
  <si>
    <t>Approval meeting for REL-0078</t>
  </si>
  <si>
    <t>CAB: Ironclad Module Update v4.7...</t>
  </si>
  <si>
    <t>Approval meeting for REL-0079</t>
  </si>
  <si>
    <t>CAB: CrowdStrike Performance Optimi...</t>
  </si>
  <si>
    <t>Approval meeting for REL-0080</t>
  </si>
  <si>
    <t>Q2 Quarter-End Freeze START</t>
  </si>
  <si>
    <t>Q2 Quarter-End Freeze END</t>
  </si>
  <si>
    <t>CHANGE FREEZE PERIODS</t>
  </si>
  <si>
    <t>Freeze Period</t>
  </si>
  <si>
    <t>Duration (Days)</t>
  </si>
  <si>
    <t>Year-End Freeze 2026</t>
  </si>
  <si>
    <t>No production deployments. Emergency hotfixes only.</t>
  </si>
  <si>
    <t>Q1 Quarter-End Freeze</t>
  </si>
  <si>
    <t>Finance close period. Limited deployments.</t>
  </si>
  <si>
    <t>Q2 Quarter-End Freeze</t>
  </si>
  <si>
    <t>Purpose</t>
  </si>
  <si>
    <t>Leave Calendar</t>
  </si>
  <si>
    <t>Calendar</t>
  </si>
  <si>
    <t>Column</t>
  </si>
  <si>
    <t>Dec 15, 2026 - Jan 5, 2027</t>
  </si>
  <si>
    <t>Mar 29-31, 2027</t>
  </si>
  <si>
    <t>Jun 28-30, 2027</t>
  </si>
  <si>
    <t>ENVIRONMENT &amp; APPLICATION DRIFT TRACKER</t>
  </si>
  <si>
    <t>Drift issues discovered during release testing phases</t>
  </si>
  <si>
    <t>Drift ID</t>
  </si>
  <si>
    <t>Drift Category</t>
  </si>
  <si>
    <t>Detected Date</t>
  </si>
  <si>
    <t>Severity</t>
  </si>
  <si>
    <t>Impact on Release</t>
  </si>
  <si>
    <t>Remediation Action</t>
  </si>
  <si>
    <t>ETA to Fix</t>
  </si>
  <si>
    <t>DFT-001</t>
  </si>
  <si>
    <t>Database Version</t>
  </si>
  <si>
    <t>UAT running Oracle 18c while Prod is on Oracle 19c. New dashboard queries use 19c-specific JSON functions.</t>
  </si>
  <si>
    <t>Dashboard queries will fail in Prod if not addressed. Blocker for UAT sign-off.</t>
  </si>
  <si>
    <t>Upgrade UAT Oracle instance to 19c or modify queries for backward compatibility</t>
  </si>
  <si>
    <t>In Progress</t>
  </si>
  <si>
    <t>DFT-002</t>
  </si>
  <si>
    <t>Configuration</t>
  </si>
  <si>
    <t>API Timeout Settings</t>
  </si>
  <si>
    <t>API timeout set to 60s in Pre-prod vs 30s in Prod. Performance testing results may not reflect Prod behavior.</t>
  </si>
  <si>
    <t>Performance test results unreliable. May pass in Pre-prod but timeout in Prod.</t>
  </si>
  <si>
    <t>Update Pre-prod timeout configuration to match Prod (30s)</t>
  </si>
  <si>
    <t>Open</t>
  </si>
  <si>
    <t>DFT-003</t>
  </si>
  <si>
    <t>Data</t>
  </si>
  <si>
    <t>Test Data Stale</t>
  </si>
  <si>
    <t>Test environment data last refreshed 45 days ago. Missing recent product SKUs added in last month.</t>
  </si>
  <si>
    <t>Some dashboard filters may not be fully tested with current product catalog.</t>
  </si>
  <si>
    <t>Refresh Test environment data from Prod snapshot</t>
  </si>
  <si>
    <t>DFT-004</t>
  </si>
  <si>
    <t>Memory Allocation</t>
  </si>
  <si>
    <t>Pre-prod has 16GB RAM vs Prod's 32GB. New batch processing module requires 24GB minimum for peak loads.</t>
  </si>
  <si>
    <t>Batch processing will fail under load in testing. Cannot validate Prod readiness.</t>
  </si>
  <si>
    <t>Request infrastructure team to increase Pre-prod RAM to 32GB</t>
  </si>
  <si>
    <t>Escalated</t>
  </si>
  <si>
    <t>DFT-005</t>
  </si>
  <si>
    <t>Feature Flags</t>
  </si>
  <si>
    <t>3 feature flags enabled in Prod not replicated to UAT: ASYNC_PICKING, WAVE_OPTIMIZATION, RF_GUN_V2.</t>
  </si>
  <si>
    <t>UAT testing not representative of Prod. Business users testing outdated functionality.</t>
  </si>
  <si>
    <t>Sync feature flag configuration from Prod to UAT</t>
  </si>
  <si>
    <t>DFT-006</t>
  </si>
  <si>
    <t>Third-party Endpoint</t>
  </si>
  <si>
    <t>UAT pointing to carrier API sandbox (v2.1) while Prod uses production API (v2.3). Response formats differ.</t>
  </si>
  <si>
    <t>Shipping label generation tests may pass but fail in Prod due to API version mismatch.</t>
  </si>
  <si>
    <t>Update UAT carrier API endpoint to use v2.3 sandbox mirror</t>
  </si>
  <si>
    <t>DFT-007</t>
  </si>
  <si>
    <t>SSL Certificate</t>
  </si>
  <si>
    <t>Test environment SSL certificate expired 5 days ago. Currently bypassed with security exception.</t>
  </si>
  <si>
    <t>Security scans will fail. Cannot complete security sign-off for release.</t>
  </si>
  <si>
    <t>Renew SSL certificate for Test environment</t>
  </si>
  <si>
    <t>RELEASE RISK REGISTER</t>
  </si>
  <si>
    <t>Comprehensive risk assessment for releases in the next 45 days (Jun 25 - Aug 9, 2026)</t>
  </si>
  <si>
    <t>Risk ID</t>
  </si>
  <si>
    <t>Prod Date</t>
  </si>
  <si>
    <t>Days Out</t>
  </si>
  <si>
    <t>Risk Category</t>
  </si>
  <si>
    <t>Risk Description</t>
  </si>
  <si>
    <t>Likelihood</t>
  </si>
  <si>
    <t>Risk Score</t>
  </si>
  <si>
    <t>Affected Area</t>
  </si>
  <si>
    <t>Mitigation Strategy</t>
  </si>
  <si>
    <t>Risk Owner</t>
  </si>
  <si>
    <t>RSK-001</t>
  </si>
  <si>
    <t>Resource</t>
  </si>
  <si>
    <t>QA Lead (Sam Anderson) on leave during release window</t>
  </si>
  <si>
    <t>Testing</t>
  </si>
  <si>
    <t>Assign backup QA resource; expedite testing before leave starts</t>
  </si>
  <si>
    <t>Monitoring</t>
  </si>
  <si>
    <t>Leave Calendar: LV-001</t>
  </si>
  <si>
    <t>RSK-002</t>
  </si>
  <si>
    <t>Schedule</t>
  </si>
  <si>
    <t>Release falls on quarter-end freeze period</t>
  </si>
  <si>
    <t>Deployment</t>
  </si>
  <si>
    <t>Obtain CAB exemption for low-impact UI change</t>
  </si>
  <si>
    <t>Mitigating</t>
  </si>
  <si>
    <t>Change Freeze exception requested</t>
  </si>
  <si>
    <t>RSK-003</t>
  </si>
  <si>
    <t>Technical</t>
  </si>
  <si>
    <t>Minor JavaScript compatibility issue with IE11 users (2% of user base)</t>
  </si>
  <si>
    <t>User Experience</t>
  </si>
  <si>
    <t>Add browser detection; display upgrade notice for IE11 users</t>
  </si>
  <si>
    <t>Accepted</t>
  </si>
  <si>
    <t>Low user impact; IE11 EOL communicated</t>
  </si>
  <si>
    <t>RSK-004</t>
  </si>
  <si>
    <t>Vendor</t>
  </si>
  <si>
    <t>Zendesk maintenance window scheduled same week</t>
  </si>
  <si>
    <t>Availability</t>
  </si>
  <si>
    <t>Coordinate with Zendesk support; confirm no conflict</t>
  </si>
  <si>
    <t>Vendor Manager</t>
  </si>
  <si>
    <t>Awaiting Zendesk confirmation</t>
  </si>
  <si>
    <t>RSK-005</t>
  </si>
  <si>
    <t>Dependency</t>
  </si>
  <si>
    <t>Upstream ERP data feed changes not yet deployed</t>
  </si>
  <si>
    <t>Expedite ERP change; implement data validation fallback</t>
  </si>
  <si>
    <t>Integration Lead</t>
  </si>
  <si>
    <t>Dependency on Finance team ERP release</t>
  </si>
  <si>
    <t>RSK-006</t>
  </si>
  <si>
    <t>UAT incomplete - 3 of 12 test scenarios pending</t>
  </si>
  <si>
    <t>Quality</t>
  </si>
  <si>
    <t>Prioritize remaining scenarios; extend UAT by 1 day if needed</t>
  </si>
  <si>
    <t>78% UAT complete</t>
  </si>
  <si>
    <t>RSK-007</t>
  </si>
  <si>
    <t>Key developer on conference during hypercare period</t>
  </si>
  <si>
    <t>Support</t>
  </si>
  <si>
    <t>Ensure knowledge transfer; establish remote support protocol</t>
  </si>
  <si>
    <t>Developer available via mobile</t>
  </si>
  <si>
    <t>RSK-008</t>
  </si>
  <si>
    <t>Compliance</t>
  </si>
  <si>
    <t>Legal review of new data sharing clauses pending</t>
  </si>
  <si>
    <t>Legal/Regulatory</t>
  </si>
  <si>
    <t>Escalate to Legal Director; prepare rollback plan</t>
  </si>
  <si>
    <t>Legal Counsel</t>
  </si>
  <si>
    <t>GDPR implications under review</t>
  </si>
  <si>
    <t>RSK-009</t>
  </si>
  <si>
    <t>API rate limiting may cause timeout during peak hours</t>
  </si>
  <si>
    <t>Performance</t>
  </si>
  <si>
    <t>Implement request queuing; schedule deployment for off-peak</t>
  </si>
  <si>
    <t>Load testing in progress</t>
  </si>
  <si>
    <t>RSK-010</t>
  </si>
  <si>
    <t>Scope</t>
  </si>
  <si>
    <t>Additional report requested by Plant Manager - scope creep</t>
  </si>
  <si>
    <t>Defer new report to next release; document in backlog</t>
  </si>
  <si>
    <t>Product Owner</t>
  </si>
  <si>
    <t>Change request logged for v2.6</t>
  </si>
  <si>
    <t>RSK-011</t>
  </si>
  <si>
    <t>Test environment scheduled for maintenance during testing</t>
  </si>
  <si>
    <t>Reschedule env maintenance or use backup test instance</t>
  </si>
  <si>
    <t>Env Manager</t>
  </si>
  <si>
    <t>Coordinating with IT Ops</t>
  </si>
  <si>
    <t>RSK-012</t>
  </si>
  <si>
    <t>Drift</t>
  </si>
  <si>
    <t>UAT Oracle version mismatch (18c vs 19c) - DFT-001</t>
  </si>
  <si>
    <t>Upgrade UAT Oracle or modify queries for compatibility</t>
  </si>
  <si>
    <t>DBA Lead</t>
  </si>
  <si>
    <t>See Drift sheet DFT-001</t>
  </si>
  <si>
    <t>RSK-013</t>
  </si>
  <si>
    <t>Pre-prod API timeout config mismatch - DFT-002</t>
  </si>
  <si>
    <t>Align Pre-prod timeout settings with Prod</t>
  </si>
  <si>
    <t>DevOps</t>
  </si>
  <si>
    <t>See Drift sheet DFT-002</t>
  </si>
  <si>
    <t>RSK-014</t>
  </si>
  <si>
    <t>New charting library has known memory leak in Chrome</t>
  </si>
  <si>
    <t>Apply vendor patch; implement cleanup routine</t>
  </si>
  <si>
    <t>Dev Team</t>
  </si>
  <si>
    <t>Patch available, testing in progress</t>
  </si>
  <si>
    <t>RSK-015</t>
  </si>
  <si>
    <t>Dev Manager (Alex Rivera) on leave during final testing</t>
  </si>
  <si>
    <t>Decisions</t>
  </si>
  <si>
    <t>Delegate approval authority; pre-approve critical decisions</t>
  </si>
  <si>
    <t>Director</t>
  </si>
  <si>
    <t>Leave Calendar: LV-004</t>
  </si>
  <si>
    <t>RSK-016</t>
  </si>
  <si>
    <t>Training</t>
  </si>
  <si>
    <t>End-user training not yet scheduled</t>
  </si>
  <si>
    <t>Adoption</t>
  </si>
  <si>
    <t>Schedule training sessions; prepare quick-start guide</t>
  </si>
  <si>
    <t>Training Lead</t>
  </si>
  <si>
    <t>Training dates being finalized</t>
  </si>
  <si>
    <t>RSK-017</t>
  </si>
  <si>
    <t>Patch addresses critical CVE - delay increases exposure</t>
  </si>
  <si>
    <t>Prioritize release; implement compensating controls until deployed</t>
  </si>
  <si>
    <t>Security Lead</t>
  </si>
  <si>
    <t>CVE-2026-1234 - CVSS 8.1</t>
  </si>
  <si>
    <t>RSK-018</t>
  </si>
  <si>
    <t>Requires agent update on 50+ monitored servers</t>
  </si>
  <si>
    <t>Phase rollout by server criticality; prepare rollback scripts</t>
  </si>
  <si>
    <t>IT Ops</t>
  </si>
  <si>
    <t>Rollout plan under review</t>
  </si>
  <si>
    <t>RSK-019</t>
  </si>
  <si>
    <t>Limited time for regression testing across all integrations</t>
  </si>
  <si>
    <t>Focus on critical integrations; accept risk on low-priority monitors</t>
  </si>
  <si>
    <t>Risk-based testing approach</t>
  </si>
  <si>
    <t>RSK-020</t>
  </si>
  <si>
    <t>Pre-prod memory insufficient for batch processing - DFT-004</t>
  </si>
  <si>
    <t>Escalate RAM upgrade request to Infrastructure Director</t>
  </si>
  <si>
    <t>Infra Manager</t>
  </si>
  <si>
    <t>See Drift sheet DFT-004 - CRITICAL</t>
  </si>
  <si>
    <t>RSK-021</t>
  </si>
  <si>
    <t>Feature flags not synced to UAT - DFT-005</t>
  </si>
  <si>
    <t>Sync feature flags before UAT sign-off</t>
  </si>
  <si>
    <t>See Drift sheet DFT-005</t>
  </si>
  <si>
    <t>RSK-022</t>
  </si>
  <si>
    <t>Carrier API version mismatch in UAT - DFT-006</t>
  </si>
  <si>
    <t>Update UAT carrier API endpoint configuration</t>
  </si>
  <si>
    <t>See Drift sheet DFT-006</t>
  </si>
  <si>
    <t>RSK-023</t>
  </si>
  <si>
    <t>Business</t>
  </si>
  <si>
    <t>Peak season approaching - failed release impacts fulfillment</t>
  </si>
  <si>
    <t>Ensure robust rollback plan; schedule for low-volume window</t>
  </si>
  <si>
    <t>Operations Dir</t>
  </si>
  <si>
    <t>Q3 peak starts Aug 15</t>
  </si>
  <si>
    <t>RSK-024</t>
  </si>
  <si>
    <t>Change Mgmt</t>
  </si>
  <si>
    <t>Warehouse staff require retraining on new RF gun interface</t>
  </si>
  <si>
    <t>Deploy training app; schedule floor training sessions</t>
  </si>
  <si>
    <t>Warehouse Mgr</t>
  </si>
  <si>
    <t>Training materials ready</t>
  </si>
  <si>
    <t>RSK-025</t>
  </si>
  <si>
    <t>Rollback</t>
  </si>
  <si>
    <t>Rollback complexity high due to database schema changes</t>
  </si>
  <si>
    <t>Recovery</t>
  </si>
  <si>
    <t>Pre-create rollback scripts; test rollback in Pre-prod</t>
  </si>
  <si>
    <t>Rollback tested successfully</t>
  </si>
  <si>
    <t>RSK-026</t>
  </si>
  <si>
    <t>HR owner (Jack Wilson) on sick leave</t>
  </si>
  <si>
    <t>Identify backup approver; document approval delegation</t>
  </si>
  <si>
    <t>Leave Calendar: LV-003</t>
  </si>
  <si>
    <t>RSK-027</t>
  </si>
  <si>
    <t>Payroll calculation changes require audit trail documentation</t>
  </si>
  <si>
    <t>Audit</t>
  </si>
  <si>
    <t>Ensure change log captures all config modifications</t>
  </si>
  <si>
    <t>SOX control requirement</t>
  </si>
  <si>
    <t>RSK-028</t>
  </si>
  <si>
    <t>Update requires CrowdStrike support window coordination</t>
  </si>
  <si>
    <t>Confirm vendor support availability; book slot</t>
  </si>
  <si>
    <t>Standard vendor coordination</t>
  </si>
  <si>
    <t>RSK-029</t>
  </si>
  <si>
    <t>Fix may impact 3 downstream financial reports</t>
  </si>
  <si>
    <t>Validate downstream reports in UAT; notify Finance team</t>
  </si>
  <si>
    <t>Finance BA</t>
  </si>
  <si>
    <t>Impact assessment complete</t>
  </si>
  <si>
    <t>RSK-030</t>
  </si>
  <si>
    <t>Month-end close - Finance team availability limited</t>
  </si>
  <si>
    <t>Schedule deployment post-close or obtain dedicated support</t>
  </si>
  <si>
    <t>Finance Dir</t>
  </si>
  <si>
    <t>Targeting post-close window</t>
  </si>
  <si>
    <t>RSK-031</t>
  </si>
  <si>
    <t>Marketing campaign data sync timing during deployment</t>
  </si>
  <si>
    <t>Marketing</t>
  </si>
  <si>
    <t>Schedule deployment outside campaign send windows</t>
  </si>
  <si>
    <t>Marketing Ops</t>
  </si>
  <si>
    <t>Low risk - standard precaution</t>
  </si>
  <si>
    <t>RISK SCORING MATRIX</t>
  </si>
  <si>
    <t>Likelihood Scale</t>
  </si>
  <si>
    <t>Rare</t>
  </si>
  <si>
    <t>&lt; 10% chance</t>
  </si>
  <si>
    <t>Unlikely</t>
  </si>
  <si>
    <t>10-25% chance</t>
  </si>
  <si>
    <t>Possible</t>
  </si>
  <si>
    <t>25-50% chance</t>
  </si>
  <si>
    <t>Likely</t>
  </si>
  <si>
    <t>50-75% chance</t>
  </si>
  <si>
    <t>Almost Certain</t>
  </si>
  <si>
    <t>&gt; 75% chance</t>
  </si>
  <si>
    <t>Impact Scale</t>
  </si>
  <si>
    <t>Negligible</t>
  </si>
  <si>
    <t>Minor inconvenience</t>
  </si>
  <si>
    <t>Minor</t>
  </si>
  <si>
    <t>Some disruption, workaround available</t>
  </si>
  <si>
    <t>Moderate</t>
  </si>
  <si>
    <t>Significant disruption</t>
  </si>
  <si>
    <t>Major</t>
  </si>
  <si>
    <t>Severe business impact</t>
  </si>
  <si>
    <t>Severe</t>
  </si>
  <si>
    <t>Critical failure, major loss</t>
  </si>
  <si>
    <t>Risk Score = Likelihood × Impact</t>
  </si>
  <si>
    <t>Monitor</t>
  </si>
  <si>
    <t>Mitigate</t>
  </si>
  <si>
    <t>Escalate</t>
  </si>
  <si>
    <t>20-25</t>
  </si>
  <si>
    <t>Immediate Action</t>
  </si>
  <si>
    <t>SUMMARY STATISTICS</t>
  </si>
  <si>
    <t>Total Risks</t>
  </si>
  <si>
    <t>Critical Risks (20+)</t>
  </si>
  <si>
    <t>High Risks (12-19)</t>
  </si>
  <si>
    <t>Medium Risks (6-11)</t>
  </si>
  <si>
    <t>Low Risks (1-5)</t>
  </si>
  <si>
    <t>Drift-Related Risks</t>
  </si>
  <si>
    <t>Escalated Status</t>
  </si>
  <si>
    <t>Open Status</t>
  </si>
  <si>
    <t>Risk</t>
  </si>
  <si>
    <t>Release Owner ID</t>
  </si>
  <si>
    <t>Approval Status</t>
  </si>
  <si>
    <t>Depends On</t>
  </si>
  <si>
    <t>Rollback Plan</t>
  </si>
  <si>
    <t>Go-Live Checklist %</t>
  </si>
  <si>
    <t>Stakeholder IDs</t>
  </si>
  <si>
    <t>Deployment Window</t>
  </si>
  <si>
    <t>On Hold</t>
  </si>
  <si>
    <t>At Risk</t>
  </si>
  <si>
    <t>USR-073,USR-085,USR-097</t>
  </si>
  <si>
    <t>Off-Peak</t>
  </si>
  <si>
    <t>CAB Approved</t>
  </si>
  <si>
    <t>Ready</t>
  </si>
  <si>
    <t>USR-074,USR-086,USR-098</t>
  </si>
  <si>
    <t>Weekend</t>
  </si>
  <si>
    <t>USR-075,USR-087,USR-097</t>
  </si>
  <si>
    <t>Business Hours</t>
  </si>
  <si>
    <t>CAB Submitted</t>
  </si>
  <si>
    <t>USR-076,USR-088,USR-098</t>
  </si>
  <si>
    <t>USR-077,USR-089,USR-097</t>
  </si>
  <si>
    <t>USR-078,USR-090,USR-098</t>
  </si>
  <si>
    <t>USR-079,USR-091,USR-097</t>
  </si>
  <si>
    <t>Planning</t>
  </si>
  <si>
    <t>Not Started</t>
  </si>
  <si>
    <t>USR-080,USR-092,USR-098</t>
  </si>
  <si>
    <t>Draft</t>
  </si>
  <si>
    <t>REL-0014,REL-0012</t>
  </si>
  <si>
    <t>REL-0022,REL-0020</t>
  </si>
  <si>
    <t>REL-0030,REL-0028</t>
  </si>
  <si>
    <t>REL-0038,REL-0036</t>
  </si>
  <si>
    <t>REL-0046,REL-0044</t>
  </si>
  <si>
    <t>REL-0054,REL-0052</t>
  </si>
  <si>
    <t>REL-0062,REL-0060</t>
  </si>
  <si>
    <t>REL-0070,REL-0068</t>
  </si>
  <si>
    <t>Blocked</t>
  </si>
  <si>
    <t>Approved</t>
  </si>
  <si>
    <t>Pending CAB</t>
  </si>
  <si>
    <t>RELEASE DEPENDENCIES TRACKER</t>
  </si>
  <si>
    <t>Dep ID</t>
  </si>
  <si>
    <t>Depends On Release</t>
  </si>
  <si>
    <t>Depends On Name</t>
  </si>
  <si>
    <t>Dependency Type</t>
  </si>
  <si>
    <t>Impact if Blocked</t>
  </si>
  <si>
    <t>DEP-001</t>
  </si>
  <si>
    <t>Hard</t>
  </si>
  <si>
    <t>Clear</t>
  </si>
  <si>
    <t>Release Delay</t>
  </si>
  <si>
    <t>API contract must be deployed first</t>
  </si>
  <si>
    <t>DEP-002</t>
  </si>
  <si>
    <t>Soft</t>
  </si>
  <si>
    <t>Partial Functionality</t>
  </si>
  <si>
    <t>Shared database schema changes</t>
  </si>
  <si>
    <t>DEP-003</t>
  </si>
  <si>
    <t>Data Integrity Risk</t>
  </si>
  <si>
    <t>Common security module dependency</t>
  </si>
  <si>
    <t>DEP-004</t>
  </si>
  <si>
    <t>Resolved</t>
  </si>
  <si>
    <t>Integration Failure</t>
  </si>
  <si>
    <t>Integration endpoint prerequisites</t>
  </si>
  <si>
    <t>DEP-005</t>
  </si>
  <si>
    <t>Scope Reduction</t>
  </si>
  <si>
    <t>Shared configuration dependencies</t>
  </si>
  <si>
    <t>DEP-006</t>
  </si>
  <si>
    <t>Upstream data pipeline required</t>
  </si>
  <si>
    <t>DEP-007</t>
  </si>
  <si>
    <t>Common middleware version needed</t>
  </si>
  <si>
    <t>DEP-008</t>
  </si>
  <si>
    <t>Shared authentication module</t>
  </si>
  <si>
    <t>DEP-009</t>
  </si>
  <si>
    <t>Database migration dependency</t>
  </si>
  <si>
    <t>DEP-010</t>
  </si>
  <si>
    <t>API versioning requirement</t>
  </si>
  <si>
    <t>DEP-011</t>
  </si>
  <si>
    <t>DEP-012</t>
  </si>
  <si>
    <t>DEP-013</t>
  </si>
  <si>
    <t>DEP-014</t>
  </si>
  <si>
    <t>DEP-015</t>
  </si>
  <si>
    <t>DEP-016</t>
  </si>
  <si>
    <t>DEP-017</t>
  </si>
  <si>
    <t>DEP-018</t>
  </si>
  <si>
    <t>DEP-019</t>
  </si>
  <si>
    <t>DEP-020</t>
  </si>
  <si>
    <t>DEP-021</t>
  </si>
  <si>
    <t>DEP-022</t>
  </si>
  <si>
    <t>DEP-023</t>
  </si>
  <si>
    <t>DEP-024</t>
  </si>
  <si>
    <t>DEP-025</t>
  </si>
  <si>
    <t>DEP-026</t>
  </si>
  <si>
    <t>CAB APPROVAL WORKFLOW TRACKER</t>
  </si>
  <si>
    <t>Approval ID</t>
  </si>
  <si>
    <t>Approval Type</t>
  </si>
  <si>
    <t>Approver ID</t>
  </si>
  <si>
    <t>Approver Name</t>
  </si>
  <si>
    <t>Approver Role</t>
  </si>
  <si>
    <t>Submitted Date</t>
  </si>
  <si>
    <t>Decision Date</t>
  </si>
  <si>
    <t>Decision</t>
  </si>
  <si>
    <t>Comments</t>
  </si>
  <si>
    <t>CAB Meeting ID</t>
  </si>
  <si>
    <t>APR-0001</t>
  </si>
  <si>
    <t>Tech Review</t>
  </si>
  <si>
    <t>Rejected</t>
  </si>
  <si>
    <t>All technical requirements met</t>
  </si>
  <si>
    <t>CAB-1</t>
  </si>
  <si>
    <t>APR-0002</t>
  </si>
  <si>
    <t>Security Review</t>
  </si>
  <si>
    <t>Kendall Kim</t>
  </si>
  <si>
    <t>Pending</t>
  </si>
  <si>
    <t>Security scan passed, no vulnerabilities</t>
  </si>
  <si>
    <t>APR-0003</t>
  </si>
  <si>
    <t>Business Review</t>
  </si>
  <si>
    <t>Sam Adams</t>
  </si>
  <si>
    <t>Approved with Conditions</t>
  </si>
  <si>
    <t>Business impact assessment approved</t>
  </si>
  <si>
    <t>APR-0004</t>
  </si>
  <si>
    <t>APR-0005</t>
  </si>
  <si>
    <t>APR-0006</t>
  </si>
  <si>
    <t>Approved - ensure rollback plan is tested</t>
  </si>
  <si>
    <t>APR-0007</t>
  </si>
  <si>
    <t>CAB Final</t>
  </si>
  <si>
    <t>Taylor Anderson</t>
  </si>
  <si>
    <t>CAB approved for deployment</t>
  </si>
  <si>
    <t>APR-0008</t>
  </si>
  <si>
    <t>Change Manager</t>
  </si>
  <si>
    <t>Jordan Wright</t>
  </si>
  <si>
    <t>Change record closed</t>
  </si>
  <si>
    <t>APR-0009</t>
  </si>
  <si>
    <t>APR-0010</t>
  </si>
  <si>
    <t>APR-0011</t>
  </si>
  <si>
    <t>Requires additional UAT testing</t>
  </si>
  <si>
    <t>APR-0012</t>
  </si>
  <si>
    <t>APR-0013</t>
  </si>
  <si>
    <t>APR-0014</t>
  </si>
  <si>
    <t>CAB-2</t>
  </si>
  <si>
    <t>APR-0015</t>
  </si>
  <si>
    <t>APR-0016</t>
  </si>
  <si>
    <t>Awaiting security clearance</t>
  </si>
  <si>
    <t>APR-0017</t>
  </si>
  <si>
    <t>Awaiting CAB meeting</t>
  </si>
  <si>
    <t>APR-0018</t>
  </si>
  <si>
    <t>Rollback procedure validated</t>
  </si>
  <si>
    <t>APR-0019</t>
  </si>
  <si>
    <t>Approved for off-peak deployment</t>
  </si>
  <si>
    <t>APR-0020</t>
  </si>
  <si>
    <t>Compliance checklist complete</t>
  </si>
  <si>
    <t>APR-0021</t>
  </si>
  <si>
    <t>APR-0022</t>
  </si>
  <si>
    <t>APR-0023</t>
  </si>
  <si>
    <t>APR-0024</t>
  </si>
  <si>
    <t>APR-0025</t>
  </si>
  <si>
    <t>APR-0026</t>
  </si>
  <si>
    <t>APR-0027</t>
  </si>
  <si>
    <t>Risk Owner ID</t>
  </si>
  <si>
    <t>Dependencies</t>
  </si>
  <si>
    <t>Approvals</t>
  </si>
  <si>
    <t>COMPREHENSIVE RELEASE RISK SCORING MODEL</t>
  </si>
  <si>
    <t>Multi-factor weighted risk assessment for Release Desk Go/No-Go decisions</t>
  </si>
  <si>
    <t>Category</t>
  </si>
  <si>
    <t>Weight %</t>
  </si>
  <si>
    <t>Data Source</t>
  </si>
  <si>
    <t>Technical Complexity</t>
  </si>
  <si>
    <t>Files Changed</t>
  </si>
  <si>
    <t>Git/SCM</t>
  </si>
  <si>
    <t>Code Churn (LOC)</t>
  </si>
  <si>
    <t>DB Schema Changes</t>
  </si>
  <si>
    <t>Migration Scripts</t>
  </si>
  <si>
    <t>API Contract Changes</t>
  </si>
  <si>
    <t>Breaking API changes</t>
  </si>
  <si>
    <t>API Specs</t>
  </si>
  <si>
    <t>Testing Quality</t>
  </si>
  <si>
    <t>Test Coverage %</t>
  </si>
  <si>
    <t>Test Execution Days</t>
  </si>
  <si>
    <t>Bugs Found (Test)</t>
  </si>
  <si>
    <t>Bug Fix Rate %</t>
  </si>
  <si>
    <t>UAT Duration Days</t>
  </si>
  <si>
    <t>Release Schedule</t>
  </si>
  <si>
    <t>UAT Defects</t>
  </si>
  <si>
    <t>Defects found in UAT</t>
  </si>
  <si>
    <t>UAT Sign-off</t>
  </si>
  <si>
    <t>Resource &amp; Schedule</t>
  </si>
  <si>
    <t>Testers Allocated</t>
  </si>
  <si>
    <t>All available</t>
  </si>
  <si>
    <t>Days Until Release</t>
  </si>
  <si>
    <t>Downstream Releases</t>
  </si>
  <si>
    <t>Env &amp; Dependencies</t>
  </si>
  <si>
    <t>Drift Issues</t>
  </si>
  <si>
    <t>Dependency Count</t>
  </si>
  <si>
    <t>Dependency Health</t>
  </si>
  <si>
    <t>Operational Readiness</t>
  </si>
  <si>
    <t>During freeze</t>
  </si>
  <si>
    <t>Vendor Coordination</t>
  </si>
  <si>
    <t>Confirmed</t>
  </si>
  <si>
    <t>WEIGHT SUMMARY BY CATEGORY</t>
  </si>
  <si>
    <t>TOTAL</t>
  </si>
  <si>
    <t>Score Range</t>
  </si>
  <si>
    <t>Risk Level</t>
  </si>
  <si>
    <t>Action</t>
  </si>
  <si>
    <t>LOW</t>
  </si>
  <si>
    <t>1.5 - 2.5</t>
  </si>
  <si>
    <t>MEDIUM</t>
  </si>
  <si>
    <t>2.5 - 3.5</t>
  </si>
  <si>
    <t>3.5 - 4.0</t>
  </si>
  <si>
    <t>SEVERE</t>
  </si>
  <si>
    <t>RELEASE RISK ASSESSMENT DATA</t>
  </si>
  <si>
    <t>Code Churn</t>
  </si>
  <si>
    <t>DB Changes</t>
  </si>
  <si>
    <t>API Changes</t>
  </si>
  <si>
    <t>Test Bugs</t>
  </si>
  <si>
    <t>Dep Health</t>
  </si>
  <si>
    <t>WEIGHTED SCORE</t>
  </si>
  <si>
    <t>RISK LEVEL</t>
  </si>
  <si>
    <t>Count</t>
  </si>
  <si>
    <t>Total Releases Assessed</t>
  </si>
  <si>
    <t>SEVERE Risk Releases</t>
  </si>
  <si>
    <t>Immediate review required</t>
  </si>
  <si>
    <t>CRITICAL Risk Releases</t>
  </si>
  <si>
    <t>HIGH Risk Releases</t>
  </si>
  <si>
    <t>MEDIUM Risk Releases</t>
  </si>
  <si>
    <t>LOW Risk Releases</t>
  </si>
  <si>
    <t>Average Risk Score</t>
  </si>
  <si>
    <t>Highest Risk Release</t>
  </si>
  <si>
    <t>Risk Factors</t>
  </si>
  <si>
    <t>Fully tested</t>
  </si>
  <si>
    <t>Not tested</t>
  </si>
  <si>
    <t>Test Results</t>
  </si>
  <si>
    <t>Tested in Pre-prod</t>
  </si>
  <si>
    <t>0 failures (12mo)</t>
  </si>
  <si>
    <t>Incident History</t>
  </si>
  <si>
    <t>Release History</t>
  </si>
  <si>
    <t>&lt; 14 days</t>
  </si>
  <si>
    <t>Incident Metrics</t>
  </si>
  <si>
    <t>BC Tested</t>
  </si>
  <si>
    <t>Rollback Tested</t>
  </si>
  <si>
    <t>MTBF Days</t>
  </si>
  <si>
    <t>Rollback Flow Tested</t>
  </si>
  <si>
    <t>Never tested</t>
  </si>
  <si>
    <t>Deployment Runbook</t>
  </si>
  <si>
    <t>FORMULA: Weighted Score = Σ (Factor Score × Factor Weight)</t>
  </si>
  <si>
    <t>#</t>
  </si>
  <si>
    <t>Factor</t>
  </si>
  <si>
    <t>Raw Value</t>
  </si>
  <si>
    <t>Score Logic</t>
  </si>
  <si>
    <t>Score (1-5)</t>
  </si>
  <si>
    <t>Weight</t>
  </si>
  <si>
    <t>Contribution</t>
  </si>
  <si>
    <t>1 if &lt;10, 2 if &lt;30, 3 if &lt;60, 4 if &lt;100, else 5</t>
  </si>
  <si>
    <t>1 if &lt;200, 2 if &lt;500, 3 if &lt;1500, 4 if &lt;3000, else 5</t>
  </si>
  <si>
    <t>1 if 0, 2 if 1, 3 if 2, 4 if &lt;5, else 5</t>
  </si>
  <si>
    <t>1 if 0, 2 if 1, 3 if 2, 4 if 3, else 5</t>
  </si>
  <si>
    <t>1 if &gt;90, 2 if &gt;80, 3 if &gt;70, 4 if &gt;60, else 5</t>
  </si>
  <si>
    <t>1 if &lt;3, 2 if &lt;5, 3 if &lt;7, 4 if &lt;10, else 5</t>
  </si>
  <si>
    <t>1 if &lt;3, 2 if &lt;6, 3 if &lt;10, 4 if &lt;15, else 5</t>
  </si>
  <si>
    <t>1 if &gt;95, 2 if &gt;85, 3 if &gt;75, 4 if &gt;60, else 5</t>
  </si>
  <si>
    <t>1 if &lt;2, 2 if &lt;4, 3 if &lt;6, 4 if &lt;8, else 5</t>
  </si>
  <si>
    <t>Key Staff Availability</t>
  </si>
  <si>
    <t>Change Freeze Impact</t>
  </si>
  <si>
    <t>1 if &gt;60, 2 if &gt;30, 3 if &gt;14, 4 if &gt;7, else 5</t>
  </si>
  <si>
    <t>No</t>
  </si>
  <si>
    <t>Risk Level:</t>
  </si>
  <si>
    <t>Factor Name</t>
  </si>
  <si>
    <t>Score 1 (Best)</t>
  </si>
  <si>
    <t>Score 5 (Worst)</t>
  </si>
  <si>
    <t>Number of modified files</t>
  </si>
  <si>
    <t>&lt;10</t>
  </si>
  <si>
    <t>≥100</t>
  </si>
  <si>
    <t>Lines of code changed</t>
  </si>
  <si>
    <t>&lt;200</t>
  </si>
  <si>
    <t>≥3000</t>
  </si>
  <si>
    <t>Database schema modifications</t>
  </si>
  <si>
    <t>≥5</t>
  </si>
  <si>
    <t>≥4</t>
  </si>
  <si>
    <t>New Technology Stack</t>
  </si>
  <si>
    <t>Unfamiliar tech introduced</t>
  </si>
  <si>
    <t>Proven stack</t>
  </si>
  <si>
    <t>Entirely new</t>
  </si>
  <si>
    <t>Architecture Review</t>
  </si>
  <si>
    <t>Code coverage percentage</t>
  </si>
  <si>
    <t>&gt;90%</t>
  </si>
  <si>
    <t>&lt;60%</t>
  </si>
  <si>
    <t>SonarQube</t>
  </si>
  <si>
    <t>Testing duration</t>
  </si>
  <si>
    <t>&lt;3 days</t>
  </si>
  <si>
    <t>≥10 days</t>
  </si>
  <si>
    <t>Test Plan</t>
  </si>
  <si>
    <t>Defects discovered in testing</t>
  </si>
  <si>
    <t>&lt;3</t>
  </si>
  <si>
    <t>≥15</t>
  </si>
  <si>
    <t>Jira</t>
  </si>
  <si>
    <t>Defects fixed vs found</t>
  </si>
  <si>
    <t>&gt;95%</t>
  </si>
  <si>
    <t>UAT testing period</t>
  </si>
  <si>
    <t>UAT Plan</t>
  </si>
  <si>
    <t>&lt;2</t>
  </si>
  <si>
    <t>≥8</t>
  </si>
  <si>
    <t>Business sign-off status</t>
  </si>
  <si>
    <t>Full sign-off</t>
  </si>
  <si>
    <t>No sign-off</t>
  </si>
  <si>
    <t>UAT Tracker</t>
  </si>
  <si>
    <t>Test Env Parity</t>
  </si>
  <si>
    <t>Test env match with Prod</t>
  </si>
  <si>
    <t>≥95% match</t>
  </si>
  <si>
    <t>&lt;60% match</t>
  </si>
  <si>
    <t>Env Config</t>
  </si>
  <si>
    <t>Security &amp; Compliance</t>
  </si>
  <si>
    <t>Critical/High Vulns</t>
  </si>
  <si>
    <t>Open security vulnerabilities</t>
  </si>
  <si>
    <t>SAST/DAST</t>
  </si>
  <si>
    <t>Pen Test Sign-off</t>
  </si>
  <si>
    <t>Penetration test status</t>
  </si>
  <si>
    <t>Passed</t>
  </si>
  <si>
    <t>Not done</t>
  </si>
  <si>
    <t>Security Team</t>
  </si>
  <si>
    <t>Compliance Gate</t>
  </si>
  <si>
    <t>SOX/GDPR/PCI-DSS status</t>
  </si>
  <si>
    <t>All passed</t>
  </si>
  <si>
    <t>GRC System</t>
  </si>
  <si>
    <t>Data Migration</t>
  </si>
  <si>
    <t>Migration Required</t>
  </si>
  <si>
    <t>Data migration needed</t>
  </si>
  <si>
    <t>Yes, complex</t>
  </si>
  <si>
    <t>Release Notes</t>
  </si>
  <si>
    <t>Backup Restore Tested</t>
  </si>
  <si>
    <t>Backup/restore verified</t>
  </si>
  <si>
    <t>Yes, verified</t>
  </si>
  <si>
    <t>DBA Team</t>
  </si>
  <si>
    <t>Migration Script Tested</t>
  </si>
  <si>
    <t>Migration scripts validated</t>
  </si>
  <si>
    <t>QA resource count</t>
  </si>
  <si>
    <t>&gt;3</t>
  </si>
  <si>
    <t>1 or none</t>
  </si>
  <si>
    <t>Resource Plan</t>
  </si>
  <si>
    <t>Critical personnel present</t>
  </si>
  <si>
    <t>Key staff OOO</t>
  </si>
  <si>
    <t>Time to deployment</t>
  </si>
  <si>
    <t>&gt;30 days</t>
  </si>
  <si>
    <t>&lt;5 days</t>
  </si>
  <si>
    <t>Dependent releases count</t>
  </si>
  <si>
    <t>Overlapping Releases</t>
  </si>
  <si>
    <t>Releases in same window</t>
  </si>
  <si>
    <t>Release Calendar</t>
  </si>
  <si>
    <t>Environment drift count</t>
  </si>
  <si>
    <t>Drift Tracker</t>
  </si>
  <si>
    <t>External dependencies</t>
  </si>
  <si>
    <t>Upstream system status</t>
  </si>
  <si>
    <t>All healthy</t>
  </si>
  <si>
    <t>Critical blocked</t>
  </si>
  <si>
    <t>Health Dashboard</t>
  </si>
  <si>
    <t>Feature Flag Cleanup</t>
  </si>
  <si>
    <t>Stale feature flags</t>
  </si>
  <si>
    <t>Clean</t>
  </si>
  <si>
    <t>≥5 stale flags</t>
  </si>
  <si>
    <t>Feature Mgmt</t>
  </si>
  <si>
    <t>Rollback documented</t>
  </si>
  <si>
    <t>Full plan tested</t>
  </si>
  <si>
    <t>No plan</t>
  </si>
  <si>
    <t>Runbook</t>
  </si>
  <si>
    <t>Checklist completion</t>
  </si>
  <si>
    <t>&lt;50%</t>
  </si>
  <si>
    <t>Checklist</t>
  </si>
  <si>
    <t>Freeze window conflict</t>
  </si>
  <si>
    <t>No conflict</t>
  </si>
  <si>
    <t>Vendor readiness</t>
  </si>
  <si>
    <t>Not coordinated</t>
  </si>
  <si>
    <t>Vendor Mgmt</t>
  </si>
  <si>
    <t>Rollback Time RTO</t>
  </si>
  <si>
    <t>Rollback duration (min)</t>
  </si>
  <si>
    <t>&lt;15 min</t>
  </si>
  <si>
    <t>&gt;120 min</t>
  </si>
  <si>
    <t>Deployment Automation %</t>
  </si>
  <si>
    <t>Automation level</t>
  </si>
  <si>
    <t>CI/CD Pipeline</t>
  </si>
  <si>
    <t>Performance &amp; Scalability</t>
  </si>
  <si>
    <t>Load Test Status</t>
  </si>
  <si>
    <t>Load testing result</t>
  </si>
  <si>
    <t>Perf Team</t>
  </si>
  <si>
    <t>Perf Regression %</t>
  </si>
  <si>
    <t>Performance vs baseline</t>
  </si>
  <si>
    <t>&lt;5%</t>
  </si>
  <si>
    <t>&gt;25%</t>
  </si>
  <si>
    <t>APM Tools</t>
  </si>
  <si>
    <t>Backward compatibility</t>
  </si>
  <si>
    <t>Rollback rehearsal done</t>
  </si>
  <si>
    <t>Previous Failures</t>
  </si>
  <si>
    <t>Past failure history</t>
  </si>
  <si>
    <t>≥3 failures</t>
  </si>
  <si>
    <t>Release Cadence Dev</t>
  </si>
  <si>
    <t>Deviation from schedule</t>
  </si>
  <si>
    <t>On schedule</t>
  </si>
  <si>
    <t>&gt;14 days late</t>
  </si>
  <si>
    <t>Release Plan</t>
  </si>
  <si>
    <t>Mean time between failures</t>
  </si>
  <si>
    <t>&gt;180 days</t>
  </si>
  <si>
    <t>&lt;14 days</t>
  </si>
  <si>
    <t>Recent Incidents</t>
  </si>
  <si>
    <t>Incidents last 30 days</t>
  </si>
  <si>
    <t>≥3</t>
  </si>
  <si>
    <t>Incident Mgmt</t>
  </si>
  <si>
    <t>Business Criticality</t>
  </si>
  <si>
    <t>Revenue Impact</t>
  </si>
  <si>
    <t>Revenue risk if failed</t>
  </si>
  <si>
    <t>Business Team</t>
  </si>
  <si>
    <t>User Blast Radius</t>
  </si>
  <si>
    <t>Users/customers affected</t>
  </si>
  <si>
    <t>&lt;100</t>
  </si>
  <si>
    <t>&gt;100K or all</t>
  </si>
  <si>
    <t>Product Team</t>
  </si>
  <si>
    <t>Factors</t>
  </si>
  <si>
    <t>5 factors</t>
  </si>
  <si>
    <t>8 factors</t>
  </si>
  <si>
    <t>3 factors</t>
  </si>
  <si>
    <t>4 factors</t>
  </si>
  <si>
    <t>6 factors</t>
  </si>
  <si>
    <t>2 factors</t>
  </si>
  <si>
    <t>44 factors</t>
  </si>
  <si>
    <t>New Tech Stack</t>
  </si>
  <si>
    <t>Crit/High Vulns</t>
  </si>
  <si>
    <t>Pen Test</t>
  </si>
  <si>
    <t>Migration Req</t>
  </si>
  <si>
    <t>Backup Tested</t>
  </si>
  <si>
    <t>Migration Script</t>
  </si>
  <si>
    <t>Key Staff Avail</t>
  </si>
  <si>
    <t>Overlapping Rels</t>
  </si>
  <si>
    <t>Dep Count</t>
  </si>
  <si>
    <t>Rollback RTO</t>
  </si>
  <si>
    <t>Deploy Automation %</t>
  </si>
  <si>
    <t>Load Test</t>
  </si>
  <si>
    <t>Cadence Dev</t>
  </si>
  <si>
    <t>Blast Radius</t>
  </si>
  <si>
    <t>Blue Workflow v2.1</t>
  </si>
  <si>
    <t>Zendesk Minor v4.3</t>
  </si>
  <si>
    <t>Oracle HFM Upgrade v12</t>
  </si>
  <si>
    <t>Coupa Integration v3.0</t>
  </si>
  <si>
    <t>Salesforce Patch v8.2</t>
  </si>
  <si>
    <t>SAP S4 Finance v2.0</t>
  </si>
  <si>
    <t>Workday HR Update v5.1</t>
  </si>
  <si>
    <t>Jira Workflow v3.4</t>
  </si>
  <si>
    <t>Manhattan WMS v6.0</t>
  </si>
  <si>
    <t>ServiceNow ITSM v4.2</t>
  </si>
  <si>
    <t>Tableau Dashboard v2.8</t>
  </si>
  <si>
    <t>WEIGHTED SCORE CALCULATION EXAMPLE - REL-0001</t>
  </si>
  <si>
    <t>The Weighted Risk Score combines 44 factors across 10 categories. Each factor is:</t>
  </si>
  <si>
    <t xml:space="preserve">  1. Converted from its raw value to a standardized score (1 = lowest risk, 5 = highest risk)</t>
  </si>
  <si>
    <t xml:space="preserve">  2. Multiplied by its assigned weight (all weights sum to 100%)</t>
  </si>
  <si>
    <t xml:space="preserve">  3. All weighted scores are summed to produce the final risk score</t>
  </si>
  <si>
    <t>For REL-0001 (Kyriba UI Tweak v4.5), here is the detailed breakdown:</t>
  </si>
  <si>
    <t>UAT Sign-off Level</t>
  </si>
  <si>
    <t>Test Env Parity Score</t>
  </si>
  <si>
    <t>1 if 0, 2 if &lt;3, 3 if &lt;5, 4 if &lt;10, else 5</t>
  </si>
  <si>
    <t>Team Size</t>
  </si>
  <si>
    <t>Deploy Window Hours</t>
  </si>
  <si>
    <t>Change Freeze Proximity</t>
  </si>
  <si>
    <t>1 if &gt;14, 2 if &gt;7, 3 if &gt;3, 4 if &gt;1, else 5</t>
  </si>
  <si>
    <t>Key Staff Available</t>
  </si>
  <si>
    <t>Dependencies Count</t>
  </si>
  <si>
    <t>Vendor Involvement</t>
  </si>
  <si>
    <t>1 if 0, 3 if 1, 5 if 2+</t>
  </si>
  <si>
    <t>Rollback Plan Tested</t>
  </si>
  <si>
    <t>Documentation Complete</t>
  </si>
  <si>
    <t>Monitoring Readiness</t>
  </si>
  <si>
    <t>Runbook Updated</t>
  </si>
  <si>
    <t>1 if &lt;15, 2 if &lt;30, 3 if &lt;60, 4 if &lt;120, else 5</t>
  </si>
  <si>
    <t>1 if &gt;90, 2 if &gt;75, 3 if &gt;50, 4 if &gt;25, else 5</t>
  </si>
  <si>
    <t>Load Test Completed</t>
  </si>
  <si>
    <t>1 if &lt;5, 2 if &lt;10, 3 if &lt;15, 4 if &lt;25, else 5</t>
  </si>
  <si>
    <t>Vendor Patch Status</t>
  </si>
  <si>
    <t>1 if &lt;2, 2 if &lt;5, 3 if &lt;10, 4 if &lt;20, else 5</t>
  </si>
  <si>
    <t>Past Failures</t>
  </si>
  <si>
    <t>BC Not Tested</t>
  </si>
  <si>
    <t>Rollback Not Tested</t>
  </si>
  <si>
    <t>1 if &lt;1000, 2 if &lt;5000, 3 if &lt;20000, 4 if &lt;50000, else 5</t>
  </si>
  <si>
    <t>REL-0001 FINAL RISK ASSESSMENT</t>
  </si>
  <si>
    <t>Weighted Risk Score:</t>
  </si>
  <si>
    <t>Deploy Window</t>
  </si>
  <si>
    <t>Freeze Proximity</t>
  </si>
  <si>
    <t>Docs Complete</t>
  </si>
  <si>
    <t>Monitoring Ready</t>
  </si>
  <si>
    <t>Deploy Auto %</t>
  </si>
  <si>
    <t>Vendor Patch</t>
  </si>
  <si>
    <t>Direct score (1=Proven, 5=Entirely new)</t>
  </si>
  <si>
    <t>UAT Defects Found</t>
  </si>
  <si>
    <t>1 if &lt;2, 2 if &lt;4, 3 if &lt;7, 4 if &lt;10, else 5</t>
  </si>
  <si>
    <t>INVERTED: 6 - value (5=full signoff=1)</t>
  </si>
  <si>
    <t>INVERTED: 6 - value (5=perfect parity=1)</t>
  </si>
  <si>
    <t>INVERTED: 6 - value (5=passed=1)</t>
  </si>
  <si>
    <t>INVERTED: 6 - value (5=passed all=1)</t>
  </si>
  <si>
    <t>Data Migration Req</t>
  </si>
  <si>
    <t>Boolean: 0=No(1), 1=Yes(3)</t>
  </si>
  <si>
    <t>INVERTED: 6 - value (5=tested=1)</t>
  </si>
  <si>
    <t>INVERTED: 6 - value (5=all available=1)</t>
  </si>
  <si>
    <t>INVERTED: 6 - value (5=all healthy=1)</t>
  </si>
  <si>
    <t>INVERTED: 6 - value (5=clean=1)</t>
  </si>
  <si>
    <t>INVERTED: 6 - value (5=complete=1)</t>
  </si>
  <si>
    <t>INVERTED: 6 - value (5=ready=1)</t>
  </si>
  <si>
    <t>INVERTED: 6 - value (5=updated=1)</t>
  </si>
  <si>
    <t>Rollback Time RTO (min)</t>
  </si>
  <si>
    <t>INVERTED: 6 - value (5=current=1)</t>
  </si>
  <si>
    <t>Direct score (1=Low, 3=Medium, 5=High)</t>
  </si>
  <si>
    <t>Interpretation: REL-0001 has a LOW risk score, indicating minimal risk factors. It uses proven technology, has good test coverage (85%), zero critical vulnerabilities, and all dependencies are healthy. The small scope (12 files, 320 LOC) and experienced team contribute to the low risk profile.</t>
  </si>
  <si>
    <t>RISK SCORE THRESHOLDS</t>
  </si>
  <si>
    <t>Level</t>
  </si>
  <si>
    <t>&lt; 1.5</t>
  </si>
  <si>
    <t>Standard deployment</t>
  </si>
  <si>
    <t>Enhanced monitoring</t>
  </si>
  <si>
    <t>CAB review required</t>
  </si>
  <si>
    <t>Executive approval needed</t>
  </si>
  <si>
    <t>≥ 4.0</t>
  </si>
  <si>
    <t>Postpone or major mitigation</t>
  </si>
  <si>
    <t>1. DEPARTMENTS</t>
  </si>
  <si>
    <t>Dept ID</t>
  </si>
  <si>
    <t>Primary Focus</t>
  </si>
  <si>
    <t>DEPT-01</t>
  </si>
  <si>
    <t>Financial planning, reporting, treasury</t>
  </si>
  <si>
    <t>DEPT-02</t>
  </si>
  <si>
    <t>Warehouse, transportation, supply chain</t>
  </si>
  <si>
    <t>DEPT-03</t>
  </si>
  <si>
    <t>Sales, marketing, customer service</t>
  </si>
  <si>
    <t>DEPT-04</t>
  </si>
  <si>
    <t>Production, quality, MES systems</t>
  </si>
  <si>
    <t>DEPT-05</t>
  </si>
  <si>
    <t>Infrastructure, monitoring, service desk</t>
  </si>
  <si>
    <t>DEPT-06</t>
  </si>
  <si>
    <t>HCM, payroll, learning, talent</t>
  </si>
  <si>
    <t>DEPT-07</t>
  </si>
  <si>
    <t>Contracts, compliance, document management</t>
  </si>
  <si>
    <t>DEPT-08</t>
  </si>
  <si>
    <t>Identity, access, threat detection</t>
  </si>
  <si>
    <t>2. ENVIRONMENTS</t>
  </si>
  <si>
    <t>Env Code</t>
  </si>
  <si>
    <t>Promotion Order</t>
  </si>
  <si>
    <t>DEV</t>
  </si>
  <si>
    <t>Development</t>
  </si>
  <si>
    <t>24/7</t>
  </si>
  <si>
    <t>TEST</t>
  </si>
  <si>
    <t>User Acceptance</t>
  </si>
  <si>
    <t>PREPROD</t>
  </si>
  <si>
    <t>Pre-Production</t>
  </si>
  <si>
    <t>PROD</t>
  </si>
  <si>
    <t>Production</t>
  </si>
  <si>
    <t>Disaster Recovery</t>
  </si>
  <si>
    <t>Business continuity failover</t>
  </si>
  <si>
    <t>3. RELEASE SIZES</t>
  </si>
  <si>
    <t>Size</t>
  </si>
  <si>
    <t>Total Lead Time</t>
  </si>
  <si>
    <t>~8 days</t>
  </si>
  <si>
    <t>~12 days</t>
  </si>
  <si>
    <t>~22 days</t>
  </si>
  <si>
    <t>4. IMPACT LEVELS</t>
  </si>
  <si>
    <t>Code</t>
  </si>
  <si>
    <t>Examples</t>
  </si>
  <si>
    <t>H</t>
  </si>
  <si>
    <t>M</t>
  </si>
  <si>
    <t>Moderate impact, workarounds exist</t>
  </si>
  <si>
    <t>L</t>
  </si>
  <si>
    <t>Minimal impact, easily recoverable</t>
  </si>
  <si>
    <t>UI changes, Minor enhancements</t>
  </si>
  <si>
    <t>5. PRIORITY LEVELS</t>
  </si>
  <si>
    <t>Response Time</t>
  </si>
  <si>
    <t>Escalation</t>
  </si>
  <si>
    <t>P1</t>
  </si>
  <si>
    <t>Immediate</t>
  </si>
  <si>
    <t>CIO/VP Level</t>
  </si>
  <si>
    <t>Business-stopping issues, security breaches</t>
  </si>
  <si>
    <t>P2</t>
  </si>
  <si>
    <t>4 hours</t>
  </si>
  <si>
    <t>Director Level</t>
  </si>
  <si>
    <t>Major degradation, customer impacting</t>
  </si>
  <si>
    <t>P3</t>
  </si>
  <si>
    <t>1 business day</t>
  </si>
  <si>
    <t>Manager Level</t>
  </si>
  <si>
    <t>Important but not urgent issues</t>
  </si>
  <si>
    <t>P4</t>
  </si>
  <si>
    <t>5 business days</t>
  </si>
  <si>
    <t>Minor issues, enhancements</t>
  </si>
  <si>
    <t>6. RELEASE STATUS CODES</t>
  </si>
  <si>
    <t>Status Code</t>
  </si>
  <si>
    <t>Display Name</t>
  </si>
  <si>
    <t>Stage</t>
  </si>
  <si>
    <t>DRAFT</t>
  </si>
  <si>
    <t>Initial</t>
  </si>
  <si>
    <t>Release being planned, not yet submitted</t>
  </si>
  <si>
    <t>SUBMITTED</t>
  </si>
  <si>
    <t>Submitted</t>
  </si>
  <si>
    <t>Review</t>
  </si>
  <si>
    <t>Release submitted for review and approval</t>
  </si>
  <si>
    <t>PENDING_CAB</t>
  </si>
  <si>
    <t>Awaiting Change Advisory Board review</t>
  </si>
  <si>
    <t>APPROVED</t>
  </si>
  <si>
    <t>All approvals obtained, ready to proceed</t>
  </si>
  <si>
    <t>IN_PROGRESS</t>
  </si>
  <si>
    <t>Release deployment actively underway</t>
  </si>
  <si>
    <t>BLOCKED</t>
  </si>
  <si>
    <t>Hold</t>
  </si>
  <si>
    <t>Release halted due to dependency or issue</t>
  </si>
  <si>
    <t>ON_HOLD</t>
  </si>
  <si>
    <t>Temporarily paused for business reasons</t>
  </si>
  <si>
    <t>COMPLETED</t>
  </si>
  <si>
    <t>Completed</t>
  </si>
  <si>
    <t>Closed</t>
  </si>
  <si>
    <t>Release successfully deployed</t>
  </si>
  <si>
    <t>FAILED</t>
  </si>
  <si>
    <t>Failed</t>
  </si>
  <si>
    <t>Release deployment failed, rollback executed</t>
  </si>
  <si>
    <t>7. RISK SCORE THRESHOLDS</t>
  </si>
  <si>
    <t>Color Code</t>
  </si>
  <si>
    <t>Action Required</t>
  </si>
  <si>
    <t>Approval Level</t>
  </si>
  <si>
    <t>#00B050</t>
  </si>
  <si>
    <t>Standard process</t>
  </si>
  <si>
    <t>#FFC000</t>
  </si>
  <si>
    <t>Release Manager + Tech Lead</t>
  </si>
  <si>
    <t>#FF6600</t>
  </si>
  <si>
    <t>Risk mitigation plan required</t>
  </si>
  <si>
    <t>Director Approval</t>
  </si>
  <si>
    <t>#FF0000</t>
  </si>
  <si>
    <t>Executive review, CAB escalation</t>
  </si>
  <si>
    <t>VP/CIO Approval</t>
  </si>
  <si>
    <t>#7030A0</t>
  </si>
  <si>
    <t>Consider postponement</t>
  </si>
  <si>
    <t>Emergency CAB</t>
  </si>
  <si>
    <t>8. APPROVAL TYPES &amp; WORKFLOW</t>
  </si>
  <si>
    <t>SLA (Hours)</t>
  </si>
  <si>
    <t>Sequence</t>
  </si>
  <si>
    <t>Technical Review</t>
  </si>
  <si>
    <t>TECH</t>
  </si>
  <si>
    <t>Tech Lead / Architect</t>
  </si>
  <si>
    <t>SEC</t>
  </si>
  <si>
    <t>BIZ</t>
  </si>
  <si>
    <t>Business Owner</t>
  </si>
  <si>
    <t>QA Sign-off</t>
  </si>
  <si>
    <t>CAB Review</t>
  </si>
  <si>
    <t>CAB</t>
  </si>
  <si>
    <t>Change Advisory Board</t>
  </si>
  <si>
    <t>Final Approval</t>
  </si>
  <si>
    <t>FINAL</t>
  </si>
  <si>
    <t>9. DEPENDENCY TYPES</t>
  </si>
  <si>
    <t>HARD</t>
  </si>
  <si>
    <t>Blocking</t>
  </si>
  <si>
    <t>Must be resolved before release can proceed</t>
  </si>
  <si>
    <t>SOFT</t>
  </si>
  <si>
    <t>Advisory</t>
  </si>
  <si>
    <t>Recommended but not mandatory</t>
  </si>
  <si>
    <t>Code or infrastructure dependencies</t>
  </si>
  <si>
    <t>DATA</t>
  </si>
  <si>
    <t>Data migration or sync requirements</t>
  </si>
  <si>
    <t>INTG</t>
  </si>
  <si>
    <t>Variable</t>
  </si>
  <si>
    <t>External system integration points</t>
  </si>
  <si>
    <t>10. DEPENDENCY STATUS</t>
  </si>
  <si>
    <t>Color</t>
  </si>
  <si>
    <t>CLR</t>
  </si>
  <si>
    <t>Dependency resolved, no action needed</t>
  </si>
  <si>
    <t>RISK</t>
  </si>
  <si>
    <t>Potential issue, requires monitoring</t>
  </si>
  <si>
    <t>BLK</t>
  </si>
  <si>
    <t>Active blocker, must be resolved</t>
  </si>
  <si>
    <t>RES</t>
  </si>
  <si>
    <t>#0070C0</t>
  </si>
  <si>
    <t>Previously blocked, now cleared</t>
  </si>
  <si>
    <t>11. LEAVE TYPES</t>
  </si>
  <si>
    <t>Coverage Required</t>
  </si>
  <si>
    <t>AL</t>
  </si>
  <si>
    <t>Low-Medium</t>
  </si>
  <si>
    <t>If key resource, backup needed</t>
  </si>
  <si>
    <t>PL</t>
  </si>
  <si>
    <t>Standard handover</t>
  </si>
  <si>
    <t>SL</t>
  </si>
  <si>
    <t>Emergency coverage protocol</t>
  </si>
  <si>
    <t>CONF</t>
  </si>
  <si>
    <t>Planned, backup assigned</t>
  </si>
  <si>
    <t>TRN</t>
  </si>
  <si>
    <t>Planned, limited availability</t>
  </si>
  <si>
    <t>12. USER ROLES &amp; PERMISSIONS</t>
  </si>
  <si>
    <t>Create Release</t>
  </si>
  <si>
    <t>Approve</t>
  </si>
  <si>
    <t>Super Admin</t>
  </si>
  <si>
    <t>SADM</t>
  </si>
  <si>
    <t>Yes</t>
  </si>
  <si>
    <t>RELMGR</t>
  </si>
  <si>
    <t>DEVMGR</t>
  </si>
  <si>
    <t>QALEAD</t>
  </si>
  <si>
    <t>TLEAD</t>
  </si>
  <si>
    <t>BA</t>
  </si>
  <si>
    <t>Developer</t>
  </si>
  <si>
    <t>Tester</t>
  </si>
  <si>
    <t>Viewer</t>
  </si>
  <si>
    <t>VIEW</t>
  </si>
  <si>
    <t>CAB Member</t>
  </si>
  <si>
    <t>13. DRIFT CATEGORIES</t>
  </si>
  <si>
    <t>INFRA</t>
  </si>
  <si>
    <t>Server, network, or hardware drift</t>
  </si>
  <si>
    <t>CONFIG</t>
  </si>
  <si>
    <t>Application or system settings drift</t>
  </si>
  <si>
    <t>Database schema or data inconsistency</t>
  </si>
  <si>
    <t>API or interface version mismatch</t>
  </si>
  <si>
    <t>Security patch or certificate drift</t>
  </si>
  <si>
    <t>CODE</t>
  </si>
  <si>
    <t>Unauthorized code changes</t>
  </si>
  <si>
    <t>14. CHANGE FREEZE PERIODS</t>
  </si>
  <si>
    <t>Duration</t>
  </si>
  <si>
    <t>Timing</t>
  </si>
  <si>
    <t>Exceptions</t>
  </si>
  <si>
    <t>Mandatory</t>
  </si>
  <si>
    <t>19 days</t>
  </si>
  <si>
    <t>Dec 13 - Dec 31</t>
  </si>
  <si>
    <t>P1 emergencies only</t>
  </si>
  <si>
    <t>Q1 Quarter-End</t>
  </si>
  <si>
    <t>Mar 29 - Mar 31</t>
  </si>
  <si>
    <t>Pre-approved only</t>
  </si>
  <si>
    <t>Q2 Quarter-End</t>
  </si>
  <si>
    <t>Jun 28 - Jun 30</t>
  </si>
  <si>
    <t>Q3 Quarter-End</t>
  </si>
  <si>
    <t>Sep 28 - Sep 30</t>
  </si>
  <si>
    <t>Major Events</t>
  </si>
  <si>
    <t>As defined</t>
  </si>
  <si>
    <t>Board meetings, audits</t>
  </si>
  <si>
    <t>Emergency only</t>
  </si>
  <si>
    <t>Holiday Periods</t>
  </si>
  <si>
    <t>Public holidays</t>
  </si>
  <si>
    <t>Minimal changes</t>
  </si>
  <si>
    <t>15. RISK FACTOR WEIGHTS BY CATEGORY</t>
  </si>
  <si>
    <t># Factors</t>
  </si>
  <si>
    <t>Key Factors</t>
  </si>
  <si>
    <t>New Tech Stack, Code Complexity, DB Changes</t>
  </si>
  <si>
    <t>Test Coverage, Env Parity, Automation</t>
  </si>
  <si>
    <t>Vulnerabilities, Pen Test, Compliance Gate</t>
  </si>
  <si>
    <t>Migration Required, Scripts Tested, Backup</t>
  </si>
  <si>
    <t>Team Availability, Overlapping Releases</t>
  </si>
  <si>
    <t>Environment &amp; Dependencies</t>
  </si>
  <si>
    <t>Upstream/Downstream, Feature Flags</t>
  </si>
  <si>
    <t>Rollback Time, Runbook, Automation Level</t>
  </si>
  <si>
    <t>Load Test, Performance Regression</t>
  </si>
  <si>
    <t>Past Failures, MTBR, MTBF</t>
  </si>
  <si>
    <t>Revenue Impact, User Blast Radius</t>
  </si>
  <si>
    <t>Full weighted risk assessment</t>
  </si>
  <si>
    <t>16. SHARED ENVIRONMENTS</t>
  </si>
  <si>
    <t>Max Concurrent</t>
  </si>
  <si>
    <t>Contention Level</t>
  </si>
  <si>
    <t>UAT-Shared-1</t>
  </si>
  <si>
    <t>Finance, HR, Legal</t>
  </si>
  <si>
    <t>2 teams</t>
  </si>
  <si>
    <t>UAT-Shared-2</t>
  </si>
  <si>
    <t>Test-Integration</t>
  </si>
  <si>
    <t>3 teams</t>
  </si>
  <si>
    <t>Pre-Prod-Core</t>
  </si>
  <si>
    <t>Finance, Manufacturing</t>
  </si>
  <si>
    <t>1 team</t>
  </si>
  <si>
    <t>DR-Test</t>
  </si>
  <si>
    <t>Performance Lab</t>
  </si>
  <si>
    <t>IT, CRM, Manufacturing</t>
  </si>
  <si>
    <t>Security Scan</t>
  </si>
  <si>
    <t>Finance, HR</t>
  </si>
  <si>
    <t>17. INTEGRATION TYPES</t>
  </si>
  <si>
    <t>Latency Req</t>
  </si>
  <si>
    <t>Real-Time API</t>
  </si>
  <si>
    <t>RT-API</t>
  </si>
  <si>
    <t>&lt; 100ms</t>
  </si>
  <si>
    <t>Synchronous REST/SOAP calls</t>
  </si>
  <si>
    <t>Batch File</t>
  </si>
  <si>
    <t>BATCH</t>
  </si>
  <si>
    <t>Nightly or scheduled file transfers</t>
  </si>
  <si>
    <t>Message Queue</t>
  </si>
  <si>
    <t>MQ</t>
  </si>
  <si>
    <t>&lt; 1 sec</t>
  </si>
  <si>
    <t>Asynchronous messaging (Kafka, MQ)</t>
  </si>
  <si>
    <t>Database Link</t>
  </si>
  <si>
    <t>DBLINK</t>
  </si>
  <si>
    <t>&lt; 500ms</t>
  </si>
  <si>
    <t>Direct database connections</t>
  </si>
  <si>
    <t>Event Stream</t>
  </si>
  <si>
    <t>EVENT</t>
  </si>
  <si>
    <t>Near real-time</t>
  </si>
  <si>
    <t>Event-driven architecture</t>
  </si>
  <si>
    <t>Middleware</t>
  </si>
  <si>
    <t>MW</t>
  </si>
  <si>
    <t>ESB or integration platform</t>
  </si>
  <si>
    <t>Manual</t>
  </si>
  <si>
    <t>MANUAL</t>
  </si>
  <si>
    <t>N/A</t>
  </si>
  <si>
    <t>Human-initiated data entry</t>
  </si>
  <si>
    <t>18. RISK LIKELIHOOD SCALE</t>
  </si>
  <si>
    <t>Score</t>
  </si>
  <si>
    <t>Probability</t>
  </si>
  <si>
    <t>&lt; 5%</t>
  </si>
  <si>
    <t>Unlikely to occur in normal circumstances</t>
  </si>
  <si>
    <t>5-25%</t>
  </si>
  <si>
    <t>Could occur but not expected</t>
  </si>
  <si>
    <t>25-50%</t>
  </si>
  <si>
    <t>May occur at some time</t>
  </si>
  <si>
    <t>50-75%</t>
  </si>
  <si>
    <t>Will probably occur</t>
  </si>
  <si>
    <t>&gt; 75%</t>
  </si>
  <si>
    <t>Expected to occur in most circumstances</t>
  </si>
  <si>
    <t>19. RISK IMPACT SCALE</t>
  </si>
  <si>
    <t>Business Impact</t>
  </si>
  <si>
    <t>&lt; $10K</t>
  </si>
  <si>
    <t>Minor inconvenience, no service impact</t>
  </si>
  <si>
    <t>$10K-$100K</t>
  </si>
  <si>
    <t>Limited impact, workarounds available</t>
  </si>
  <si>
    <t>$100K-$500K</t>
  </si>
  <si>
    <t>Significant impact, degraded service</t>
  </si>
  <si>
    <t>$500K-$1M</t>
  </si>
  <si>
    <t>Major disruption, critical functions affected</t>
  </si>
  <si>
    <t>Catastrophic</t>
  </si>
  <si>
    <t>&gt; $1M</t>
  </si>
  <si>
    <t>Complete service failure, regulatory breach</t>
  </si>
  <si>
    <t>20. APPLICATION CATEGORIES</t>
  </si>
  <si>
    <t>Tier</t>
  </si>
  <si>
    <t>Criticality</t>
  </si>
  <si>
    <t>Example Applications</t>
  </si>
  <si>
    <t>Tier 1</t>
  </si>
  <si>
    <t>Mission Critical</t>
  </si>
  <si>
    <t>SAP S/4HANA, Oracle EBS</t>
  </si>
  <si>
    <t>Financial Systems</t>
  </si>
  <si>
    <t>Treasury, Tax, Revenue Recognition</t>
  </si>
  <si>
    <t>Customer Facing</t>
  </si>
  <si>
    <t>CRM, E-commerce, Portal</t>
  </si>
  <si>
    <t>Manufacturing/Operations</t>
  </si>
  <si>
    <t>Tier 2</t>
  </si>
  <si>
    <t>MES, WMS, Supply Chain</t>
  </si>
  <si>
    <t>HR Systems</t>
  </si>
  <si>
    <t>HCM, Payroll, Recruiting</t>
  </si>
  <si>
    <t>Security/Compliance</t>
  </si>
  <si>
    <t>IAM, SIEM, GRC</t>
  </si>
  <si>
    <t>Analytics/Reporting</t>
  </si>
  <si>
    <t>Tier 3</t>
  </si>
  <si>
    <t>BI Tools, Data Warehouse</t>
  </si>
  <si>
    <t>Collaboration</t>
  </si>
  <si>
    <t>Email, Messaging, Document Mgmt</t>
  </si>
  <si>
    <t>Development Tools</t>
  </si>
  <si>
    <t>CI/CD, Repositories, IDEs</t>
  </si>
  <si>
    <t>21. NOTIFICATION TYPES</t>
  </si>
  <si>
    <t>Trigger</t>
  </si>
  <si>
    <t>Recipients</t>
  </si>
  <si>
    <t>Channel</t>
  </si>
  <si>
    <t>Release Submitted</t>
  </si>
  <si>
    <t>New release created</t>
  </si>
  <si>
    <t>Tech Lead, QA Lead</t>
  </si>
  <si>
    <t>Email, Teams</t>
  </si>
  <si>
    <t>Approval Required</t>
  </si>
  <si>
    <t>Review stage reached</t>
  </si>
  <si>
    <t>Designated approver</t>
  </si>
  <si>
    <t>CAB Scheduled</t>
  </si>
  <si>
    <t>CAB meeting set</t>
  </si>
  <si>
    <t>All stakeholders</t>
  </si>
  <si>
    <t>Email, Calendar</t>
  </si>
  <si>
    <t>Go-Live Alert</t>
  </si>
  <si>
    <t>24h before deployment</t>
  </si>
  <si>
    <t>All teams</t>
  </si>
  <si>
    <t>Email, SMS, Teams</t>
  </si>
  <si>
    <t>Deployment Started</t>
  </si>
  <si>
    <t>Release begins</t>
  </si>
  <si>
    <t>Operations, Support</t>
  </si>
  <si>
    <t>Teams, Slack</t>
  </si>
  <si>
    <t>Deployment Complete</t>
  </si>
  <si>
    <t>Release finished</t>
  </si>
  <si>
    <t>Rollback Initiated</t>
  </si>
  <si>
    <t>Failure detected</t>
  </si>
  <si>
    <t>All teams, Management</t>
  </si>
  <si>
    <t>Email, SMS, Phone</t>
  </si>
  <si>
    <t>22. TESTING PHASES &amp; GATES</t>
  </si>
  <si>
    <t>Phase</t>
  </si>
  <si>
    <t>Entry Criteria</t>
  </si>
  <si>
    <t>Exit Criteria</t>
  </si>
  <si>
    <t>Sign-off Required</t>
  </si>
  <si>
    <t>Unit Testing</t>
  </si>
  <si>
    <t>Code complete</t>
  </si>
  <si>
    <t>&gt; 80% coverage</t>
  </si>
  <si>
    <t>Integration Test</t>
  </si>
  <si>
    <t>Unit tests pass</t>
  </si>
  <si>
    <t>All APIs verified</t>
  </si>
  <si>
    <t>System Test</t>
  </si>
  <si>
    <t>Integration complete</t>
  </si>
  <si>
    <t>End-to-end scenarios pass</t>
  </si>
  <si>
    <t>Performance Test</t>
  </si>
  <si>
    <t>TEST/PERF</t>
  </si>
  <si>
    <t>System test pass</t>
  </si>
  <si>
    <t>Meet SLA benchmarks</t>
  </si>
  <si>
    <t>Performance Team</t>
  </si>
  <si>
    <t>Security Test</t>
  </si>
  <si>
    <t>Code freeze</t>
  </si>
  <si>
    <t>No critical vulnerabilities</t>
  </si>
  <si>
    <t>Business sign-off</t>
  </si>
  <si>
    <t>Pre-Prod Validation</t>
  </si>
  <si>
    <t>UAT complete</t>
  </si>
  <si>
    <t>Prod-mirror verified</t>
  </si>
  <si>
    <t>Go/No-Go</t>
  </si>
  <si>
    <t>All gates passed</t>
  </si>
  <si>
    <t>Final approval</t>
  </si>
  <si>
    <t>23. DEPLOYMENT WINDOWS</t>
  </si>
  <si>
    <t>Window</t>
  </si>
  <si>
    <t>Time (Local)</t>
  </si>
  <si>
    <t>Suitable For</t>
  </si>
  <si>
    <t>Tue-Thu</t>
  </si>
  <si>
    <t>02:00 - 06:00</t>
  </si>
  <si>
    <t>Medium/Low risk releases</t>
  </si>
  <si>
    <t>Extended</t>
  </si>
  <si>
    <t>Saturday</t>
  </si>
  <si>
    <t>00:00 - 08:00</t>
  </si>
  <si>
    <t>8 hours</t>
  </si>
  <si>
    <t>Large releases, migrations</t>
  </si>
  <si>
    <t>Emergency</t>
  </si>
  <si>
    <t>Any</t>
  </si>
  <si>
    <t>As needed</t>
  </si>
  <si>
    <t>Minimal</t>
  </si>
  <si>
    <t>P1 hotfixes only</t>
  </si>
  <si>
    <t>Maintenance</t>
  </si>
  <si>
    <t>Sunday</t>
  </si>
  <si>
    <t>Infra, patching</t>
  </si>
  <si>
    <t>Mon-Fri</t>
  </si>
  <si>
    <t>10:00 - 16:00</t>
  </si>
  <si>
    <t>Low risk, no downtime</t>
  </si>
  <si>
    <t>22:00 - 02:00</t>
  </si>
  <si>
    <t>Regional releases</t>
  </si>
  <si>
    <t>Quarterly Major</t>
  </si>
  <si>
    <t>00:00 - 12:00</t>
  </si>
  <si>
    <t>12 hours</t>
  </si>
  <si>
    <t>Major upgrades</t>
  </si>
  <si>
    <t>24. SLA METRICS &amp; TARGETS</t>
  </si>
  <si>
    <t>Target</t>
  </si>
  <si>
    <t>Warning</t>
  </si>
  <si>
    <t>Measurement</t>
  </si>
  <si>
    <t>Release Success Rate</t>
  </si>
  <si>
    <t>&gt; 95%</t>
  </si>
  <si>
    <t>90-95%</t>
  </si>
  <si>
    <t>&lt; 90%</t>
  </si>
  <si>
    <t>Monthly</t>
  </si>
  <si>
    <t>Mean Time to Deploy</t>
  </si>
  <si>
    <t>&lt; 4 hours</t>
  </si>
  <si>
    <t>4-6 hours</t>
  </si>
  <si>
    <t>&gt; 6 hours</t>
  </si>
  <si>
    <t>Per release</t>
  </si>
  <si>
    <t>Rollback Rate</t>
  </si>
  <si>
    <t>5-10%</t>
  </si>
  <si>
    <t>&gt; 10%</t>
  </si>
  <si>
    <t>CAB Approval Time</t>
  </si>
  <si>
    <t>&lt; 48 hours</t>
  </si>
  <si>
    <t>48-72 hours</t>
  </si>
  <si>
    <t>&gt; 72 hours</t>
  </si>
  <si>
    <t>Environment Availability</t>
  </si>
  <si>
    <t>&gt; 99%</t>
  </si>
  <si>
    <t>95-99%</t>
  </si>
  <si>
    <t>&lt; 95%</t>
  </si>
  <si>
    <t>Weekly</t>
  </si>
  <si>
    <t>Test Pass Rate</t>
  </si>
  <si>
    <t>&gt; 98%</t>
  </si>
  <si>
    <t>95-98%</t>
  </si>
  <si>
    <t>Change Lead Time</t>
  </si>
  <si>
    <t>14-21 days</t>
  </si>
  <si>
    <t>&gt; 21 days</t>
  </si>
  <si>
    <t>Incident Rate Post-Deploy</t>
  </si>
  <si>
    <t>&lt; 2%</t>
  </si>
  <si>
    <t>2-5%</t>
  </si>
  <si>
    <t>&gt; 5%</t>
  </si>
  <si>
    <t>7 days post</t>
  </si>
  <si>
    <t>95-100%</t>
  </si>
  <si>
    <t>Stakeholder Satisfaction</t>
  </si>
  <si>
    <t>&gt; 4.0/5</t>
  </si>
  <si>
    <t>3.5-4.0</t>
  </si>
  <si>
    <t>&lt; 3.5</t>
  </si>
  <si>
    <t>Quarterly survey</t>
  </si>
  <si>
    <t>RELEASE DESK - REFERENCE DATA CATALOG</t>
  </si>
  <si>
    <t>Consolidated lookup tables, status codes, thresholds, and configuration data</t>
  </si>
  <si>
    <t>Version 1.0 | Generated: June 2026</t>
  </si>
  <si>
    <t>WORKBOOK STATISTICS</t>
  </si>
  <si>
    <t>Source</t>
  </si>
  <si>
    <t>Total Departments</t>
  </si>
  <si>
    <t>Applications sheet</t>
  </si>
  <si>
    <t>Total Applications</t>
  </si>
  <si>
    <t>Releases sheet</t>
  </si>
  <si>
    <t>Total Users</t>
  </si>
  <si>
    <t>100+</t>
  </si>
  <si>
    <t>Users, Release Managers, Super Admins</t>
  </si>
  <si>
    <t>44-46</t>
  </si>
  <si>
    <t>Risk Factors sheet</t>
  </si>
  <si>
    <t>Dept Code</t>
  </si>
  <si>
    <t>Dept Name</t>
  </si>
  <si>
    <t>FIN</t>
  </si>
  <si>
    <t>LOG</t>
  </si>
  <si>
    <t>MFG</t>
  </si>
  <si>
    <t>LEG</t>
  </si>
  <si>
    <t>Env Name</t>
  </si>
  <si>
    <t>Developer sandbox environment</t>
  </si>
  <si>
    <t>QA and integration testing</t>
  </si>
  <si>
    <t>Business validation environment</t>
  </si>
  <si>
    <t>Production mirror for final validation</t>
  </si>
  <si>
    <t>Live production environment</t>
  </si>
  <si>
    <t>Bug fixes, minor UI changes</t>
  </si>
  <si>
    <t>Feature enhancements, integrations</t>
  </si>
  <si>
    <t>Major releases, platform upgrades</t>
  </si>
  <si>
    <t>Critical business impact</t>
  </si>
  <si>
    <t>Core ERP, Payment Systems</t>
  </si>
  <si>
    <t>Reporting, Secondary CRM</t>
  </si>
  <si>
    <t>CANCELLED</t>
  </si>
  <si>
    <t>Cancelled</t>
  </si>
  <si>
    <t>Release cancelled before deployment</t>
  </si>
  <si>
    <t>═══════════════════════════════════════════════════════════════════════════════════════════════════════════════════</t>
  </si>
  <si>
    <t>RELEASEDESK - SAMPLE DATA SPECIFICATION FOR PROTOTYPE BUILDER</t>
  </si>
  <si>
    <t>DOCUMENT PURPOSE</t>
  </si>
  <si>
    <t>This workbook provides structured sample/seed data for a Release Management System prototype.</t>
  </si>
  <si>
    <t>It is designed to be parsed and interpreted by an AI/Machine that generates wireframes and UI prototypes.</t>
  </si>
  <si>
    <t>Each sheet represents a distinct data entity with defined schemas, relationships, and business rules.</t>
  </si>
  <si>
    <t>HOW TO USE THIS DOCUMENT</t>
  </si>
  <si>
    <t>1. Start with this README to understand the data model and relationships</t>
  </si>
  <si>
    <t>2. Reference the 'Reference Data' sheet for all lookup values, status codes, and enumeration tables</t>
  </si>
  <si>
    <t>3. Each data sheet has a defined schema (column headers in Row 1 or as specified)</t>
  </si>
  <si>
    <t>4. Foreign keys (FK) link entities - always validate relationships exist</t>
  </si>
  <si>
    <t>5. Business rules and validation logic are documented per entity below</t>
  </si>
  <si>
    <t>SECTION 1: WORKBOOK OVERVIEW &amp; STATISTICS</t>
  </si>
  <si>
    <t>ENTITY COUNTS (for prototype sizing)</t>
  </si>
  <si>
    <t>Entity</t>
  </si>
  <si>
    <t>Primary Key</t>
  </si>
  <si>
    <t>Source Sheet</t>
  </si>
  <si>
    <t>DEPT-##</t>
  </si>
  <si>
    <t>Reference Data (Row 40)</t>
  </si>
  <si>
    <t>Composite (Dept+App)</t>
  </si>
  <si>
    <t>Environment Instances</t>
  </si>
  <si>
    <t>Composite (App+Env)</t>
  </si>
  <si>
    <t>Applications (84 apps × 6 envs)</t>
  </si>
  <si>
    <t>USR-###</t>
  </si>
  <si>
    <t>Release Managers</t>
  </si>
  <si>
    <t>RM-###</t>
  </si>
  <si>
    <t>SA-###</t>
  </si>
  <si>
    <t>REL-####</t>
  </si>
  <si>
    <t>Environment Bookings</t>
  </si>
  <si>
    <t>80+</t>
  </si>
  <si>
    <t>ENV-####</t>
  </si>
  <si>
    <t>Calendar Events</t>
  </si>
  <si>
    <t>Row-based</t>
  </si>
  <si>
    <t>Risk Records</t>
  </si>
  <si>
    <t>RSK-###</t>
  </si>
  <si>
    <t>DFT-###</t>
  </si>
  <si>
    <t>DEP-###</t>
  </si>
  <si>
    <t>APR-###</t>
  </si>
  <si>
    <t>Leave Records</t>
  </si>
  <si>
    <t>LV-###</t>
  </si>
  <si>
    <t>Version Records</t>
  </si>
  <si>
    <t>APP-###</t>
  </si>
  <si>
    <t>Category+Factor</t>
  </si>
  <si>
    <t>TIME SPAN</t>
  </si>
  <si>
    <t>Release Calendar Period: July 2026 - June 2027 (12 months)</t>
  </si>
  <si>
    <t>Simulated 'Today' Date: June 25, 2026</t>
  </si>
  <si>
    <t>KEY METRICS FOR PROTOTYPE</t>
  </si>
  <si>
    <t>Conflict Rate: ~32% (26 releases have resource conflicts)</t>
  </si>
  <si>
    <t>Environments per Application: 6 (Dev, Test, UAT, Pre-prod, Prod, DR)</t>
  </si>
  <si>
    <t>Average Releases per Month: 6-7</t>
  </si>
  <si>
    <t>Risk Score Range: 1-25 (Likelihood × Impact)</t>
  </si>
  <si>
    <t>SECTION 2: SHEET INVENTORY &amp; NAVIGATION</t>
  </si>
  <si>
    <t>SHEET INDEX (in logical order)</t>
  </si>
  <si>
    <t>Range</t>
  </si>
  <si>
    <t>Rows</t>
  </si>
  <si>
    <t>UI Screen Suggestion</t>
  </si>
  <si>
    <t>README</t>
  </si>
  <si>
    <t>Reference Data</t>
  </si>
  <si>
    <t>All lookup tables &amp; enums</t>
  </si>
  <si>
    <t>Admin Settings, Dropdowns</t>
  </si>
  <si>
    <t>A1:F505</t>
  </si>
  <si>
    <t>Master app inventory (84 apps × 6 envs)</t>
  </si>
  <si>
    <t>A1:I101</t>
  </si>
  <si>
    <t>100 users across roles</t>
  </si>
  <si>
    <t>User Management, Directory</t>
  </si>
  <si>
    <t>A1:I13</t>
  </si>
  <si>
    <t>12 release managers</t>
  </si>
  <si>
    <t>A1:K15</t>
  </si>
  <si>
    <t>12 elevated-privilege admins</t>
  </si>
  <si>
    <t>System Admin Panel</t>
  </si>
  <si>
    <t>80 releases (core transactional data)</t>
  </si>
  <si>
    <t>Calendar View, Gantt Chart</t>
  </si>
  <si>
    <t>Environment scheduling with conflicts</t>
  </si>
  <si>
    <t>Resource Planner, Booking Grid</t>
  </si>
  <si>
    <t>Risk Register, Heat Map</t>
  </si>
  <si>
    <t>Integration architecture diagram</t>
  </si>
  <si>
    <t>PRIMARY ENTITIES &amp; FOREIGN KEY RELATIONSHIPS</t>
  </si>
  <si>
    <t>┌─────────────────────┐          ┌─────────────────────┐          ┌─────────────────────┐</t>
  </si>
  <si>
    <t>│     DEPARTMENTS     │◄─────────│    APPLICATIONS     │◄─────────│      RELEASES       │</t>
  </si>
  <si>
    <t>│  PK: Dept Code      │          │  FK: Department     │          │  PK: Release ID     │</t>
  </si>
  <si>
    <t>└─────────────────────┘          │  Composite PK       │          │  FK: Application    │</t>
  </si>
  <si>
    <t xml:space="preserve">                                 └─────────────────────┘          │  FK: Department     │</t>
  </si>
  <si>
    <t xml:space="preserve">                                          │                       │  FK: Release Owner  │</t>
  </si>
  <si>
    <t xml:space="preserve">                                          │ 1:M                   └─────────────────────┘</t>
  </si>
  <si>
    <t xml:space="preserve">                                          ▼                                │</t>
  </si>
  <si>
    <t>│  PK: User ID        │</t>
  </si>
  <si>
    <t>│  FK: Department     │◄──────────────────────────────────────────┐</t>
  </si>
  <si>
    <t>└─────────────────────┘   FK: Release Owner ID                    │</t>
  </si>
  <si>
    <t xml:space="preserve">         │                                                        │</t>
  </si>
  <si>
    <t xml:space="preserve">         │ 1:M                                                    │</t>
  </si>
  <si>
    <t xml:space="preserve">         ▼                                                        │</t>
  </si>
  <si>
    <t>┌─────────────────────┐     ┌─────────────────────┐     ┌─────────────────────┐</t>
  </si>
  <si>
    <t>│   LEAVE CALENDAR    │     │       RISK          │     │    DEPENDENCIES     │</t>
  </si>
  <si>
    <t>FOREIGN KEY REFERENCE TABLE</t>
  </si>
  <si>
    <t>Target Sheet</t>
  </si>
  <si>
    <t>Each sheet's schema is documented below with column definitions, data types, and validation rules.</t>
  </si>
  <si>
    <t>───────────────────────────────────────────────────────────────────────────────────────────────────────────────────</t>
  </si>
  <si>
    <t>SHEET: Applications | Range: A1:F505 | Records: 504 (84 applications × 6 environments)</t>
  </si>
  <si>
    <t>Header Name</t>
  </si>
  <si>
    <t>Data Type</t>
  </si>
  <si>
    <t>Required</t>
  </si>
  <si>
    <t>Validation/Constraints</t>
  </si>
  <si>
    <t>A</t>
  </si>
  <si>
    <t>ENUM</t>
  </si>
  <si>
    <t>Valid: Finance, Logistics, CRM, Manufacturing, IT, HR, Legal, Security</t>
  </si>
  <si>
    <t>Business unit that owns the application</t>
  </si>
  <si>
    <t>B</t>
  </si>
  <si>
    <t>TEXT</t>
  </si>
  <si>
    <t>Max 100 chars; Must be unique within department</t>
  </si>
  <si>
    <t>Name of the software application</t>
  </si>
  <si>
    <t>C</t>
  </si>
  <si>
    <t>Valid: Dev, Test, UAT, Pre-prod, Prod, DR</t>
  </si>
  <si>
    <t>Environment type (6 per application)</t>
  </si>
  <si>
    <t>D</t>
  </si>
  <si>
    <t>E</t>
  </si>
  <si>
    <t>F</t>
  </si>
  <si>
    <t>Environment-specific owner</t>
  </si>
  <si>
    <t>Business Rules:</t>
  </si>
  <si>
    <t>• Department value only shown on first row of each application group</t>
  </si>
  <si>
    <t>G</t>
  </si>
  <si>
    <t>I</t>
  </si>
  <si>
    <t>DATE</t>
  </si>
  <si>
    <t>Unique release identifier</t>
  </si>
  <si>
    <t>Business impact level</t>
  </si>
  <si>
    <t>J</t>
  </si>
  <si>
    <t>K</t>
  </si>
  <si>
    <t>N</t>
  </si>
  <si>
    <t>O</t>
  </si>
  <si>
    <t>P</t>
  </si>
  <si>
    <t>Q</t>
  </si>
  <si>
    <t>R</t>
  </si>
  <si>
    <t>S</t>
  </si>
  <si>
    <t>T</t>
  </si>
  <si>
    <t>U</t>
  </si>
  <si>
    <t>V</t>
  </si>
  <si>
    <t>W</t>
  </si>
  <si>
    <t>X</t>
  </si>
  <si>
    <t>Y</t>
  </si>
  <si>
    <t>Deployment checklist completion</t>
  </si>
  <si>
    <t>Z</t>
  </si>
  <si>
    <t>AA</t>
  </si>
  <si>
    <t>Unique booking identifier</t>
  </si>
  <si>
    <t>Associated release</t>
  </si>
  <si>
    <t>INT</t>
  </si>
  <si>
    <t>Unique risk identifier</t>
  </si>
  <si>
    <t>Max 500 chars</t>
  </si>
  <si>
    <t>Detailed risk description</t>
  </si>
  <si>
    <t>Probability of occurrence</t>
  </si>
  <si>
    <t>Person responsible</t>
  </si>
  <si>
    <t>Open, Mitigating, Accepted, Closed</t>
  </si>
  <si>
    <t>Additional context</t>
  </si>
  <si>
    <t>CONFLICT DETECTION RULES</t>
  </si>
  <si>
    <t>─────────────────────────────────────────────────────────────────────────────────────────────────────────────────────</t>
  </si>
  <si>
    <t>• Two releases CONFLICT if they require the same SME or critical resource during overlapping periods</t>
  </si>
  <si>
    <t>• Cross-reference: Leave Calendar affects resource availability during release phases</t>
  </si>
  <si>
    <t>• Stakeholder IDs in Releases sheet indicate which users are involved</t>
  </si>
  <si>
    <t>Rule 3: Dependency Conflict</t>
  </si>
  <si>
    <t>• A release CANNOT proceed if its predecessor (Dependencies.Depends On Release) is blocked or delayed</t>
  </si>
  <si>
    <t>• Status must be 'Satisfied' before dependent release can enter Testing phase</t>
  </si>
  <si>
    <t>CHANGE FREEZE RULES</t>
  </si>
  <si>
    <t>Dates</t>
  </si>
  <si>
    <t>Rule</t>
  </si>
  <si>
    <t>NO production deployments; exceptions require VP approval</t>
  </si>
  <si>
    <t>LIMITED deployments; only critical/regulatory allowed</t>
  </si>
  <si>
    <t>• Releases with Regulatory='GDPR/SOX/SOC2' may request freeze exemption</t>
  </si>
  <si>
    <t>• All freeze exemptions require documented business justification and CAB approval</t>
  </si>
  <si>
    <t>CAB APPROVAL WORKFLOW</t>
  </si>
  <si>
    <t>Workflow Stages:</t>
  </si>
  <si>
    <t>Required Actions</t>
  </si>
  <si>
    <t>1. Draft</t>
  </si>
  <si>
    <t>Release created, initial planning</t>
  </si>
  <si>
    <t>Complete release scope and impact assessment</t>
  </si>
  <si>
    <t>2. Planning</t>
  </si>
  <si>
    <t>Detailed planning underway</t>
  </si>
  <si>
    <t>Assign resources, define test strategy</t>
  </si>
  <si>
    <t>3. Testing</t>
  </si>
  <si>
    <t>Test phase in progress</t>
  </si>
  <si>
    <t>Complete all test cases, document results</t>
  </si>
  <si>
    <t>4. CAB Submitted</t>
  </si>
  <si>
    <t>Submitted for CAB review</t>
  </si>
  <si>
    <t>Package sent 2-3 days before CAB date</t>
  </si>
  <si>
    <t>5. CAB Approved</t>
  </si>
  <si>
    <t>Approved by Change Advisory Board</t>
  </si>
  <si>
    <t>Proceed to deployment preparation</t>
  </si>
  <si>
    <t>6. Deploying</t>
  </si>
  <si>
    <t>Deployment in progress</t>
  </si>
  <si>
    <t>Execute deployment runbook</t>
  </si>
  <si>
    <t>7. Deployed</t>
  </si>
  <si>
    <t>Successfully deployed to production</t>
  </si>
  <si>
    <t>Verify deployment, monitor</t>
  </si>
  <si>
    <t>8. PIR Complete</t>
  </si>
  <si>
    <t>Post-Implementation Review done</t>
  </si>
  <si>
    <t>Lessons learned documented</t>
  </si>
  <si>
    <t>9. Closed</t>
  </si>
  <si>
    <t>Release officially closed</t>
  </si>
  <si>
    <t>All artifacts archived</t>
  </si>
  <si>
    <t>CAB Lead Time Requirements:</t>
  </si>
  <si>
    <t>• Large releases: 3 days before Prod date</t>
  </si>
  <si>
    <t>• Medium/Small releases: 2 days before Prod date</t>
  </si>
  <si>
    <t>RISK CALCULATION METHODOLOGY</t>
  </si>
  <si>
    <t>Simple Risk Score (Risk sheet):</t>
  </si>
  <si>
    <t>Risk Score = Likelihood (1-5) × Impact (1-5) = 1-25</t>
  </si>
  <si>
    <t>Weighted Risk Score (Risk Factors sheet):</t>
  </si>
  <si>
    <t>Weighted Score = Σ (Factor Score × Factor Weight) for all 44-46 factors</t>
  </si>
  <si>
    <t>Each factor scored 1-5, weights sum to 100%</t>
  </si>
  <si>
    <t>Final score range: 1.00 - 5.00</t>
  </si>
  <si>
    <t>Risk Action Thresholds:</t>
  </si>
  <si>
    <t>Simple Score</t>
  </si>
  <si>
    <t>Weighted Score</t>
  </si>
  <si>
    <t>Required Action</t>
  </si>
  <si>
    <t>1.00-2.00</t>
  </si>
  <si>
    <t>Monitor monthly</t>
  </si>
  <si>
    <t>2.01-3.00</t>
  </si>
  <si>
    <t>Active mitigation required</t>
  </si>
  <si>
    <t>3.01-4.00</t>
  </si>
  <si>
    <t>Escalate to senior management</t>
  </si>
  <si>
    <t>4.01-5.00</t>
  </si>
  <si>
    <t>Stop release, remediate immediately</t>
  </si>
  <si>
    <t>The following suggestions map Excel sheets to potential UI screens/wireframes:</t>
  </si>
  <si>
    <t>CORE OPERATIONAL SCREENS</t>
  </si>
  <si>
    <t>Screen Name</t>
  </si>
  <si>
    <t>Primary Data Source</t>
  </si>
  <si>
    <t>Key Features</t>
  </si>
  <si>
    <t>User Role</t>
  </si>
  <si>
    <t>Release Dashboard</t>
  </si>
  <si>
    <t>Pipeline view, status cards, KPIs, filters by dept/status/priority</t>
  </si>
  <si>
    <t>Release Manager, All Users</t>
  </si>
  <si>
    <t>Release Detail View</t>
  </si>
  <si>
    <t>Releases + Env booking + Risk + Dependencies</t>
  </si>
  <si>
    <t>Single release deep-dive, all related data, edit capability</t>
  </si>
  <si>
    <t>Environment Booking Grid</t>
  </si>
  <si>
    <t>Env booking sheet</t>
  </si>
  <si>
    <t>Gantt-style timeline, conflict highlighting, drag-drop reschedule</t>
  </si>
  <si>
    <t>Calendar View</t>
  </si>
  <si>
    <t>Calendar sheet</t>
  </si>
  <si>
    <t>Month/week view, release markers, freeze periods, CAB dates</t>
  </si>
  <si>
    <t>All Users</t>
  </si>
  <si>
    <t>Risk Register</t>
  </si>
  <si>
    <t>Risk sheet</t>
  </si>
  <si>
    <t>Sortable table, risk heat map, mitigation tracking</t>
  </si>
  <si>
    <t>Release Manager, Risk Owner</t>
  </si>
  <si>
    <t>Drift Dashboard</t>
  </si>
  <si>
    <t>Drift sheet</t>
  </si>
  <si>
    <t>Open issues list, severity indicators, remediation status</t>
  </si>
  <si>
    <t>Release Manager, Tech Lead</t>
  </si>
  <si>
    <t>APPROVAL &amp; WORKFLOW SCREENS</t>
  </si>
  <si>
    <t>CAB Meeting View</t>
  </si>
  <si>
    <t>Approvals + Releases</t>
  </si>
  <si>
    <t>Agenda items, vote tracking, decision history</t>
  </si>
  <si>
    <t>CAB Members, Release Manager</t>
  </si>
  <si>
    <t>Approval Queue</t>
  </si>
  <si>
    <t>Approvals sheet</t>
  </si>
  <si>
    <t>Pending approvals list, approve/reject actions</t>
  </si>
  <si>
    <t>Approvers</t>
  </si>
  <si>
    <t>Workflow Status</t>
  </si>
  <si>
    <t>Releases.Approval Status</t>
  </si>
  <si>
    <t>Visual workflow stages, progress tracking</t>
  </si>
  <si>
    <t>CONFIGURATION &amp; ADMIN SCREENS</t>
  </si>
  <si>
    <t>Application Catalog</t>
  </si>
  <si>
    <t>Searchable app list, env owners, filtering</t>
  </si>
  <si>
    <t>User Management</t>
  </si>
  <si>
    <t>Users sheet</t>
  </si>
  <si>
    <t>User list, role assignment, status management</t>
  </si>
  <si>
    <t>Release Manager Portal</t>
  </si>
  <si>
    <t>Admin (Release Managers) sheet</t>
  </si>
  <si>
    <t>RM directory, specializations, workload view</t>
  </si>
  <si>
    <t>Admin, Release Manager</t>
  </si>
  <si>
    <t>Super Admin Console</t>
  </si>
  <si>
    <t>Super Admins sheet</t>
  </si>
  <si>
    <t>Elevated access management, audit trail</t>
  </si>
  <si>
    <t>Risk Factor Configuration</t>
  </si>
  <si>
    <t>Edit weights, factor definitions, scoring rules</t>
  </si>
  <si>
    <t>Admin, Risk Manager</t>
  </si>
  <si>
    <t>Reference Data Admin</t>
  </si>
  <si>
    <t>Reference Data sheet</t>
  </si>
  <si>
    <t>Manage dropdowns, status codes, lookup values</t>
  </si>
  <si>
    <t>ANALYTICS &amp; REPORTING SCREENS</t>
  </si>
  <si>
    <t>Version Dashboard</t>
  </si>
  <si>
    <t>Versions sheet</t>
  </si>
  <si>
    <t>Version comparison across envs, deployment history</t>
  </si>
  <si>
    <t>Release Manager, Dev</t>
  </si>
  <si>
    <t>System Integration Map</t>
  </si>
  <si>
    <t>System Mapping sheet</t>
  </si>
  <si>
    <t>Visual integration diagram, dependency exploration</t>
  </si>
  <si>
    <t>Architect, All Users</t>
  </si>
  <si>
    <t>Leave Impact Report</t>
  </si>
  <si>
    <t>Leave Calendar + Releases</t>
  </si>
  <si>
    <t>Resource availability, release risk assessment</t>
  </si>
  <si>
    <t>Dependency Graph</t>
  </si>
  <si>
    <t>Dependencies sheet</t>
  </si>
  <si>
    <t>Visual release dependency network, critical path</t>
  </si>
  <si>
    <t>Conflict Resolution Queue</t>
  </si>
  <si>
    <t>Env booking (Conflict=Y)</t>
  </si>
  <si>
    <t>Filtered list of conflicts, resolution actions</t>
  </si>
  <si>
    <t>MOBILE / QUICK-VIEW SCREENS</t>
  </si>
  <si>
    <t>My Releases</t>
  </si>
  <si>
    <t>Releases (filtered by owner)</t>
  </si>
  <si>
    <t>Personal release list, quick status update</t>
  </si>
  <si>
    <t>Release Owner</t>
  </si>
  <si>
    <t>Today's Events</t>
  </si>
  <si>
    <t>Calendar (filtered by date)</t>
  </si>
  <si>
    <t>Day view of releases, meetings, freezes</t>
  </si>
  <si>
    <t>My Approvals</t>
  </si>
  <si>
    <t>Approvals (filtered by approver)</t>
  </si>
  <si>
    <t>Pending approvals requiring my action</t>
  </si>
  <si>
    <t>Risk Alerts</t>
  </si>
  <si>
    <t>Risk (High/Critical)</t>
  </si>
  <si>
    <t>Push notifications for escalated risks</t>
  </si>
  <si>
    <t>The sample data includes realistic scenarios for testing the prototype. Each scenario represents a challenge a</t>
  </si>
  <si>
    <t>Release Manager would face in a real enterprise environment.</t>
  </si>
  <si>
    <t>SCENARIO 1: ENVIRONMENT CONFLICTS (~32% of releases)</t>
  </si>
  <si>
    <t>Data Location: Env booking sheet where Conflict Flag = 'Y'</t>
  </si>
  <si>
    <t>Challenge: Multiple releases need the same Test/UAT environment at the same time</t>
  </si>
  <si>
    <t>Expected Action: Release Manager negotiates reschedule, expands capacity, or prioritizes by business impact</t>
  </si>
  <si>
    <t>Sample Releases: Look for REL-0002, REL-0005, REL-0008, etc. (26 total conflicts)</t>
  </si>
  <si>
    <t>SCENARIO 2: CHANGE FREEZE VIOLATIONS</t>
  </si>
  <si>
    <t>Data Location: Releases sheet where Change Freeze column is not blank</t>
  </si>
  <si>
    <t>Challenge: 7 releases are scheduled during freeze periods</t>
  </si>
  <si>
    <t>Freeze Periods: Year-End (Dec 15 - Jan 5), Q1 End (Mar 29-31), Q2 End (Jun 28-30)</t>
  </si>
  <si>
    <t>Expected Action: Reschedule release or obtain VP-level exemption approval</t>
  </si>
  <si>
    <t>SCENARIO 3: DEPENDENCY BLOCKING</t>
  </si>
  <si>
    <t>Data Location: Dependencies sheet where Status = 'Blocked' or 'At Risk'</t>
  </si>
  <si>
    <t>Challenge: Child release cannot proceed until parent is complete</t>
  </si>
  <si>
    <t>Expected Action: Expedite parent release, adjust child timeline, or decouple dependency</t>
  </si>
  <si>
    <t>Sample: Check DEP-003, DEP-007 for blocked dependencies</t>
  </si>
  <si>
    <t>SCENARIO 4: HIGH-RISK RELEASES</t>
  </si>
  <si>
    <t>Data Location: Risk sheet where Risk Score &gt;= 12 (High/Critical)</t>
  </si>
  <si>
    <t>Challenge: Releases with elevated risk requiring additional mitigation</t>
  </si>
  <si>
    <t>Expected Action: Implement mitigation strategies, escalate to leadership, consider delay</t>
  </si>
  <si>
    <t>Sample: Look for RSK-001, RSK-005 (Risk Score 20+)</t>
  </si>
  <si>
    <t>SCENARIO 5: RESOURCE UNAVAILABILITY</t>
  </si>
  <si>
    <t>Data Location: Leave Calendar where Risk Score = 'Critical' or 'High'</t>
  </si>
  <si>
    <t>Challenge: Key personnel on leave during critical release phases</t>
  </si>
  <si>
    <t>Expected Action: Identify backup resources, adjust release timing, cross-train team</t>
  </si>
  <si>
    <t>Sample: 5 Critical risk leaves, 10 High risk leaves affecting 40+ releases</t>
  </si>
  <si>
    <t>SCENARIO 6: ENVIRONMENT DRIFT</t>
  </si>
  <si>
    <t>Data Location: Drift sheet</t>
  </si>
  <si>
    <t>Challenge: Test/UAT environments don't match Production configuration</t>
  </si>
  <si>
    <t>Expected Action: Remediate drift before proceeding, accept risk with documentation</t>
  </si>
  <si>
    <t>Sample: 7 drift issues affecting REL-0004 and REL-0010 (Infrastructure, Config, Data, Integration, Security)</t>
  </si>
  <si>
    <t>SCENARIO 7: CAB APPROVAL BOTTLENECK</t>
  </si>
  <si>
    <t>Data Location: Approvals sheet where Decision = 'Pending'</t>
  </si>
  <si>
    <t>Challenge: Multiple releases awaiting CAB approval, limited meeting slots</t>
  </si>
  <si>
    <t>Expected Action: Batch similar releases, prepare comprehensive packages, schedule special CAB</t>
  </si>
  <si>
    <t>Sample: Check pending approvals with upcoming CAB dates</t>
  </si>
  <si>
    <t>SCENARIO 8: REGULATORY COMPLIANCE</t>
  </si>
  <si>
    <t>Data Location: Releases sheet where Regulatory is not blank (GDPR, SOX, SOC2)</t>
  </si>
  <si>
    <t>Challenge: 8 releases have compliance requirements with strict deadlines</t>
  </si>
  <si>
    <t>Expected Action: Prioritize regulatory releases, ensure audit trail, document compliance</t>
  </si>
  <si>
    <t>SCENARIO 9: LOW READINESS RELEASES</t>
  </si>
  <si>
    <t>Data Location: Releases sheet where Readiness % &lt; 75%</t>
  </si>
  <si>
    <t>Challenge: Releases approaching deadline with incomplete preparation</t>
  </si>
  <si>
    <t>Expected Action: Escalate blockers, reduce scope, defer to next release window</t>
  </si>
  <si>
    <t>SCENARIO 10: VENDOR MAINTENANCE WINDOWS</t>
  </si>
  <si>
    <t>Data Location: Releases sheet where Vendor Maintenance is not blank</t>
  </si>
  <si>
    <t>Challenge: 2 releases coincide with Oracle patch windows</t>
  </si>
  <si>
    <t>Expected Action: Coordinate timing with vendor, adjust deployment window</t>
  </si>
  <si>
    <t>Field</t>
  </si>
  <si>
    <t>Document Title</t>
  </si>
  <si>
    <t>ReleaseDesk Sample Data Specification</t>
  </si>
  <si>
    <t>Generated</t>
  </si>
  <si>
    <t>Machine-readable specification for prototype/wireframe generation</t>
  </si>
  <si>
    <t>Data Period</t>
  </si>
  <si>
    <t>July 2026 - June 2027</t>
  </si>
  <si>
    <t>Total Sheets</t>
  </si>
  <si>
    <t>Total Data Rows</t>
  </si>
  <si>
    <t>~2,500 (excluding headers and metadata)</t>
  </si>
  <si>
    <t>NOTES FOR PROTOTYPE BUILDER</t>
  </si>
  <si>
    <t>• All data is fictional and for demonstration purposes only</t>
  </si>
  <si>
    <t>• Company names, applications, and user names are examples representing typical enterprise scenarios</t>
  </si>
  <si>
    <t>• The ~32% conflict rate simulates real-world resource contention challenges</t>
  </si>
  <si>
    <t>• Risk scores and readiness percentages vary to create realistic testing scenarios</t>
  </si>
  <si>
    <t>• Date ranges span 12 months to show full annual release cycle patterns</t>
  </si>
  <si>
    <t>• The Reference Data sheet should be used to populate all dropdown menus</t>
  </si>
  <si>
    <t>• Foreign key relationships must be validated on data entry</t>
  </si>
  <si>
    <t>• Workflow states should be enforced (cannot skip stages)</t>
  </si>
  <si>
    <t>END OF SPECIFICATION</t>
  </si>
  <si>
    <t>NA</t>
  </si>
  <si>
    <t>Alert ID</t>
  </si>
  <si>
    <t>Timestamp</t>
  </si>
  <si>
    <t>Alert Type</t>
  </si>
  <si>
    <t>Threshold</t>
  </si>
  <si>
    <t>Current Value</t>
  </si>
  <si>
    <t>Assigned To</t>
  </si>
  <si>
    <t>ALT-001</t>
  </si>
  <si>
    <t>SAP S/4HANA Finance</t>
  </si>
  <si>
    <t>Memory Threshold Exceeded</t>
  </si>
  <si>
    <t>Memory Usage</t>
  </si>
  <si>
    <t>ALT-002</t>
  </si>
  <si>
    <t>CPU Utilization High</t>
  </si>
  <si>
    <t>CPU Usage</t>
  </si>
  <si>
    <t>ALT-003</t>
  </si>
  <si>
    <t>Latency Over SLA</t>
  </si>
  <si>
    <t>200ms</t>
  </si>
  <si>
    <t>450ms</t>
  </si>
  <si>
    <t>ALT-004</t>
  </si>
  <si>
    <t>Disk Space Low</t>
  </si>
  <si>
    <t>Disk Usage</t>
  </si>
  <si>
    <t>Acknowledged</t>
  </si>
  <si>
    <t>ALT-005</t>
  </si>
  <si>
    <t>Network Connectivity Issue</t>
  </si>
  <si>
    <t>Packet Loss</t>
  </si>
  <si>
    <t>ALT-006</t>
  </si>
  <si>
    <t>Security Scan Failed</t>
  </si>
  <si>
    <t>Scan Status</t>
  </si>
  <si>
    <t>Pass</t>
  </si>
  <si>
    <t>ALT-007</t>
  </si>
  <si>
    <t>Application Error Rate High</t>
  </si>
  <si>
    <t>Error Rate</t>
  </si>
  <si>
    <t>ALT-008</t>
  </si>
  <si>
    <t>Database Connection Pool Exhausted</t>
  </si>
  <si>
    <t>Pool Usage</t>
  </si>
  <si>
    <t>ALT-009</t>
  </si>
  <si>
    <t>API Response Time Degraded</t>
  </si>
  <si>
    <t>API Latency</t>
  </si>
  <si>
    <t>500ms</t>
  </si>
  <si>
    <t>780ms</t>
  </si>
  <si>
    <t>ALT-010</t>
  </si>
  <si>
    <t>SSL Certificate Expiring</t>
  </si>
  <si>
    <t>Days to Expiry</t>
  </si>
  <si>
    <t>ALT-011</t>
  </si>
  <si>
    <t>Backup Failed</t>
  </si>
  <si>
    <t>Backup Status</t>
  </si>
  <si>
    <t>Success</t>
  </si>
  <si>
    <t>ALT-012</t>
  </si>
  <si>
    <t>Replication Lag</t>
  </si>
  <si>
    <t>Lag Time</t>
  </si>
  <si>
    <t>5min</t>
  </si>
  <si>
    <t>12min</t>
  </si>
  <si>
    <t>ALT-013</t>
  </si>
  <si>
    <t>Message Queue Backlog</t>
  </si>
  <si>
    <t>Queue Depth</t>
  </si>
  <si>
    <t>ALT-014</t>
  </si>
  <si>
    <t>Cache Hit Rate Low</t>
  </si>
  <si>
    <t>Info</t>
  </si>
  <si>
    <t>Hit Rate</t>
  </si>
  <si>
    <t>ALT-015</t>
  </si>
  <si>
    <t>Load Balancer Health Check Failed</t>
  </si>
  <si>
    <t>Health Status</t>
  </si>
  <si>
    <t>Healthy</t>
  </si>
  <si>
    <t>Unhealthy</t>
  </si>
  <si>
    <t>ALT-016</t>
  </si>
  <si>
    <t>Authentication Failures Spike</t>
  </si>
  <si>
    <t>Failed Logins</t>
  </si>
  <si>
    <t>10/hr</t>
  </si>
  <si>
    <t>45/hr</t>
  </si>
  <si>
    <t>ALT-017</t>
  </si>
  <si>
    <t>ALT-018</t>
  </si>
  <si>
    <t>ALT-019</t>
  </si>
  <si>
    <t>280ms</t>
  </si>
  <si>
    <t>ALT-020</t>
  </si>
  <si>
    <t>ALT-021</t>
  </si>
  <si>
    <t>ALT-022</t>
  </si>
  <si>
    <t>ALT-023</t>
  </si>
  <si>
    <t>ALT-024</t>
  </si>
  <si>
    <t>120/hr</t>
  </si>
  <si>
    <t>ALT-025</t>
  </si>
  <si>
    <t>620ms</t>
  </si>
  <si>
    <t>ALT-026</t>
  </si>
  <si>
    <t>ALT-027</t>
  </si>
  <si>
    <t>Partial</t>
  </si>
  <si>
    <t>ALT-028</t>
  </si>
  <si>
    <t>ALT-029</t>
  </si>
  <si>
    <t>8min</t>
  </si>
  <si>
    <t>ALT-030</t>
  </si>
  <si>
    <t>Degraded</t>
  </si>
  <si>
    <t>ALT-031</t>
  </si>
  <si>
    <t>ALT-032</t>
  </si>
  <si>
    <t>ALT-033</t>
  </si>
  <si>
    <t>220ms</t>
  </si>
  <si>
    <t>ALT-034</t>
  </si>
  <si>
    <t>ALT-035</t>
  </si>
  <si>
    <t>ALT-036</t>
  </si>
  <si>
    <t>ALT-037</t>
  </si>
  <si>
    <t>ALT-038</t>
  </si>
  <si>
    <t>ALT-039</t>
  </si>
  <si>
    <t>ALT-040</t>
  </si>
  <si>
    <t>Incident ID</t>
  </si>
  <si>
    <t>Related Release</t>
  </si>
  <si>
    <t>INC-001</t>
  </si>
  <si>
    <t>Complete system outage - users cannot access</t>
  </si>
  <si>
    <t>Down</t>
  </si>
  <si>
    <t>INC-002</t>
  </si>
  <si>
    <t>Order processing frozen - critical warehouse operations halted</t>
  </si>
  <si>
    <t>Investigating</t>
  </si>
  <si>
    <t>INC-003</t>
  </si>
  <si>
    <t>Monitoring blackout - no metrics collection</t>
  </si>
  <si>
    <t>INC-004</t>
  </si>
  <si>
    <t>Severe performance degradation - 5+ second response times</t>
  </si>
  <si>
    <t>INC-005</t>
  </si>
  <si>
    <t>Agent deployment failures affecting 30% of endpoints</t>
  </si>
  <si>
    <t>INC-006</t>
  </si>
  <si>
    <t>SSO intermittent failures - some users affected</t>
  </si>
  <si>
    <t>INC-007</t>
  </si>
  <si>
    <t>Inventory sync delays - 15 min lag</t>
  </si>
  <si>
    <t>INC-008</t>
  </si>
  <si>
    <t>Search performance slow during peak hours</t>
  </si>
  <si>
    <t>INC-009</t>
  </si>
  <si>
    <t>Ticket attachment uploads failing intermittently</t>
  </si>
  <si>
    <t>INC-010</t>
  </si>
  <si>
    <t>Dashboard refresh delays</t>
  </si>
  <si>
    <t>INC-011</t>
  </si>
  <si>
    <t>Payment processing delays - batch jobs queued</t>
  </si>
  <si>
    <t>INC-012</t>
  </si>
  <si>
    <t>Report generation timeouts</t>
  </si>
  <si>
    <t>INC-013</t>
  </si>
  <si>
    <t>Production line integration failure</t>
  </si>
  <si>
    <t>INC-014</t>
  </si>
  <si>
    <t>Password rotation failures - manual override needed</t>
  </si>
  <si>
    <t>INC-015</t>
  </si>
  <si>
    <t>Email notifications delayed</t>
  </si>
  <si>
    <t>INC-016</t>
  </si>
  <si>
    <t>Payroll processing errors - validation failures</t>
  </si>
  <si>
    <t>INC-017</t>
  </si>
  <si>
    <t>Time-off requests not syncing</t>
  </si>
  <si>
    <t>INC-018</t>
  </si>
  <si>
    <t>Marketing email scheduling issues</t>
  </si>
  <si>
    <t>Last Check</t>
  </si>
  <si>
    <t>Uptime %</t>
  </si>
  <si>
    <t>Complete outage - INC-001 open</t>
  </si>
  <si>
    <t>Order processing frozen - INC-002</t>
  </si>
  <si>
    <t>Monitoring blackout - INC-003</t>
  </si>
  <si>
    <t>Production line failure - INC-013</t>
  </si>
  <si>
    <t>Performance issues - INC-004</t>
  </si>
  <si>
    <t>Agent deployment issues - INC-005</t>
  </si>
  <si>
    <t>SSO intermittent - INC-006</t>
  </si>
  <si>
    <t>Payment delays - INC-011</t>
  </si>
  <si>
    <t>Password rotation issues - INC-014</t>
  </si>
  <si>
    <t>Refresh in progress</t>
  </si>
  <si>
    <t>Database migration</t>
  </si>
  <si>
    <t>Performance testing impact</t>
  </si>
  <si>
    <t>Environment rebuild</t>
  </si>
  <si>
    <t>Data refresh</t>
  </si>
  <si>
    <t>Integration testing</t>
  </si>
  <si>
    <t>Configuration changes</t>
  </si>
  <si>
    <t>Plugin updates</t>
  </si>
  <si>
    <t>Maintenance ID</t>
  </si>
  <si>
    <t>Scheduled Date</t>
  </si>
  <si>
    <t>Start Time</t>
  </si>
  <si>
    <t>End Time</t>
  </si>
  <si>
    <t>Application(s)</t>
  </si>
  <si>
    <t>Environment(s)</t>
  </si>
  <si>
    <t>Requestor</t>
  </si>
  <si>
    <t>MNT-001</t>
  </si>
  <si>
    <t>Scheduled Outage</t>
  </si>
  <si>
    <t>Full Outage</t>
  </si>
  <si>
    <t>Quarterly maintenance window</t>
  </si>
  <si>
    <t>MNT-002</t>
  </si>
  <si>
    <t>DB Refresh</t>
  </si>
  <si>
    <t>UAT refresh from Prod</t>
  </si>
  <si>
    <t>MNT-003</t>
  </si>
  <si>
    <t>Patch Window</t>
  </si>
  <si>
    <t>Security patches</t>
  </si>
  <si>
    <t>MNT-004</t>
  </si>
  <si>
    <t>Salesforce scheduled maintenance</t>
  </si>
  <si>
    <t>MNT-005</t>
  </si>
  <si>
    <t>Monthly UAT refresh</t>
  </si>
  <si>
    <t>MNT-006</t>
  </si>
  <si>
    <t>All</t>
  </si>
  <si>
    <t>Read-Only</t>
  </si>
  <si>
    <t>Storage migration</t>
  </si>
  <si>
    <t>MNT-007</t>
  </si>
  <si>
    <t>Test environment rebuild</t>
  </si>
  <si>
    <t>MNT-008</t>
  </si>
  <si>
    <t>Workday scheduled maintenance</t>
  </si>
  <si>
    <t>MNT-009</t>
  </si>
  <si>
    <t>Weekly test refresh</t>
  </si>
  <si>
    <t>MNT-010</t>
  </si>
  <si>
    <t>Agent upgrade deployment</t>
  </si>
  <si>
    <t>MNT-011</t>
  </si>
  <si>
    <t>Index optimization</t>
  </si>
  <si>
    <t>MNT-012</t>
  </si>
  <si>
    <t>Okta scheduled maintenance</t>
  </si>
  <si>
    <t>MNT-013</t>
  </si>
  <si>
    <t>Bi-weekly UAT refresh</t>
  </si>
  <si>
    <t>MNT-014</t>
  </si>
  <si>
    <t>Major version upgrade</t>
  </si>
  <si>
    <t>MNT-015</t>
  </si>
  <si>
    <t>HubSpot maintenance window</t>
  </si>
  <si>
    <t>MNT-016</t>
  </si>
  <si>
    <t>Database optimization</t>
  </si>
  <si>
    <t>MNT-017</t>
  </si>
  <si>
    <t>MNT-018</t>
  </si>
  <si>
    <t>MNT-019</t>
  </si>
  <si>
    <t>Completed successfully</t>
  </si>
  <si>
    <t>MNT-020</t>
  </si>
  <si>
    <t>RELEASE DESK DASHBOARD</t>
  </si>
  <si>
    <t>Time Period:</t>
  </si>
  <si>
    <t>📦 RELEASE PIPELINE</t>
  </si>
  <si>
    <t>Active Conflicts</t>
  </si>
  <si>
    <t>Critical Risk (Score 20+)</t>
  </si>
  <si>
    <t>High Risk (Score 15-19)</t>
  </si>
  <si>
    <t>Medium Risk (Score 10-14)</t>
  </si>
  <si>
    <t>Low Risk (Score &lt;10)</t>
  </si>
  <si>
    <t>📋 CAB &amp; APPROVALS</t>
  </si>
  <si>
    <t>CAB Meetings (Next 7 Days)</t>
  </si>
  <si>
    <t>Pending Approvals</t>
  </si>
  <si>
    <t>Env Conflicts</t>
  </si>
  <si>
    <t>Env Bookings Active</t>
  </si>
  <si>
    <t>🔗 DEPENDENCIES</t>
  </si>
  <si>
    <t>Blocked Dependencies</t>
  </si>
  <si>
    <t>Total Dependencies</t>
  </si>
  <si>
    <t>👥 RESOURCE AVAILABILITY</t>
  </si>
  <si>
    <t>Staff on Leave Today</t>
  </si>
  <si>
    <t>Staff on Leave (7 Days)</t>
  </si>
  <si>
    <t>🚨 MONITORING ALERTS</t>
  </si>
  <si>
    <t>Critical Alerts (Active)</t>
  </si>
  <si>
    <t>Warning Alerts (Active)</t>
  </si>
  <si>
    <t>Info Alerts (Active)</t>
  </si>
  <si>
    <t>Resolved (Last 24h)</t>
  </si>
  <si>
    <t>Total Active Alerts</t>
  </si>
  <si>
    <t>🔥 INCIDENTS</t>
  </si>
  <si>
    <t>P1 Incidents (Active)</t>
  </si>
  <si>
    <t>P2 Incidents (Active)</t>
  </si>
  <si>
    <t>P3 Incidents (Active)</t>
  </si>
  <si>
    <t>Total Active Incidents</t>
  </si>
  <si>
    <t>📊 APPLICATION AVAILABILITY</t>
  </si>
  <si>
    <t>Apps Down - Production</t>
  </si>
  <si>
    <t>Apps Degraded - Production</t>
  </si>
  <si>
    <t>Apps Healthy - Production</t>
  </si>
  <si>
    <t>Apps Down - Lower Env</t>
  </si>
  <si>
    <t>Apps Degraded - Lower Env</t>
  </si>
  <si>
    <t>Total App-Env Records</t>
  </si>
  <si>
    <t>🔧 PLANNED MAINTENANCE</t>
  </si>
  <si>
    <t>Scheduled Today</t>
  </si>
  <si>
    <t>❄️ CHANGE FREEZE</t>
  </si>
  <si>
    <t>Audit Freeze</t>
  </si>
  <si>
    <t>Holiday Freeze</t>
  </si>
  <si>
    <t>Total Frozen Releases</t>
  </si>
  <si>
    <t>📈 QUICK STATS</t>
  </si>
  <si>
    <t>Releases This Week</t>
  </si>
  <si>
    <t>Releases This Month</t>
  </si>
  <si>
    <t>With Rollback Plan Ready</t>
  </si>
  <si>
    <t>Rollback At Risk</t>
  </si>
  <si>
    <t>Avg Go-Live Checklist %</t>
  </si>
  <si>
    <t>🔍 FILTERS</t>
  </si>
  <si>
    <t>All Time</t>
  </si>
  <si>
    <t>Department:</t>
  </si>
  <si>
    <t>Application:</t>
  </si>
  <si>
    <t>This Month</t>
  </si>
  <si>
    <t>⚠️ RELEASE CONFLICTS &amp; RISKS</t>
  </si>
  <si>
    <t>🖥️ ENVIRONMENT BOOKINGS</t>
  </si>
  <si>
    <t>Last Refresh:</t>
  </si>
  <si>
    <t>🚦 OVERALL HEALTH STATUS</t>
  </si>
  <si>
    <t>Release Pipeline</t>
  </si>
  <si>
    <t>Environment Health</t>
  </si>
  <si>
    <t>Incident Status</t>
  </si>
  <si>
    <t>Alert Status</t>
  </si>
  <si>
    <t>📊 SUMMARY TOTALS</t>
  </si>
  <si>
    <t>Active Incidents</t>
  </si>
  <si>
    <t>Active Alerts</t>
  </si>
  <si>
    <t>Apps Down</t>
  </si>
  <si>
    <t>📈 RELEASE TREND (Next 4 Weeks)</t>
  </si>
  <si>
    <t>Week 1</t>
  </si>
  <si>
    <t>Week 2</t>
  </si>
  <si>
    <t>Week 3</t>
  </si>
  <si>
    <t>Week 4</t>
  </si>
  <si>
    <t>Trend</t>
  </si>
  <si>
    <t>Incidents</t>
  </si>
  <si>
    <t>Total</t>
  </si>
  <si>
    <t>Status:</t>
  </si>
  <si>
    <t>Conflict:</t>
  </si>
  <si>
    <t>Filter Match</t>
  </si>
  <si>
    <t>Showing:</t>
  </si>
  <si>
    <t>💡 Change filter values above to filter releases. Matching rows are highlighted in green; non-matching rows are greyed out.</t>
  </si>
  <si>
    <t>Event Type:</t>
  </si>
  <si>
    <t>💡 Select filters above to highlight matching bookings</t>
  </si>
  <si>
    <t>Category:</t>
  </si>
  <si>
    <t>💡 Filter risks by level, status, category</t>
  </si>
  <si>
    <t>Environment:</t>
  </si>
  <si>
    <t>Drift Type:</t>
  </si>
  <si>
    <t>Severity:</t>
  </si>
  <si>
    <t>💡 Filter drift issues by app, env, type</t>
  </si>
  <si>
    <t>Dependency Type:</t>
  </si>
  <si>
    <t>Impact:</t>
  </si>
  <si>
    <t>💡 Filter dependencies by type, status, impact</t>
  </si>
  <si>
    <t>Role/Dept:</t>
  </si>
  <si>
    <t>Leave Type:</t>
  </si>
  <si>
    <t>Risk Impact:</t>
  </si>
  <si>
    <t>💡 Filter leave by time, role, type, or risk impact</t>
  </si>
  <si>
    <t>🎯 PURPOSE OF THIS SHEET</t>
  </si>
  <si>
    <t>🚦 HOW TO USE THIS DATA FOR RELEASE DECISIONS</t>
  </si>
  <si>
    <t>📋 ENVIRONMENT &amp; APPLICATION DRIFT - COMPREHENSIVE GUIDE</t>
  </si>
  <si>
    <t>🎯 WHAT IS ENVIRONMENT/APPLICATION DRIFT?</t>
  </si>
  <si>
    <t>Drift occurs when environments (Dev, Test, UAT, Pre-prod) become inconsistent with Production.</t>
  </si>
  <si>
    <t>This inconsistency means testing may not accurately reflect how the release will behave in Production.</t>
  </si>
  <si>
    <t>Common causes: Configuration changes, database version differences, missing patches, stale test data.</t>
  </si>
  <si>
    <t>WHY DRIFT MATTERS:</t>
  </si>
  <si>
    <t>• Testing in a drifted environment gives FALSE CONFIDENCE — tests pass but production fails</t>
  </si>
  <si>
    <t>• Deployment scripts may work in Test but fail in Prod due to infrastructure differences</t>
  </si>
  <si>
    <t>• Performance testing is unreliable if Pre-prod has different resources than Prod</t>
  </si>
  <si>
    <t>• Security vulnerabilities may exist in Prod but not in Test environments</t>
  </si>
  <si>
    <t>📊 DRIFT CATEGORIES EXPLAINED</t>
  </si>
  <si>
    <t>What It Means</t>
  </si>
  <si>
    <t>Risk If Ignored</t>
  </si>
  <si>
    <t>Hardware, OS, memory, CPU differences</t>
  </si>
  <si>
    <t>Performance failures, capacity issues</t>
  </si>
  <si>
    <t>App settings, feature flags, timeouts</t>
  </si>
  <si>
    <t>Unexpected behavior, silent failures</t>
  </si>
  <si>
    <t>Different DB engine versions</t>
  </si>
  <si>
    <t>Query failures, incompatibility</t>
  </si>
  <si>
    <t>Stale/incomplete test data</t>
  </si>
  <si>
    <t>Edge cases untested</t>
  </si>
  <si>
    <t>API endpoints, third-party versions</t>
  </si>
  <si>
    <t>Integration failures at go-live</t>
  </si>
  <si>
    <t>Missing patches, certificate diffs</t>
  </si>
  <si>
    <t>Vulnerability exposure</t>
  </si>
  <si>
    <t>BEFORE TESTING BEGINS:</t>
  </si>
  <si>
    <t>• Filter by your Release ID to see all known drift issues affecting your environments</t>
  </si>
  <si>
    <t>• CRITICAL/HIGH severity drift MUST be resolved before meaningful testing can proceed</t>
  </si>
  <si>
    <t>• If drift cannot be fixed, document accepted risk and adjust test strategy</t>
  </si>
  <si>
    <t>PRE-CAB CHECKLIST:</t>
  </si>
  <si>
    <t>• All CRITICAL drift issues: Status = 'Resolved' or 'Accepted Risk'</t>
  </si>
  <si>
    <t>• HIGH drift issues: Remediation in progress with ETA before go-live</t>
  </si>
  <si>
    <t>• Document any outstanding drift in CAB presentation materials</t>
  </si>
  <si>
    <t>GO/NO-GO IMPACT:</t>
  </si>
  <si>
    <t>• CRITICAL drift in UAT/Pre-prod: BLOCKER — cannot sign off on testing validity</t>
  </si>
  <si>
    <t>• HIGH drift: Conditional proceed only if risk is documented and accepted</t>
  </si>
  <si>
    <t>• MEDIUM/LOW drift: Acceptable with monitoring plan for production</t>
  </si>
  <si>
    <t>✅ BEST PRACTICES:</t>
  </si>
  <si>
    <t>1. DETECT EARLY: Run environment comparison tools weekly, not just before releases</t>
  </si>
  <si>
    <t>2. FIX ROOT CAUSE: Don't just remediate — understand why drift occurred</t>
  </si>
  <si>
    <t>3. AUTOMATE: Use infrastructure-as-code to prevent configuration drift</t>
  </si>
  <si>
    <t>4. REFRESH REGULARLY: Schedule monthly data refreshes for non-prod environments</t>
  </si>
  <si>
    <t>5. DOCUMENT EXCEPTIONS: If drift is accepted, document justification and monitoring plan</t>
  </si>
  <si>
    <t>6. POST-RELEASE REVIEW: If production issues occur, check if drift was a contributing factor</t>
  </si>
  <si>
    <t>📋 RELEASE DEPENDENCIES - COMPREHENSIVE GUIDE</t>
  </si>
  <si>
    <t>🎯 UNDERSTANDING RELEASE DEPENDENCIES</t>
  </si>
  <si>
    <t>Dependencies exist when one release requires another release to be deployed first, or when releases share resources.</t>
  </si>
  <si>
    <t>Failing to manage dependencies correctly leads to deployment failures, broken integrations, and cascading delays.</t>
  </si>
  <si>
    <t>WHY DEPENDENCIES MATTER:</t>
  </si>
  <si>
    <t>• A release deployed without its prerequisite may fail immediately or cause data corruption</t>
  </si>
  <si>
    <t>• Shared database schema changes can break multiple applications simultaneously</t>
  </si>
  <si>
    <t>• API contract changes require coordinated deployment across consumer and provider</t>
  </si>
  <si>
    <t>• Ignoring dependencies is the #1 cause of failed release weekends</t>
  </si>
  <si>
    <t>📊 DEPENDENCY TYPES EXPLAINED</t>
  </si>
  <si>
    <t>Definition</t>
  </si>
  <si>
    <t>Impact if Not Managed</t>
  </si>
  <si>
    <t>Must deploy prerequisite first</t>
  </si>
  <si>
    <t>Complete release failure</t>
  </si>
  <si>
    <t>Preferred order but not mandatory</t>
  </si>
  <si>
    <t>Reduced functionality</t>
  </si>
  <si>
    <t>Shared code/library dependency</t>
  </si>
  <si>
    <t>Runtime errors</t>
  </si>
  <si>
    <t>Database schema or data dependency</t>
  </si>
  <si>
    <t>Data integrity issues</t>
  </si>
  <si>
    <t>API/service contract dependency</t>
  </si>
  <si>
    <t>Integration failures</t>
  </si>
  <si>
    <t>🚦 DEPENDENCY STATUS VALUES</t>
  </si>
  <si>
    <t>• Clear: Prerequisite release is deployed and verified — safe to proceed</t>
  </si>
  <si>
    <t>• Blocked: Prerequisite not yet deployed — CANNOT proceed until resolved</t>
  </si>
  <si>
    <t>• At Risk: Prerequisite scheduled but may slip — monitor closely</t>
  </si>
  <si>
    <t>• Resolved: Previously blocked, now cleared — document what changed</t>
  </si>
  <si>
    <t>• N/A: Dependency removed or no longer applicable</t>
  </si>
  <si>
    <t>🎯 HOW TO USE THIS DATA FOR RELEASE DECISIONS</t>
  </si>
  <si>
    <t>RELEASE PLANNING PHASE:</t>
  </si>
  <si>
    <t>• Filter by your Release ID to see all dependencies (both upstream and downstream)</t>
  </si>
  <si>
    <t>• Identify HARD dependencies — these determine your earliest possible go-live date</t>
  </si>
  <si>
    <t>• Coordinate with owners of prerequisite releases to align schedules</t>
  </si>
  <si>
    <t>• All HARD dependencies: Status = 'Clear' or 'Resolved'</t>
  </si>
  <si>
    <t>• Any BLOCKED dependencies: Escalate immediately — CAB approval is meaningless if blocked</t>
  </si>
  <si>
    <t>• AT RISK dependencies: Have contingency plan if prerequisite slips</t>
  </si>
  <si>
    <t>DEPLOYMENT SEQUENCING:</t>
  </si>
  <si>
    <t>• Build deployment runbook showing correct sequence based on dependencies</t>
  </si>
  <si>
    <t>• If deploying multiple releases, verify no circular dependencies exist</t>
  </si>
  <si>
    <t>• Plan rollback sequence — if Release B depends on A, rolling back A requires rolling back B first</t>
  </si>
  <si>
    <t>1. DECLARE EARLY: Identify dependencies during planning, not during testing</t>
  </si>
  <si>
    <t>2. CROSS-REFERENCE: Check Drift sheet — environment drift often affects dependent releases together</t>
  </si>
  <si>
    <t>3. COMMUNICATE: Notify owners of dependent releases when your schedule changes</t>
  </si>
  <si>
    <t>4. BUFFER TIME: Don't schedule dependent releases back-to-back — allow verification time</t>
  </si>
  <si>
    <t>5. DOCUMENT CONTRACTS: For API/Integration dependencies, maintain versioned contract documentation</t>
  </si>
  <si>
    <t>6. POST-DEPLOYMENT: Verify dependent systems after your release before marking 'Clear'</t>
  </si>
  <si>
    <t>📋 CAB APPROVAL WORKFLOW - COMPREHENSIVE GUIDE</t>
  </si>
  <si>
    <t>🎯 UNDERSTANDING THE CAB APPROVAL PROCESS</t>
  </si>
  <si>
    <t>The Change Advisory Board (CAB) is the governance body that reviews and approves releases before deployment.</t>
  </si>
  <si>
    <t>This sheet tracks every approval decision required for each release through the approval workflow.</t>
  </si>
  <si>
    <t>WHY CAB APPROVAL MATTERS:</t>
  </si>
  <si>
    <t>• Ensures releases meet technical, security, and business readiness criteria</t>
  </si>
  <si>
    <t>• Provides documented audit trail for compliance and post-incident analysis</t>
  </si>
  <si>
    <t>• Coordinates cross-functional review to catch issues before production</t>
  </si>
  <si>
    <t>• Protects the organization from unauthorized or premature deployments</t>
  </si>
  <si>
    <t>📊 APPROVAL TYPES IN THE WORKFLOW</t>
  </si>
  <si>
    <t>Approver</t>
  </si>
  <si>
    <t>What They Verify</t>
  </si>
  <si>
    <t>Code quality, architecture, test coverage</t>
  </si>
  <si>
    <t>Vulnerabilities, compliance, data handling</t>
  </si>
  <si>
    <t>Business impact, timing, readiness</t>
  </si>
  <si>
    <t>All prerequisites met, plan approved</t>
  </si>
  <si>
    <t>🚦 APPROVAL DECISION VALUES</t>
  </si>
  <si>
    <t>• Approved: Release cleared for this review stage — proceed to next approval</t>
  </si>
  <si>
    <t>• Approved with Conditions: Cleared but with documented requirements before go-live</t>
  </si>
  <si>
    <t>• Pending: Review in progress — awaiting approver decision</t>
  </si>
  <si>
    <t>• Rejected: Failed this review — must address issues and resubmit</t>
  </si>
  <si>
    <t>• Deferred: Decision postponed — typically due to missing information</t>
  </si>
  <si>
    <t>TRACKING YOUR RELEASE:</t>
  </si>
  <si>
    <t>• Filter by Release ID to see all approval stages and their current status</t>
  </si>
  <si>
    <t>• A release requires ALL approval types to be 'Approved' before deployment</t>
  </si>
  <si>
    <t>• 'Approved with Conditions' requires documented verification of conditions before go-live</t>
  </si>
  <si>
    <t>PREPARING FOR CAB:</t>
  </si>
  <si>
    <t>• Ensure Tech Review and Security Review are complete BEFORE CAB meeting</t>
  </si>
  <si>
    <t>• Address any 'Rejected' items and resubmit for re-review</t>
  </si>
  <si>
    <t>• Prepare responses to any conditions from 'Approved with Conditions' decisions</t>
  </si>
  <si>
    <t>ESCALATION TRIGGERS:</t>
  </si>
  <si>
    <t>• Any 'Rejected' decision: Immediate action required — cannot proceed</t>
  </si>
  <si>
    <t>• Security Review 'Pending' 48+ hours before go-live: Escalate to CISO</t>
  </si>
  <si>
    <t>• Multiple 'Pending' approvals: Risk of last-minute delays — follow up proactively</t>
  </si>
  <si>
    <t>1. SUBMIT EARLY: Request reviews 2+ weeks before target CAB date</t>
  </si>
  <si>
    <t>2. COMPLETE DOCUMENTATION: Reviewers reject incomplete submissions — save time by being thorough</t>
  </si>
  <si>
    <t>3. TRACK CONDITIONS: Maintain checklist of conditions and verify each before go-live</t>
  </si>
  <si>
    <t>4. AUDIT TRAIL: Comments field provides historical context — document thoroughly</t>
  </si>
  <si>
    <t>5. NO SHORTCUTS: Never deploy without CAB Final approval — even for 'emergency' releases</t>
  </si>
  <si>
    <t>6. POST-INCIDENT: If issues occur, approval records help identify process gaps</t>
  </si>
  <si>
    <t>📋 LEAVE CALENDAR - COMPREHENSIVE GUIDE FOR RELEASE PLANNING</t>
  </si>
  <si>
    <t>🎯 WHY LEAVE PLANNING MATTERS FOR RELEASES</t>
  </si>
  <si>
    <t>This sheet tracks planned absences of key personnel and their potential impact on release success.</t>
  </si>
  <si>
    <t>Resource availability is often overlooked but is a critical factor in release planning.</t>
  </si>
  <si>
    <t>WHY THIS MATTERS:</t>
  </si>
  <si>
    <t>• Key personnel absence during testing = delayed sign-offs and blocked releases</t>
  </si>
  <si>
    <t>• Release owner on leave during deployment = no one to make critical decisions</t>
  </si>
  <si>
    <t>• SME unavailable during go-live = extended issue resolution time</t>
  </si>
  <si>
    <t>• Support team gaps = poor post-release incident response</t>
  </si>
  <si>
    <t>📊 RISK IMPACT SCORING</t>
  </si>
  <si>
    <t>Reschedule release or find backup immediately</t>
  </si>
  <si>
    <t>Assign backup, document handover</t>
  </si>
  <si>
    <t>Ensure backup is briefed</t>
  </si>
  <si>
    <t>Standard coverage plan</t>
  </si>
  <si>
    <t>No special action needed</t>
  </si>
  <si>
    <t>DURING RELEASE PLANNING:</t>
  </si>
  <si>
    <t>• Filter by time period to see all planned absences during your release window</t>
  </si>
  <si>
    <t>• Check 'Affected Release' column to see which releases have resource conflicts</t>
  </si>
  <si>
    <t>• High/Critical risk scores (4-5) require mitigation BEFORE scheduling CAB</t>
  </si>
  <si>
    <t>• Identify all team members required for testing, deployment, and post-go-live support</t>
  </si>
  <si>
    <t>• Verify no Critical/High leave conflicts during testing phase</t>
  </si>
  <si>
    <t>• Ensure release owner OR designated backup is available during deployment window</t>
  </si>
  <si>
    <t>• Confirm support team coverage for post-release monitoring period</t>
  </si>
  <si>
    <t>GO/NO-GO CONSIDERATIONS:</t>
  </si>
  <si>
    <t>• Critical (5): Consider rescheduling — proceeding without key person is high risk</t>
  </si>
  <si>
    <t>• High (4): Conditional proceed only with documented backup and handover complete</t>
  </si>
  <si>
    <t>• Medium/Low (2-3): Proceed with standard contingency planning</t>
  </si>
  <si>
    <t>1. CHECK EARLY: Review leave calendar during initial release planning, not the week before</t>
  </si>
  <si>
    <t>2. CROSS-REFERENCE: Add leave conflicts to Risk sheet as resource risks</t>
  </si>
  <si>
    <t>3. BACKUP PLANNING: Every critical role needs an identified, briefed backup</t>
  </si>
  <si>
    <t>4. HANDOVER DOCS: Ensure knowledge transfer documentation exists before absence</t>
  </si>
  <si>
    <t>5. COMMUNICATION: Notify team of coverage arrangements before key person departs</t>
  </si>
  <si>
    <t>6. HOLIDAY AWARENESS: Be especially cautious around major holidays and fiscal year-end</t>
  </si>
  <si>
    <t>📋 APPLICATION VERSIONS - COMPREHENSIVE GUIDE</t>
  </si>
  <si>
    <t>🎯 PURPOSE OF VERSION TRACKING</t>
  </si>
  <si>
    <t>This sheet maintains a complete inventory of application versions across all environments.</t>
  </si>
  <si>
    <t>Version tracking is essential for understanding what's deployed where and planning promotions.</t>
  </si>
  <si>
    <t>WHY VERSION TRACKING MATTERS:</t>
  </si>
  <si>
    <t>• Enables quick identification of version discrepancies between environments</t>
  </si>
  <si>
    <t>• Supports rollback planning — know exactly what version to revert to</t>
  </si>
  <si>
    <t>• Provides audit trail of what was deployed, when, and by whom</t>
  </si>
  <si>
    <t>• Identifies environment drift when versions don't follow expected promotion path</t>
  </si>
  <si>
    <t>📊 EXPECTED ENVIRONMENT PROMOTION FLOW</t>
  </si>
  <si>
    <t>Standard promotion path: Dev → Test → UAT → Pre-prod → Prod → DR</t>
  </si>
  <si>
    <t>• Dev: Latest features, may be unstable (highest version number)</t>
  </si>
  <si>
    <t>• Test: QA validation in progress (version behind Dev)</t>
  </si>
  <si>
    <t>• UAT: Business user acceptance testing (version behind Test)</t>
  </si>
  <si>
    <t>• Pre-prod: Final validation, mirrors Prod config (version = next Prod release)</t>
  </si>
  <si>
    <t>• Prod: Current production version (stable, verified)</t>
  </si>
  <si>
    <t>• DR: Disaster Recovery — should ALWAYS mirror Prod exactly</t>
  </si>
  <si>
    <t>PRE-RELEASE PLANNING:</t>
  </si>
  <si>
    <t>• Find your application and check current versions across all environments</t>
  </si>
  <si>
    <t>• Verify Test/UAT have the version you're planning to release to Prod</t>
  </si>
  <si>
    <t>• If Pre-prod version doesn't match planned release version, promotion is needed first</t>
  </si>
  <si>
    <t>IDENTIFYING PROBLEMS:</t>
  </si>
  <si>
    <t>• Version in UAT &gt; version in Pre-prod: Promotion step was skipped — testing not valid</t>
  </si>
  <si>
    <t>• Version in DR ≠ version in Prod: DR environment is out of sync — major risk</t>
  </si>
  <si>
    <t>• Same version across Dev/Test/UAT/Pre-prod: May indicate stalled deployments</t>
  </si>
  <si>
    <t>ROLLBACK PREPARATION:</t>
  </si>
  <si>
    <t>• Before any deployment, document current Prod version as rollback target</t>
  </si>
  <si>
    <t>• Verify rollback version still exists in deployment pipeline</t>
  </si>
  <si>
    <t>• Confirm rollback procedure has been tested in Pre-prod</t>
  </si>
  <si>
    <t>1. UPDATE IMMEDIATELY: Record version changes within hours of deployment</t>
  </si>
  <si>
    <t>2. INCLUDE BUILD NUMBERS: Version alone may be ambiguous</t>
  </si>
  <si>
    <t>3. VERIFY DR SYNC: After every Prod deploy, confirm DR mirrors within 24hrs</t>
  </si>
  <si>
    <t>4. TRACK DEPLOYER: Knowing who deployed aids troubleshooting</t>
  </si>
  <si>
    <t>5. CROSS-REFERENCE DRIFT: Version differences may indicate Drift issues</t>
  </si>
  <si>
    <t>6. ARCHIVE HISTORY: Keep historical records for compliance and post-incident</t>
  </si>
  <si>
    <t>📋 SYSTEM MAPPING - COMPREHENSIVE GUIDE</t>
  </si>
  <si>
    <t>🎯 PURPOSE OF SYSTEM MAPPING</t>
  </si>
  <si>
    <t>This sheet visualizes the integration relationships between enterprise systems.</t>
  </si>
  <si>
    <t>Understanding system dependencies is critical for assessing release impact and planning testing.</t>
  </si>
  <si>
    <t>WHY SYSTEM MAPPING MATTERS:</t>
  </si>
  <si>
    <t>• Changes to one system can cascade to dependent systems unexpectedly</t>
  </si>
  <si>
    <t>• Integration testing must cover all connected systems, not just the changed application</t>
  </si>
  <si>
    <t>• Outage impact analysis requires knowing which systems will be affected</t>
  </si>
  <si>
    <t>• Data flow understanding prevents unintended data corruption across systems</t>
  </si>
  <si>
    <t>📊 UNDERSTANDING THE DATA COLUMNS</t>
  </si>
  <si>
    <t>COLUMN                  | MEANING</t>
  </si>
  <si>
    <t>─────────────────────────────────────────────────────────────────</t>
  </si>
  <si>
    <t>Source System           | The system initiating data or service calls</t>
  </si>
  <si>
    <t>Target System           | The system receiving data or service calls</t>
  </si>
  <si>
    <t>Integration Type        | API, File Transfer, Message Queue, Direct DB, etc.</t>
  </si>
  <si>
    <t>Data Flow Direction     | One-way (→) or Bidirectional (↔)</t>
  </si>
  <si>
    <t>Sync Frequency          | Real-time, Batch Daily, Hourly, Event-driven</t>
  </si>
  <si>
    <t>Criticality             | High/Medium/Low — impact if integration fails</t>
  </si>
  <si>
    <t>SLA (ms)                | Maximum acceptable response time or latency</t>
  </si>
  <si>
    <t>Last Verified           | Date when integration was last tested or validated</t>
  </si>
  <si>
    <t>Owner Team              | Team responsible for maintaining the integration</t>
  </si>
  <si>
    <t>🚦 HOW TO USE FOR RELEASE DECISIONS</t>
  </si>
  <si>
    <t>BEFORE SCHEDULING A RELEASE:</t>
  </si>
  <si>
    <t>• Filter by Target System = your application — see all systems that DEPEND on you</t>
  </si>
  <si>
    <t>• Filter by Source System = your application — see all systems you DEPEND on</t>
  </si>
  <si>
    <t>• Identify all High criticality integrations that require testing</t>
  </si>
  <si>
    <t>• Real-time integrations need same-day deployment coordination</t>
  </si>
  <si>
    <t>• Batch integrations may only need testing during batch windows</t>
  </si>
  <si>
    <t>• Notify Owner Teams of all High/Medium criticality connected systems</t>
  </si>
  <si>
    <t>IMPACT ASSESSMENT:</t>
  </si>
  <si>
    <t>• If your release changes an API: check which systems call that API (filter Target)</t>
  </si>
  <si>
    <t>• If your release changes data format: check downstream file consumers</t>
  </si>
  <si>
    <t>• Document expected integration behavior changes in release notes</t>
  </si>
  <si>
    <t>✅ BEST PRACTICES</t>
  </si>
  <si>
    <t>1. KEEP MAPPINGS CURRENT: Update when integrations are built or retired</t>
  </si>
  <si>
    <t>2. VERIFY ANNUALLY: Last Verified &gt; 1 year old = stale data, revalidate</t>
  </si>
  <si>
    <t>3. TEST CRITICAL PATHS: Before major releases, test High criticality integrations</t>
  </si>
  <si>
    <t>4. COORDINATE DEPLOYMENTS: Real-time integrations need coordinated releases</t>
  </si>
  <si>
    <t>5. DOCUMENT SLA CHANGES: Latency increases affect downstream systems</t>
  </si>
  <si>
    <t>6. CROSS-REFERENCE: System Mapping + Dependencies sheet = full picture</t>
  </si>
  <si>
    <t>7. NOTIFY EARLY: Give connected teams 2+ weeks notice for interface changes</t>
  </si>
  <si>
    <t>⚠️ WARNING: Undocumented integrations are a major release risk.</t>
  </si>
  <si>
    <t>If you discover an unlisted integration, ADD IT IMMEDIATELY.</t>
  </si>
  <si>
    <t>📋 MONITORING ALERTS - COMPREHENSIVE GUIDE</t>
  </si>
  <si>
    <t>🎯 PURPOSE OF MONITORING ALERTS</t>
  </si>
  <si>
    <t>This sheet tracks infrastructure and application health alerts that may impact releases.</t>
  </si>
  <si>
    <t>Active alerts indicate system instability that should be resolved before deployment.</t>
  </si>
  <si>
    <t>WHY MONITORING MATTERS FOR RELEASES:</t>
  </si>
  <si>
    <t>• Deploying to an unstable system increases failure risk significantly</t>
  </si>
  <si>
    <t>• Pre-existing alerts mask new issues caused by your release</t>
  </si>
  <si>
    <t>• Critical alerts may indicate the system cannot handle additional load</t>
  </si>
  <si>
    <t>• Security alerts may require immediate patching, overriding scheduled releases</t>
  </si>
  <si>
    <t>📊 ALERT SEVERITY LEVELS</t>
  </si>
  <si>
    <t>SEVERITY     | MEANING                           | RELEASE IMPACT</t>
  </si>
  <si>
    <t>Critical     | Immediate outage or security risk | 🔴 STOP - Do NOT deploy</t>
  </si>
  <si>
    <t>Warning      | Performance degraded or threshold | 🟡 WAIT - Assess before deploy</t>
  </si>
  <si>
    <t>Info         | Informational, no action required | 🟢 OK - Monitor during deploy</t>
  </si>
  <si>
    <t>GENERAL RULE:</t>
  </si>
  <si>
    <t>• Zero Critical alerts = safe to proceed</t>
  </si>
  <si>
    <t>• Any Warning alerts = investigate root cause first</t>
  </si>
  <si>
    <t>• Info alerts = acknowledge but can proceed</t>
  </si>
  <si>
    <t>🔔 ALERT TYPES AND THEIR IMPLICATIONS</t>
  </si>
  <si>
    <t>ALERT TYPE                     | WHAT IT MEANS FOR YOUR RELEASE</t>
  </si>
  <si>
    <t>Memory Threshold Exceeded      | App may crash under additional load</t>
  </si>
  <si>
    <t>CPU Utilization High           | Deployment may fail or cause timeouts</t>
  </si>
  <si>
    <t>Latency Over SLA               | User experience already degraded</t>
  </si>
  <si>
    <t>Disk Space Low                 | Deployment may fail, logs may be lost</t>
  </si>
  <si>
    <t>Network Connectivity Issue     | May lose connection during deployment</t>
  </si>
  <si>
    <t>Security Scan Failed           | Security team must approve any release</t>
  </si>
  <si>
    <t>Application Error Rate High    | Existing bugs need fixing first</t>
  </si>
  <si>
    <t>Database Connection Exhausted  | DB cannot handle more connections</t>
  </si>
  <si>
    <t>API Response Time Degraded     | Integrations may fail during deployment</t>
  </si>
  <si>
    <t>SSL Certificate Expiring       | May cause security warnings/failures</t>
  </si>
  <si>
    <t>Backup Failed                  | No rollback safety net available</t>
  </si>
  <si>
    <t>Cache Hit Rate Low             | Performance will be poor post-deploy</t>
  </si>
  <si>
    <t>🚦 PRE-DEPLOYMENT CHECKLIST</t>
  </si>
  <si>
    <t>BEFORE DEPLOYING, CHECK:</t>
  </si>
  <si>
    <t>1. Filter by Application = your target application</t>
  </si>
  <si>
    <t>2. Filter by Status = Active (ignore Resolved/Acknowledged)</t>
  </si>
  <si>
    <t>3. Count Critical alerts: must be ZERO to proceed</t>
  </si>
  <si>
    <t>4. Review Warning alerts: understand root cause</t>
  </si>
  <si>
    <t>5. Check Last Check timestamp: alerts older than 24hrs may be stale</t>
  </si>
  <si>
    <t>GO/NO-GO DECISION:</t>
  </si>
  <si>
    <t>• 0 Critical, 0 Warning → ✅ PROCEED</t>
  </si>
  <si>
    <t>• 0 Critical, 1+ Warning → ⚠️ PROCEED WITH CAUTION (document in release notes)</t>
  </si>
  <si>
    <t>• 1+ Critical → 🛑 DO NOT DEPLOY until resolved</t>
  </si>
  <si>
    <t>1. CHECK MORNING OF RELEASE: Alert status changes — verify day-of</t>
  </si>
  <si>
    <t>2. MONITOR POST-DEPLOY: Watch for new alerts for 30 minutes after release</t>
  </si>
  <si>
    <t>3. DOCUMENT BASELINE: Record pre-release alert count for comparison</t>
  </si>
  <si>
    <t>4. ESCALATE CRITICAL: Never ignore Critical alerts — escalate immediately</t>
  </si>
  <si>
    <t>5. OWN YOUR ALERTS: Assign alerts to team members for accountability</t>
  </si>
  <si>
    <t>6. SET THRESHOLDS: Work with Ops to set appropriate thresholds per app</t>
  </si>
  <si>
    <t>7. CLEAR STALE ALERTS: Resolve or dismiss alerts that are no longer valid</t>
  </si>
  <si>
    <t>⚠️ IMPORTANT: This data refreshes from monitoring systems.</t>
  </si>
  <si>
    <t>Check Dashboard for real-time summary of alert counts by severity.</t>
  </si>
  <si>
    <t>📋 INCIDENTS - COMPREHENSIVE GUIDE</t>
  </si>
  <si>
    <t>🎯 PURPOSE OF INCIDENT TRACKING</t>
  </si>
  <si>
    <t>This sheet tracks active and recent incidents that may affect release planning.</t>
  </si>
  <si>
    <t>Active incidents represent system instability requiring immediate attention.</t>
  </si>
  <si>
    <t>WHY INCIDENTS MATTER FOR RELEASES:</t>
  </si>
  <si>
    <t>• Active P1/P2 incidents = ALL releases should be paused</t>
  </si>
  <si>
    <t>• Recent incidents may indicate underlying instability</t>
  </si>
  <si>
    <t>• Deploying during an incident complicates root cause analysis</t>
  </si>
  <si>
    <t>• Post-incident releases need extra verification steps</t>
  </si>
  <si>
    <t>📊 INCIDENT SEVERITY LEVELS</t>
  </si>
  <si>
    <t>SEVERITY | DEFINITION                              | RELEASE IMPACT</t>
  </si>
  <si>
    <t>P1       | Critical outage, business stopped       | 🔴 ALL RELEASES FROZEN</t>
  </si>
  <si>
    <t>P2       | Major degradation, significant impact   | 🟡 HALT related releases</t>
  </si>
  <si>
    <t>P3       | Minor issue, workaround available       | 🟢 Proceed with caution</t>
  </si>
  <si>
    <t>STATUS DEFINITIONS:</t>
  </si>
  <si>
    <t>• Active: Incident ongoing, teams working to resolve</t>
  </si>
  <si>
    <t>• Investigating: Root cause analysis in progress</t>
  </si>
  <si>
    <t>• Mitigated: Temporary fix in place, monitoring</t>
  </si>
  <si>
    <t>• Resolved: Incident closed, post-mortem pending</t>
  </si>
  <si>
    <t>🚦 RELEASE DECISION GUIDE DURING INCIDENTS</t>
  </si>
  <si>
    <t>1. Filter by Status = Active or Investigating</t>
  </si>
  <si>
    <t>2. Check Severity: Any P1 = global release freeze</t>
  </si>
  <si>
    <t>3. Check Application: Is your app affected or related?</t>
  </si>
  <si>
    <t>4. Review Related Release column: Was the incident caused by a release?</t>
  </si>
  <si>
    <t>GO/NO-GO MATRIX:</t>
  </si>
  <si>
    <t>• P1 Active anywhere → 🛑 ALL DEPLOYMENTS FROZEN</t>
  </si>
  <si>
    <t>• P2 Active on your app → 🛑 DO NOT DEPLOY to that app</t>
  </si>
  <si>
    <t>• P2 Active on unrelated app → ⚠️ PROCEED CAUTIOUSLY</t>
  </si>
  <si>
    <t>• P3 only → ✅ PROCEED (document in release notes)</t>
  </si>
  <si>
    <t>• All Resolved → ✅ PROCEED</t>
  </si>
  <si>
    <t>1. CHECK BEFORE EVERY RELEASE: Incident status can change in minutes</t>
  </si>
  <si>
    <t>2. WAIT 24 HOURS POST-P1: Allow time for stability verification</t>
  </si>
  <si>
    <t>3. COORDINATE WITH INCIDENT MANAGER: Get explicit approval during incidents</t>
  </si>
  <si>
    <t>4. LINK RELEASES TO INCIDENTS: If a release caused an incident, document it</t>
  </si>
  <si>
    <t>5. POST-INCIDENT REVIEW: Check if your release needs changes based on findings</t>
  </si>
  <si>
    <t>6. COMMUNICATE PROACTIVELY: If your release might worsen an incident, speak up</t>
  </si>
  <si>
    <t>7. UPDATE STATUS: Mark incidents Resolved when confirmed fixed</t>
  </si>
  <si>
    <t>⚠️ CRITICAL RULE:</t>
  </si>
  <si>
    <t>Never deploy during a P1 incident, even if your application is unrelated.</t>
  </si>
  <si>
    <t>P1 incidents often cascade to other systems unexpectedly.</t>
  </si>
  <si>
    <t>📋 APPLICATION STATUS - COMPREHENSIVE GUIDE</t>
  </si>
  <si>
    <t>🎯 PURPOSE OF APPLICATION STATUS</t>
  </si>
  <si>
    <t>This sheet provides real-time health status of all applications across environments.</t>
  </si>
  <si>
    <t>Use this to verify system readiness before deploying or to assess current stability.</t>
  </si>
  <si>
    <t>WHY APPLICATION STATUS MATTERS:</t>
  </si>
  <si>
    <t>• Deploying to a degraded application may worsen the situation</t>
  </si>
  <si>
    <t>• Lower environment issues (Test/UAT) may block testing before Prod release</t>
  </si>
  <si>
    <t>• DR environment status affects disaster recovery readiness</t>
  </si>
  <si>
    <t>• Uptime % indicates historical stability and reliability</t>
  </si>
  <si>
    <t>📊 STATUS DEFINITIONS</t>
  </si>
  <si>
    <t>STATUS    | MEANING                              | CAN YOU DEPLOY?</t>
  </si>
  <si>
    <t>Healthy   | All functions operational            | ✅ YES</t>
  </si>
  <si>
    <t>Degraded  | Partial functionality, performance   | ⚠️ CAUTION NEEDED</t>
  </si>
  <si>
    <t>Down      | System unavailable                   | 🛑 NO - WAIT FOR RECOVERY</t>
  </si>
  <si>
    <t>ENVIRONMENT PRIORITY:</t>
  </si>
  <si>
    <t>• Prod status: Critical — must be Healthy for go-live</t>
  </si>
  <si>
    <t>• UAT status: Important — must be Healthy for user acceptance</t>
  </si>
  <si>
    <t>• Test status: Helpful — affects QA testing pace</t>
  </si>
  <si>
    <t>• Dev status: Informational — developers manage internally</t>
  </si>
  <si>
    <t>• DR status: Critical — must mirror Prod for disaster readiness</t>
  </si>
  <si>
    <t>BEFORE DEPLOYING TO ANY ENVIRONMENT:</t>
  </si>
  <si>
    <t>2. Check ALL environments your release will touch</t>
  </si>
  <si>
    <t>3. Verify target environment is Healthy, not Degraded or Down</t>
  </si>
  <si>
    <t>4. Check Uptime %: Below 95% indicates instability — proceed cautiously</t>
  </si>
  <si>
    <t>5. Review Last Check timestamp: Data older than 1 hour may be stale</t>
  </si>
  <si>
    <t>GO/NO-GO BY ENVIRONMENT:</t>
  </si>
  <si>
    <t>• Prod Healthy, UAT Healthy → ✅ FULL RELEASE APPROVED</t>
  </si>
  <si>
    <t>• Prod Healthy, UAT Degraded → ⚠️ PROD ONLY (skip UAT testing)</t>
  </si>
  <si>
    <t>• Prod Degraded → 🛑 WAIT until Prod is Healthy</t>
  </si>
  <si>
    <t>• Prod Down → 🛑 DO NOT DEPLOY — focus on recovery</t>
  </si>
  <si>
    <t>1. CHECK IMMEDIATELY BEFORE RELEASE: Status can change in minutes</t>
  </si>
  <si>
    <t>2. VERIFY DR STATUS: Ensure DR matches Prod before critical releases</t>
  </si>
  <si>
    <t>3. MONITOR POST-DEPLOY: Check status again 30 minutes after release</t>
  </si>
  <si>
    <t>4. TRACK UPTIME TRENDS: Decreasing uptime % signals recurring issues</t>
  </si>
  <si>
    <t>5. ESCALATE DOWN STATUS: Notify support teams immediately</t>
  </si>
  <si>
    <t>6. DOCUMENT DEGRADED DEPLOYMENTS: Note any compromises in release log</t>
  </si>
  <si>
    <t>7. COORDINATE WITH OPS: They may have visibility you don't</t>
  </si>
  <si>
    <t>⚠️ IMPORTANT:</t>
  </si>
  <si>
    <t>Application Status is a point-in-time snapshot.</t>
  </si>
  <si>
    <t>Always verify immediately before deployment, not hours in advance.</t>
  </si>
  <si>
    <t>📋 PLANNED MAINTENANCE - COMPREHENSIVE GUIDE</t>
  </si>
  <si>
    <t>🎯 PURPOSE OF MAINTENANCE TRACKING</t>
  </si>
  <si>
    <t>This sheet tracks all planned outages, database refreshes, and vendor maintenance windows.</t>
  </si>
  <si>
    <t>Coordinating releases with maintenance windows prevents conflicts and downtime.</t>
  </si>
  <si>
    <t>WHY MAINTENANCE AWARENESS MATTERS:</t>
  </si>
  <si>
    <t>• Deploying during a maintenance window wastes effort — system will be down</t>
  </si>
  <si>
    <t>• DB refreshes may overwrite data changes from your release</t>
  </si>
  <si>
    <t>• Vendor maintenance may affect integrations your release depends on</t>
  </si>
  <si>
    <t>• Infrastructure patches may require application restarts</t>
  </si>
  <si>
    <t>📊 MAINTENANCE TYPES</t>
  </si>
  <si>
    <t>TYPE                  | IMPACT                       | CONFLICT</t>
  </si>
  <si>
    <t>Scheduled Outage      | Full unavailability          | 🛑 DO NOT SCHEDULE</t>
  </si>
  <si>
    <t>DB Refresh            | Data reset or migration      | 🛑 DATA WILL BE LOST</t>
  </si>
  <si>
    <t>Vendor Maintenance    | External system unavailable  | ⚠️ CHECK INTEGRATIONS</t>
  </si>
  <si>
    <t>Patch Window          | Brief restarts               | ⚠️ SCHEDULE AFTER</t>
  </si>
  <si>
    <t>Infrastructure        | Network, storage changes     | ⚠️ VERIFY ENV STABLE</t>
  </si>
  <si>
    <t>IMPACT LEVELS:</t>
  </si>
  <si>
    <t>• Full Outage: System completely unavailable</t>
  </si>
  <si>
    <t>• Partial: Some functions work, others don't</t>
  </si>
  <si>
    <t>• Read-Only: No writes allowed, data frozen</t>
  </si>
  <si>
    <t>🚦 COORDINATING RELEASES WITH MAINTENANCE</t>
  </si>
  <si>
    <t>1. Filter by Application(s) Affected = your target application</t>
  </si>
  <si>
    <t>2. Check Scheduled Date overlaps with your release window</t>
  </si>
  <si>
    <t>3. Verify Environment(s) — is your target env affected?</t>
  </si>
  <si>
    <t>4. Review Start Time and End Time — plan release outside this window</t>
  </si>
  <si>
    <t>5. Check Approval Status — unapproved maintenance may be rescheduled</t>
  </si>
  <si>
    <t>TIMING GUIDELINES:</t>
  </si>
  <si>
    <t>• Schedule releases at least 2 hours BEFORE maintenance starts</t>
  </si>
  <si>
    <t>• OR wait until 1 hour AFTER maintenance completes (allow buffer)</t>
  </si>
  <si>
    <t>• DB Refresh: Wait 24 hours to verify data integrity</t>
  </si>
  <si>
    <t>• Vendor Windows: Confirm integrations work post-maintenance</t>
  </si>
  <si>
    <t>1. CHECK WEEKLY: Review upcoming maintenance when planning releases</t>
  </si>
  <si>
    <t>2. SUBSCRIBE TO ALERTS: Get notified when new maintenance is scheduled</t>
  </si>
  <si>
    <t>3. COORDINATE EARLY: If you need a window moved, request 2+ weeks ahead</t>
  </si>
  <si>
    <t>4. LEVERAGE WINDOWS: Use maintenance downtime for non-critical releases</t>
  </si>
  <si>
    <t>5. VERIFY POST-MAINTENANCE: Confirm your application works after outage</t>
  </si>
  <si>
    <t>6. DOCUMENT CONFLICTS: Record any release delays caused by maintenance</t>
  </si>
  <si>
    <t>7. PLAN AROUND DB REFRESH: These are usually weekly — know the schedule</t>
  </si>
  <si>
    <t>Maintenance windows are often scheduled weeks in advance.</t>
  </si>
  <si>
    <t>Check this sheet BEFORE finalizing release dates to avoid conflicts.</t>
  </si>
  <si>
    <t>📖 QUICK REFERENCE: Understanding Risk Scores (Collapsible Section for Web)</t>
  </si>
  <si>
    <t>RISK SCORE = Likelihood (1-5) × Impact (1-5)     |     Range: 1-25</t>
  </si>
  <si>
    <t>SEVERITY QUICK GUIDE:</t>
  </si>
  <si>
    <t xml:space="preserve">  • 1-4: LOW (Green) → Proceed normally</t>
  </si>
  <si>
    <t xml:space="preserve">  • 5-8: MEDIUM (Yellow) → Monitor closely</t>
  </si>
  <si>
    <t xml:space="preserve">  • 9-12: HIGH (Orange) → Mitigation required before CAB</t>
  </si>
  <si>
    <t xml:space="preserve">  • 15-25: CRITICAL (Red) → Escalate immediately, consider delay</t>
  </si>
  <si>
    <t>GO/NO-GO: No CRITICAL unmitigated risks = ✅ Proceed  |  Any CRITICAL = 🛑 Escalate</t>
  </si>
  <si>
    <t>[▼ View full documentation below for detailed explanations, tables, and best practices]</t>
  </si>
  <si>
    <t>📋 FULL DOCUMENTATION: Risk Assessment Guide</t>
  </si>
  <si>
    <t>This sheet tracks QUALITATIVE/EVENT-BASED RISKS — specific risk events identified during release planning.</t>
  </si>
  <si>
    <t>Unlike technical metrics (in Risk Factors), these are discrete risk items requiring human judgment and mitigation.</t>
  </si>
  <si>
    <t>Each release can have MULTIPLE risk entries for granular tracking throughout the release lifecycle.</t>
  </si>
  <si>
    <t>📊 RISK SCORE CALCULATION</t>
  </si>
  <si>
    <t>Formula: RISK SCORE = LIKELIHOOD × IMPACT</t>
  </si>
  <si>
    <t>LIKELIHOOD SCALE:                              IMPACT SCALE:</t>
  </si>
  <si>
    <t>1 = Rare (&lt; 10% chance)                        1 = Negligible (No noticeable effect)</t>
  </si>
  <si>
    <t>2 = Unlikely (10-30% chance)                   2 = Minor (Small inconvenience)</t>
  </si>
  <si>
    <t>3 = Possible (30-50% chance)                   3 = Moderate (Noticeable disruption)</t>
  </si>
  <si>
    <t>4 = Likely (50-70% chance)                     4 = Major (Significant business impact)</t>
  </si>
  <si>
    <t>5 = Almost Certain (&gt; 70% chance)              5 = Severe (Critical failure, data loss)</t>
  </si>
  <si>
    <t>🚦 SEVERITY INTERPRETATION TABLE</t>
  </si>
  <si>
    <t>SCORE RANGE | SEVERITY   | COLOR  | REQUIRED ACTION</t>
  </si>
  <si>
    <t>─────────────────────────────────────────────────────────────────────────────</t>
  </si>
  <si>
    <t>1-4         | LOW        | Green  | Document and monitor; no escalation needed</t>
  </si>
  <si>
    <t>5-8         | MEDIUM     | Yellow | Track actively; ensure mitigation plan exists</t>
  </si>
  <si>
    <t>9-12        | HIGH       | Orange | Mitigation required before CAB; notify stakeholders</t>
  </si>
  <si>
    <t>15-25       | CRITICAL   | Red    | Escalate to leadership; consider delaying release</t>
  </si>
  <si>
    <t>🎯 DECISION-MAKING FRAMEWORK</t>
  </si>
  <si>
    <t>FOR CAB MEETINGS:</t>
  </si>
  <si>
    <t>• Present all HIGH and CRITICAL risks with mitigation status</t>
  </si>
  <si>
    <t>• LOW/MEDIUM risks can be summarized in aggregate</t>
  </si>
  <si>
    <t>• Any unmitigated HIGH risk requires explicit CAB acknowledgment</t>
  </si>
  <si>
    <t>• CRITICAL risks typically require executive sponsor approval</t>
  </si>
  <si>
    <t>GO/NO-GO CRITERIA:</t>
  </si>
  <si>
    <t>• ✅ PROCEED: All risks LOW/MEDIUM, or HIGH risks have approved mitigations</t>
  </si>
  <si>
    <t>• ⚠️ CONDITIONAL: HIGH risks exist but mitigations are in progress</t>
  </si>
  <si>
    <t>• 🛑 DELAY: Any CRITICAL unmitigated risk, or multiple HIGH without mitigation</t>
  </si>
  <si>
    <t>📋 KEY COLUMNS EXPLAINED</t>
  </si>
  <si>
    <t>• Risk ID: Unique identifier for tracking and reference</t>
  </si>
  <si>
    <t>• Release ID: Links risk to specific release (one release can have many risks)</t>
  </si>
  <si>
    <t>• Risk Description: Clear statement of what could go wrong</t>
  </si>
  <si>
    <t>• Likelihood (1-5): Probability of risk occurring</t>
  </si>
  <si>
    <t>• Impact (1-5): Severity if risk materializes</t>
  </si>
  <si>
    <t>• Risk Score: Calculated = Likelihood × Impact</t>
  </si>
  <si>
    <t>• Severity: Derived from Risk Score (LOW/MEDIUM/HIGH/CRITICAL)</t>
  </si>
  <si>
    <t>• Mitigation Plan: Actions to reduce likelihood or impact</t>
  </si>
  <si>
    <t>• Mitigation Status: Not Started / In Progress / Completed / Accepted</t>
  </si>
  <si>
    <t>• Owner: Person responsible for managing this risk</t>
  </si>
  <si>
    <t>1. IDENTIFY EARLY: Log risks as soon as discovered, don't wait for CAB</t>
  </si>
  <si>
    <t>2. BE SPECIFIC: Vague risks like 'might fail' are unhelpful — describe the scenario</t>
  </si>
  <si>
    <t>3. REASSESS REGULARLY: Likelihood and impact can change — update scores weekly</t>
  </si>
  <si>
    <t>4. OWN EVERY RISK: Unowned risks don't get mitigated</t>
  </si>
  <si>
    <t>5. CLOSE THE LOOP: Mark risks as mitigated or accepted after release</t>
  </si>
  <si>
    <t>6. LEARN FROM HISTORY: Review past release risks when planning new ones</t>
  </si>
  <si>
    <t>7. ESCALATE EARLY: It's better to raise a false alarm than miss a real issue</t>
  </si>
  <si>
    <t>⚠️ RELATIONSHIP TO RISK FACTORS SHEET:</t>
  </si>
  <si>
    <t>This sheet tracks discrete risk EVENTS. Risk Factors sheet calculates a weighted</t>
  </si>
  <si>
    <t>TECHNICAL SCORE based on release characteristics. Use BOTH for complete assessment.</t>
  </si>
  <si>
    <t>📖 QUICK REFERENCE: Weighted Risk Score (Collapsible Section for Web)</t>
  </si>
  <si>
    <t>WEIGHTED RISK SCORE = Σ (Factor Score × Factor Weight)     |     Range: 1.0-5.0</t>
  </si>
  <si>
    <t>TOP 3 FACTORS (50% of score): Technical Complexity (15%) + Testing Quality (15%) + Resource Availability (20%)</t>
  </si>
  <si>
    <t>RISK THRESHOLDS:</t>
  </si>
  <si>
    <t xml:space="preserve">  • &lt; 1.5: LOW → ✅ Proceed     • 1.5-2.4: MEDIUM → ✅ Proceed with monitoring</t>
  </si>
  <si>
    <t xml:space="preserve">  • 2.5-3.4: HIGH → ⚠️ Address concerns     • 3.5-3.9: CRITICAL → 🛑 Mitigation required</t>
  </si>
  <si>
    <t xml:space="preserve">  • ≥ 4.0: SEVERE → 🛑 Consider delay</t>
  </si>
  <si>
    <t>⚠️ DATA LIMITATION: Calculated for IMMEDIATE releases only. Dashboard filters do NOT apply.</t>
  </si>
  <si>
    <t>[▼ View full documentation below for all 10 factor categories and detailed guidance]</t>
  </si>
  <si>
    <t>📋 FULL DOCUMENTATION: Weighted Technical Risk Scoring</t>
  </si>
  <si>
    <t>🎯 PURPOSE OF WEIGHTED RISK SCORING</t>
  </si>
  <si>
    <t>This sheet provides QUANTITATIVE TECHNICAL RISK SCORING using 44 measurable factors.</t>
  </si>
  <si>
    <t>Unlike the Risk sheet (discrete events), this calculates an OBJECTIVE READINESS SCORE.</t>
  </si>
  <si>
    <t>The score answers: 'Is this release technically ready?' — independent of event-based risks.</t>
  </si>
  <si>
    <t>📊 HOW THE SCORE IS CALCULATED</t>
  </si>
  <si>
    <t>Formula: WEIGHTED RISK SCORE = Σ (Factor Score × Factor Weight)</t>
  </si>
  <si>
    <t>Each of 10 factor categories has a weight (totaling 100%). Each factor is scored 1-5.</t>
  </si>
  <si>
    <t>Final score range: 1.0 (excellent) to 5.0 (severe risk).</t>
  </si>
  <si>
    <t>📋 THE 10 FACTOR CATEGORIES</t>
  </si>
  <si>
    <t>CATEGORY               | WEIGHT | WHAT IT MEASURES</t>
  </si>
  <si>
    <t>───────────────────────────────────────────────────────────────────</t>
  </si>
  <si>
    <t>Resource Availability  | 20%    | Key staff availability, backup coverage</t>
  </si>
  <si>
    <t>Technical Complexity   | 15%    | Architecture changes, integration depth</t>
  </si>
  <si>
    <t>Testing Quality        | 15%    | Test coverage, defect rates, UAT sign-off</t>
  </si>
  <si>
    <t>Security &amp; Compliance  | 12%    | Security scan results, compliance checks</t>
  </si>
  <si>
    <t>Change Impact          | 10%    | Scope of changes, users affected</t>
  </si>
  <si>
    <t>Deployment Risk        | 8%     | Deployment complexity, rollback readiness</t>
  </si>
  <si>
    <t>Dependencies           | 7%     | External dependencies, API changes</t>
  </si>
  <si>
    <t>Environment Readiness  | 5%     | Env stability, data quality, config drift</t>
  </si>
  <si>
    <t>Documentation          | 5%     | Runbooks, release notes, training</t>
  </si>
  <si>
    <t>🚦 RISK LEVEL THRESHOLDS</t>
  </si>
  <si>
    <t>Historical Performance | 3%     | Past release success rate</t>
  </si>
  <si>
    <t>SCORE RANGE | RISK LEVEL | RECOMMENDED ACTION</t>
  </si>
  <si>
    <t>&lt; 1.5       | LOW        | ✅ Proceed — minimal technical risk</t>
  </si>
  <si>
    <t>1.5 - 2.4   | MEDIUM     | ✅ Proceed with standard monitoring</t>
  </si>
  <si>
    <t>2.5 - 3.4   | HIGH       | ⚠️ Address concerns before release</t>
  </si>
  <si>
    <t>3.5 - 3.9   | CRITICAL   | 🛑 Mitigation required; escalate</t>
  </si>
  <si>
    <t>≥ 4.0       | SEVERE     | 🛑 Consider delay; major remediation needed</t>
  </si>
  <si>
    <t>⚠️ IMPORTANT DATA LIMITATIONS</t>
  </si>
  <si>
    <t>1. IMMEDIATE RELEASES ONLY: Risk factors can only be calculated for releases</t>
  </si>
  <si>
    <t xml:space="preserve">   scheduled within the next 2 weeks. Future releases lack the data needed.</t>
  </si>
  <si>
    <t>2. DASHBOARD FILTERS DO NOT APPLY: The Risk Assessment Data section uses</t>
  </si>
  <si>
    <t xml:space="preserve">   its own date logic and is NOT affected by Dashboard filter selections.</t>
  </si>
  <si>
    <t>3. POINT-IN-TIME SNAPSHOT: Scores reflect current state and change as factors</t>
  </si>
  <si>
    <t xml:space="preserve">   are updated. Historical scores are not preserved automatically.</t>
  </si>
  <si>
    <t>1. REVIEW WEEKLY: Update factor scores as release planning progresses</t>
  </si>
  <si>
    <t>2. FOCUS ON TOP 3: Resource, Complexity, and Testing drive 50% of score</t>
  </si>
  <si>
    <t>3. USE WITH RISK SHEET: Technical score + Event risks = complete picture</t>
  </si>
  <si>
    <t>4. DOCUMENT CHANGES: Note why scores changed for audit trail</t>
  </si>
  <si>
    <t>5. CALIBRATE THRESHOLDS: Adjust thresholds based on your org's risk tolerance</t>
  </si>
  <si>
    <t>💡 TIP: A HIGH technical score with no event-based risks may still be safe.</t>
  </si>
  <si>
    <t>A LOW technical score with a CRITICAL event risk should still be delayed.</t>
  </si>
  <si>
    <t>📖 QUICK REFERENCE: Environment Drift (Collapsible Section for Web)</t>
  </si>
  <si>
    <t>DRIFT = Unintended differences between environments that shouldn't exist</t>
  </si>
  <si>
    <t>SEVERITY:  Config Drift → ⚠️ Unexpected behavior  |  Version Drift → 🛑 Invalid testing</t>
  </si>
  <si>
    <t>GO/NO-GO: Resolve HIGH/CRITICAL drift BEFORE deploying to Prod</t>
  </si>
  <si>
    <t>[▼ Full documentation below]</t>
  </si>
  <si>
    <t>📖 QUICK REFERENCE: Release Dependencies (Collapsible Section for Web)</t>
  </si>
  <si>
    <t>DEPENDENCY TYPES: Hard (blocking) | Soft (preferred) | Technical | Data | Integration</t>
  </si>
  <si>
    <t>STATUS: Pending → Not ready | In Progress → Working on it | Resolved → Ready | Blocked → Issue</t>
  </si>
  <si>
    <t>RULE: ALL Hard dependencies must be RESOLVED before deployment</t>
  </si>
  <si>
    <t>📖 QUICK REFERENCE: CAB Approvals (Collapsible Section for Web)</t>
  </si>
  <si>
    <t>APPROVAL FLOW: Tech Review → Security Review → Business Review → CAB Final</t>
  </si>
  <si>
    <t>DECISIONS: Approved ✅ | Rejected 🛑 | Conditional ⚠️ (with conditions) | Deferred ⏸️</t>
  </si>
  <si>
    <t>RULE: ALL approval stages must be APPROVED or CONDITIONAL before go-live</t>
  </si>
  <si>
    <t>📖 QUICK REFERENCE: Leave &amp; Resource Planning (Collapsible Section for Web)</t>
  </si>
  <si>
    <t>RISK IMPACT: 1-2 Low | 3 Medium | 4 High | 5 Critical (key person unavailable)</t>
  </si>
  <si>
    <t>CHECK BEFORE RELEASE: Is Release Owner available? Is backup designated?</t>
  </si>
  <si>
    <t>RULE: Never deploy when Release Owner AND backup are both unavailable</t>
  </si>
  <si>
    <t>📖 QUICK REFERENCE: Version Tracking (Collapsible Section for Web)</t>
  </si>
  <si>
    <t>ENV FLOW: Dev → Test → UAT → Pre-prod → Prod → DR (DR must = Prod)</t>
  </si>
  <si>
    <t>VERSION CHECK: Before deploy, verify Pre-prod = planned release version</t>
  </si>
  <si>
    <t>ROLLBACK: Document current Prod version as rollback target before deployment</t>
  </si>
  <si>
    <t>📖 QUICK REFERENCE: System Integrations (Collapsible Section for Web)</t>
  </si>
  <si>
    <t>INTEGRATION TYPES: API | File Transfer | Message Queue | Direct DB</t>
  </si>
  <si>
    <t>BEFORE RELEASE: Filter by your app → Find all connected systems → Notify teams</t>
  </si>
  <si>
    <t>RULE: Test ALL High criticality integrations before Prod deployment</t>
  </si>
  <si>
    <t>📖 QUICK REFERENCE: Monitoring Alerts (Collapsible Section for Web)</t>
  </si>
  <si>
    <t>SEVERITY: Critical 🔴 STOP | Warning 🟡 ASSESS | Info 🟢 OK</t>
  </si>
  <si>
    <t>PRE-DEPLOY CHECK: Filter by App → Count Critical (must be 0) → Review Warnings</t>
  </si>
  <si>
    <t>RULE: 0 Critical alerts = ✅ Proceed | Any Critical = 🛑 Do NOT deploy</t>
  </si>
  <si>
    <t>📖 QUICK REFERENCE: Incident Status (Collapsible Section for Web)</t>
  </si>
  <si>
    <t>SEVERITY: P1 🔴 ALL FROZEN | P2 🟡 Related halted | P3 🟢 Proceed cautiously</t>
  </si>
  <si>
    <t>STATUS: Active/Investigating = Check before deploy | Mitigated/Resolved = OK</t>
  </si>
  <si>
    <t>RULE: ANY P1 Active = 🛑 ALL deployments frozen company-wide</t>
  </si>
  <si>
    <t>📖 QUICK REFERENCE: Application Health (Collapsible Section for Web)</t>
  </si>
  <si>
    <t>STATUS: Healthy ✅ | Degraded ⚠️ CAUTION | Down 🛑 NO DEPLOY</t>
  </si>
  <si>
    <t>UPTIME: &lt; 95% = Instability warning | Check Last Check timestamp for freshness</t>
  </si>
  <si>
    <t>RULE: Target environment must be HEALTHY before deployment</t>
  </si>
  <si>
    <t>📖 QUICK REFERENCE: Maintenance Windows (Collapsible Section for Web)</t>
  </si>
  <si>
    <t>TYPES: Outage 🛑 | DB Refresh 🛑 | Vendor Maint ⚠️ | Patch Window ⚠️</t>
  </si>
  <si>
    <t>TIMING: Deploy 2+ hrs BEFORE or 1+ hr AFTER maintenance window</t>
  </si>
  <si>
    <t>RULE: NEVER deploy during a scheduled outage or DB refresh</t>
  </si>
  <si>
    <t>🚀 RELEASE DESK</t>
  </si>
  <si>
    <t>Enterprise Release Management Platform</t>
  </si>
  <si>
    <t>👤 Welcome, Release Manager  |  📅 28/06/2026</t>
  </si>
  <si>
    <t>📊 Dashboard</t>
  </si>
  <si>
    <t>📋 Releases</t>
  </si>
  <si>
    <t>📅 Calendar</t>
  </si>
  <si>
    <t>⚠️ Risks</t>
  </si>
  <si>
    <t>⚙️ Admin</t>
  </si>
  <si>
    <t>Welcome to Release Desk</t>
  </si>
  <si>
    <t>Your central hub for managing releases, tracking risks, coordinating environments, and ensuring successful deployments across the enterprise.</t>
  </si>
  <si>
    <t>📱 Main Pages</t>
  </si>
  <si>
    <t>📊</t>
  </si>
  <si>
    <t>DASHBOARD</t>
  </si>
  <si>
    <t>Real-time KPIs, metrics,</t>
  </si>
  <si>
    <t>and release health overview</t>
  </si>
  <si>
    <t>📋</t>
  </si>
  <si>
    <t>RELEASES</t>
  </si>
  <si>
    <t>Manage all releases,</t>
  </si>
  <si>
    <t>status, priorities &amp; blockers</t>
  </si>
  <si>
    <t>📅</t>
  </si>
  <si>
    <t>CALENDAR</t>
  </si>
  <si>
    <t>CAB meetings, releases,</t>
  </si>
  <si>
    <t>and key milestones</t>
  </si>
  <si>
    <t>🖥️</t>
  </si>
  <si>
    <t>ENV BOOKING</t>
  </si>
  <si>
    <t>Reserve &amp; manage test</t>
  </si>
  <si>
    <t>and UAT environments</t>
  </si>
  <si>
    <t>⚠️</t>
  </si>
  <si>
    <t>Risk scores, factors,</t>
  </si>
  <si>
    <t>and mitigation tracking</t>
  </si>
  <si>
    <t>🔗</t>
  </si>
  <si>
    <t>DEPENDENCIES</t>
  </si>
  <si>
    <t>Track inter-release</t>
  </si>
  <si>
    <t>and system dependencies</t>
  </si>
  <si>
    <t>✅</t>
  </si>
  <si>
    <t>APPROVALS</t>
  </si>
  <si>
    <t>CAB approvals and</t>
  </si>
  <si>
    <t>sign-off workflows</t>
  </si>
  <si>
    <t>🏖️</t>
  </si>
  <si>
    <t>LEAVE CALENDAR</t>
  </si>
  <si>
    <t>Team availability and</t>
  </si>
  <si>
    <t>resource scheduling</t>
  </si>
  <si>
    <t>📉</t>
  </si>
  <si>
    <t>DRIFT</t>
  </si>
  <si>
    <t>Schedule drift analysis</t>
  </si>
  <si>
    <t>and timeline tracking</t>
  </si>
  <si>
    <t>🔔 Operational Monitoring</t>
  </si>
  <si>
    <t>🔔</t>
  </si>
  <si>
    <t>MONITORING</t>
  </si>
  <si>
    <t>System alerts, health</t>
  </si>
  <si>
    <t>checks &amp; notifications</t>
  </si>
  <si>
    <t>🚨</t>
  </si>
  <si>
    <t>INCIDENTS</t>
  </si>
  <si>
    <t>P1/P2 incident tracking</t>
  </si>
  <si>
    <t>and resolution status</t>
  </si>
  <si>
    <t>APP STATUS</t>
  </si>
  <si>
    <t>Real-time application</t>
  </si>
  <si>
    <t>availability by env</t>
  </si>
  <si>
    <t>🔧</t>
  </si>
  <si>
    <t>MAINTENANCE</t>
  </si>
  <si>
    <t>Scheduled outages</t>
  </si>
  <si>
    <t>and maintenance windows</t>
  </si>
  <si>
    <t>📦</t>
  </si>
  <si>
    <t>VERSIONS</t>
  </si>
  <si>
    <t>Version history and</t>
  </si>
  <si>
    <t>deployment tracking</t>
  </si>
  <si>
    <t>🗺️</t>
  </si>
  <si>
    <t>SYSTEM MAPPING</t>
  </si>
  <si>
    <t>Environment and system</t>
  </si>
  <si>
    <t>architecture views</t>
  </si>
  <si>
    <t>📚 Reference Data (Admin Only)</t>
  </si>
  <si>
    <t>📱 Applications</t>
  </si>
  <si>
    <t>Master app registry</t>
  </si>
  <si>
    <t>👥 Users</t>
  </si>
  <si>
    <t>User directory</t>
  </si>
  <si>
    <t>⚙️ Admin Config</t>
  </si>
  <si>
    <t>Release Managers &amp; Super Admins</t>
  </si>
  <si>
    <t>Release Desk v1.0  |  Enterprise Release Management Platform  |  © 2026</t>
  </si>
  <si>
    <t>📧 Support  |  📖 Documentation  |  🔒 Security</t>
  </si>
  <si>
    <t>📊 QUICK STATS</t>
  </si>
  <si>
    <t>📋 Total Releases</t>
  </si>
  <si>
    <t>⚠️ Active Conflicts</t>
  </si>
  <si>
    <t>🚫 Blocked Releases</t>
  </si>
  <si>
    <t>🔴 P1 Critical</t>
  </si>
  <si>
    <t>📝 Pending CAB</t>
  </si>
  <si>
    <t>✅ Approved</t>
  </si>
  <si>
    <t>⚡ QUICK ACTIONS</t>
  </si>
  <si>
    <t>➕ Create New Release</t>
  </si>
  <si>
    <t>📅 Book Environment</t>
  </si>
  <si>
    <t>📋 View All Risks</t>
  </si>
  <si>
    <t>🔔 Active Alerts</t>
  </si>
  <si>
    <t>📊 Open Dashboard</t>
  </si>
  <si>
    <t>🎨 Color Guide:</t>
  </si>
  <si>
    <t>🟢 Dashboard</t>
  </si>
  <si>
    <t>🟠 Core Release Pages</t>
  </si>
  <si>
    <t>🔵 Monitoring &amp; Ops</t>
  </si>
  <si>
    <t>🟣 Resources  |  🔴 Risk  |  🔷 Reference Data</t>
  </si>
  <si>
    <t>⚡ 3 releases scheduled this week  |  ⚠️ 2 active conflicts require attention  |  🔔 5 pending approvals</t>
  </si>
  <si>
    <t>Last refreshed:</t>
  </si>
  <si>
    <t>Landing Page</t>
  </si>
  <si>
    <t>Web application home page with navigation</t>
  </si>
  <si>
    <t>This section documents enhancements made to improve usability, documentation, and web application readiness.</t>
  </si>
  <si>
    <t>9.1 LANDING PAGE (NEW)</t>
  </si>
  <si>
    <t>A new Landing Page sheet has been added as the application entry point, designed to resemble a web application homepage.</t>
  </si>
  <si>
    <t>Features:</t>
  </si>
  <si>
    <t>• Header bar with Release Desk branding and user welcome message</t>
  </si>
  <si>
    <t>• Navigation bar with quick links to main sections</t>
  </si>
  <si>
    <t>• Alert banner showing live notifications (releases scheduled, conflicts, pending approvals)</t>
  </si>
  <si>
    <t>• Hero section with welcome message and platform description</t>
  </si>
  <si>
    <t>• Navigation cards organized by function:</t>
  </si>
  <si>
    <t xml:space="preserve">  - Main Pages: Dashboard, Releases, Calendar, Env Booking, Risk, Dependencies, Approvals, Leave Calendar, Drift</t>
  </si>
  <si>
    <t xml:space="preserve">  - Operational Monitoring: Monitoring Alerts, Incidents, Application Status, Maintenance, Versions, System Mapping</t>
  </si>
  <si>
    <t xml:space="preserve">  - Reference Data (Admin Only): Applications, Users, Admin Config</t>
  </si>
  <si>
    <t>• Quick Stats panel with live formulas showing real-time metrics from the workbook</t>
  </si>
  <si>
    <t>• Quick Actions panel for common tasks</t>
  </si>
  <si>
    <t>• Color-coded cards indicating page categories:</t>
  </si>
  <si>
    <t xml:space="preserve">  - Green: Dashboard (main operational view)</t>
  </si>
  <si>
    <t xml:space="preserve">  - Orange: Core release management pages</t>
  </si>
  <si>
    <t xml:space="preserve">  - Red: Risk and incident tracking (requires attention)</t>
  </si>
  <si>
    <t xml:space="preserve">  - Purple: Resource management (Leave Calendar)</t>
  </si>
  <si>
    <t xml:space="preserve">  - Blue/Teal: Monitoring and operations</t>
  </si>
  <si>
    <t xml:space="preserve">  - Dark Blue: Reference data (admin only)</t>
  </si>
  <si>
    <t>• Footer with version info and support links</t>
  </si>
  <si>
    <t>9.2 HYBRID DOCUMENTATION STRUCTURE</t>
  </si>
  <si>
    <t>All operational pages now include a two-tier documentation system designed for web display:</t>
  </si>
  <si>
    <t>QUICK REFERENCE SECTION (Green Header)</t>
  </si>
  <si>
    <t>• Collapsible by default in web UI</t>
  </si>
  <si>
    <t>• Provides at-a-glance information for experienced users</t>
  </si>
  <si>
    <t>• Includes: key formulas, severity guides, decision rules, important warnings</t>
  </si>
  <si>
    <t>• Ends with a link: '[▼ Full documentation below]'</t>
  </si>
  <si>
    <t>FULL DOCUMENTATION SECTION (Blue Header)</t>
  </si>
  <si>
    <t>• Expandable for new users or detailed reference</t>
  </si>
  <si>
    <t>• Comprehensive explanations with multiple subsections</t>
  </si>
  <si>
    <t>• Includes: purpose, methodology, interpretation guides, decision frameworks, examples</t>
  </si>
  <si>
    <t>• Section headers use emojis for visual scanning (🎯📊🚦✅⚠️)</t>
  </si>
  <si>
    <t>SHEETS WITH HYBRID DOCUMENTATION:</t>
  </si>
  <si>
    <t>Quick Ref Rows</t>
  </si>
  <si>
    <t>Full Doc Rows</t>
  </si>
  <si>
    <t>Topic</t>
  </si>
  <si>
    <t>38-50</t>
  </si>
  <si>
    <t>53-118</t>
  </si>
  <si>
    <t>Risk scoring methodology and interpretation</t>
  </si>
  <si>
    <t>150-163</t>
  </si>
  <si>
    <t>166-227</t>
  </si>
  <si>
    <t>Risk factor weights and assessment criteria</t>
  </si>
  <si>
    <t>15-25</t>
  </si>
  <si>
    <t>27+</t>
  </si>
  <si>
    <t>Schedule drift analysis and remediation</t>
  </si>
  <si>
    <t>32-40</t>
  </si>
  <si>
    <t>42+</t>
  </si>
  <si>
    <t>Release dependency management</t>
  </si>
  <si>
    <t>33-41</t>
  </si>
  <si>
    <t>43+</t>
  </si>
  <si>
    <t>CAB approval workflow</t>
  </si>
  <si>
    <t>36-44</t>
  </si>
  <si>
    <t>46+</t>
  </si>
  <si>
    <t>Resource availability planning</t>
  </si>
  <si>
    <t>184-192</t>
  </si>
  <si>
    <t>194+</t>
  </si>
  <si>
    <t>Version tracking and deployment history</t>
  </si>
  <si>
    <t>131-139</t>
  </si>
  <si>
    <t>141+</t>
  </si>
  <si>
    <t>Integration architecture</t>
  </si>
  <si>
    <t>Monitoring Alerts</t>
  </si>
  <si>
    <t>44-52</t>
  </si>
  <si>
    <t>54+</t>
  </si>
  <si>
    <t>Alert management and response</t>
  </si>
  <si>
    <t>22-30</t>
  </si>
  <si>
    <t>32+</t>
  </si>
  <si>
    <t>Incident tracking and resolution</t>
  </si>
  <si>
    <t>Application Status</t>
  </si>
  <si>
    <t>40-48</t>
  </si>
  <si>
    <t>50+</t>
  </si>
  <si>
    <t>Application health monitoring</t>
  </si>
  <si>
    <t>Planned Maintenance</t>
  </si>
  <si>
    <t>24-32</t>
  </si>
  <si>
    <t>34+</t>
  </si>
  <si>
    <t>Maintenance window coordination</t>
  </si>
  <si>
    <t>9.3 WEB UI IMPLEMENTATION GUIDELINES</t>
  </si>
  <si>
    <t>For web application developers implementing this prototype:</t>
  </si>
  <si>
    <t>QUICK REFERENCE DISPLAY:</t>
  </si>
  <si>
    <t>• Render as a collapsible accordion panel at the top of each page</t>
  </si>
  <si>
    <t>• Default state: collapsed (showing only header 'Quick Reference')</t>
  </si>
  <si>
    <t>• Green color scheme (#2E7D32 header, #E8F5E9 background)</t>
  </si>
  <si>
    <t>• Include expand/collapse toggle icon</t>
  </si>
  <si>
    <t>FULL DOCUMENTATION DISPLAY:</t>
  </si>
  <si>
    <t>• Render as expandable section below main content</t>
  </si>
  <si>
    <t>• Default state: collapsed or as a 'Help' link/button</t>
  </si>
  <si>
    <t>• Blue color scheme (#1F4E79 header, #F8F9FA background)</t>
  </si>
  <si>
    <t>• Consider side panel or modal for larger documentation</t>
  </si>
  <si>
    <t>COLOR CODING STANDARDS:</t>
  </si>
  <si>
    <t>• Green (#4EA72E): Dashboard, success states, approved items</t>
  </si>
  <si>
    <t>• Orange (#E97132): Core release pages, warning states</t>
  </si>
  <si>
    <t>• Red (#C00000): Risk, incidents, critical alerts</t>
  </si>
  <si>
    <t>• Purple (#7030A0): Resource management, leave tracking</t>
  </si>
  <si>
    <t>• Teal (#008B8B): Monitoring, operational pages</t>
  </si>
  <si>
    <t>• Dark Blue (#156082): Reference data, admin-only pages</t>
  </si>
  <si>
    <t>NAVIGATION STRUCTURE:</t>
  </si>
  <si>
    <t>• Landing Page serves as home/entry point</t>
  </si>
  <si>
    <t>• Main navigation: Dashboard &gt; Releases &gt; Calendar &gt; Risk</t>
  </si>
  <si>
    <t>• Secondary navigation: Operational pages (Monitoring, Incidents, etc.)</t>
  </si>
  <si>
    <t>• Admin section: Reference data pages (visible to admins only)</t>
  </si>
  <si>
    <t>9.4 DASHBOARD &amp; RISK FACTOR DATA NOTES</t>
  </si>
  <si>
    <t>DASHBOARD DATA (Sheet: Dashboard):</t>
  </si>
  <si>
    <t>• All metrics are formula-driven, pulling live data from other sheets</t>
  </si>
  <si>
    <t>• Filters (Department, Priority, Status) affect displayed metrics dynamically</t>
  </si>
  <si>
    <t>• Charts and KPIs update automatically as release data changes</t>
  </si>
  <si>
    <t>RELEASE RISK ASSESSMENT DATA (Sheet: Risk Factors, rows 67-145):</t>
  </si>
  <si>
    <t>• Contains calculated risk scores for IMMEDIATE RELEASES ONLY (next 14 days)</t>
  </si>
  <si>
    <t>• Cannot calculate risk assessment for releases far in the future (data not available)</t>
  </si>
  <si>
    <t>• IMPORTANT: Dashboard filters DO NOT apply to this table</t>
  </si>
  <si>
    <t>• This data is independent and shows risk assessment for all upcoming releases regardless of filter</t>
  </si>
  <si>
    <t>• Use this for immediate go/no-go decisions on releases within the assessment window</t>
  </si>
  <si>
    <t>LANDING PAGE QUICK STATS:</t>
  </si>
  <si>
    <t>• Uses live formulas (COUNTA, COUNTIF) referencing the Releases sheet</t>
  </si>
  <si>
    <t>• Stats update automatically as data changes</t>
  </si>
  <si>
    <t>• Includes: Total Releases, Active Conflicts, Blocked Releases, P1 Critical, Pending CAB, Approved</t>
  </si>
  <si>
    <t>9.5 CHANGE LOG</t>
  </si>
  <si>
    <t>Change</t>
  </si>
  <si>
    <t>Added Landing Page sheet</t>
  </si>
  <si>
    <t>New entry point for web application</t>
  </si>
  <si>
    <t>Added Quick Reference sections to 12 sheets</t>
  </si>
  <si>
    <t>Improved usability with collapsible help</t>
  </si>
  <si>
    <t>Enhanced Full Documentation guides</t>
  </si>
  <si>
    <t>Comprehensive help for all operational pages</t>
  </si>
  <si>
    <t>Updated README with new sections</t>
  </si>
  <si>
    <t>Documentation of all enhancements</t>
  </si>
  <si>
    <t>Release Calendar legend added</t>
  </si>
  <si>
    <t>Visual guide for calendar event types</t>
  </si>
  <si>
    <t>Risk Factor documentation clarified</t>
  </si>
  <si>
    <t>Notes about immediate release calculations</t>
  </si>
  <si>
    <t>TECHNICAL SPECIFICATIONS - Release Desk Data Dictionary</t>
  </si>
  <si>
    <t>PURPOSE OF THIS DOCUMENT</t>
  </si>
  <si>
    <t>═══════════════════════════════════════════════════════════════════════════════════════════════════════════════════════════════════════════</t>
  </si>
  <si>
    <t>This sheet contains technical specifications for developers building the Release Desk application.</t>
  </si>
  <si>
    <t>CONTENTS:</t>
  </si>
  <si>
    <t>• Data types, Primary Keys (PK), and Foreign Keys (FK) for each table/sheet</t>
  </si>
  <si>
    <t>• Entity relationship diagrams showing how data connects</t>
  </si>
  <si>
    <t>• Validation rules and integrity constraints</t>
  </si>
  <si>
    <t>• Cardinality (1:1, 1:M, M:M relationships)</t>
  </si>
  <si>
    <t>WHO SHOULD USE THIS:</t>
  </si>
  <si>
    <t>• Backend developers implementing the database schema</t>
  </si>
  <si>
    <t>• API developers creating endpoints</t>
  </si>
  <si>
    <t>• Data engineers setting up integrations</t>
  </si>
  <si>
    <t>FOR WIREFRAME/PROTOTYPE BUILDERS:</t>
  </si>
  <si>
    <t>Refer to the README sheet instead - it focuses on UI screens, business rules, and user workflows.</t>
  </si>
  <si>
    <t>This technical sheet is NOT required for creating wireframes or UI mockups.</t>
  </si>
  <si>
    <t>SECTION 1: ENTITY RELATIONSHIPS (DATA MODEL)</t>
  </si>
  <si>
    <t>This diagram shows how the data entities connect across the Release Desk system.</t>
  </si>
  <si>
    <t>│  (Reference Data    │   1:M    │   (Applications     │   M:1    │    (Releases        │</t>
  </si>
  <si>
    <t>│       Sheet)        │          │       Sheet)        │          │       Sheet)        │</t>
  </si>
  <si>
    <t xml:space="preserve">                                 ┌─────────────────────┐                   │ 1:M</t>
  </si>
  <si>
    <t xml:space="preserve">                                 │   ENVIRONMENTS      │                   │</t>
  </si>
  <si>
    <t xml:space="preserve">                                 │  (6 per Application)│                   ▼</t>
  </si>
  <si>
    <t xml:space="preserve">                                 │  Dev,Test,UAT,      │          ┌─────────────────────┐</t>
  </si>
  <si>
    <t xml:space="preserve">                                 │  Pre-prod,Prod,DR   │          │    ENV BOOKING      │</t>
  </si>
  <si>
    <t xml:space="preserve">                                 └─────────────────────┘          │   (Env booking      │</t>
  </si>
  <si>
    <t xml:space="preserve">                                                                  │       Sheet)        │</t>
  </si>
  <si>
    <t>┌─────────────────────┐                                           │  FK: Release ID     │</t>
  </si>
  <si>
    <t>│       USERS         │◄──────────────────────────────────────────│  FK: Application    │</t>
  </si>
  <si>
    <t>│    (Users Sheet)    │   M:M (Stakeholders)                      └─────────────────────┘</t>
  </si>
  <si>
    <t>│ (Leave Calendar     │     │    (Risk Sheet)     │     │  (Dependencies      │</t>
  </si>
  <si>
    <t>│       Sheet)        │     │  FK: Release ID     │     │       Sheet)        │</t>
  </si>
  <si>
    <t>│  FK: User ID        │     │  FK: Risk Owner ID  │     │  FK: Release ID     │</t>
  </si>
  <si>
    <t>│  FK: Affected Rel.  │     └─────────────────────┘     │  FK: Depends On ID  │</t>
  </si>
  <si>
    <t>└─────────────────────┘                                 └─────────────────────┘</t>
  </si>
  <si>
    <t>FK Column</t>
  </si>
  <si>
    <t>→</t>
  </si>
  <si>
    <t>PK Column</t>
  </si>
  <si>
    <t>Application Name</t>
  </si>
  <si>
    <t>User ID (M:M)</t>
  </si>
  <si>
    <t>Depends On ID</t>
  </si>
  <si>
    <t>SECTION 2: DETAILED SCHEMA DOCUMENTATION</t>
  </si>
  <si>
    <t>DATA TYPE LEGEND:</t>
  </si>
  <si>
    <t>• TEXT: Free-form text string</t>
  </si>
  <si>
    <t>• INT: Integer number</t>
  </si>
  <si>
    <t>• DATE: Date in YYYY-MM-DD format</t>
  </si>
  <si>
    <t>• DECIMAL: Number with decimal places</t>
  </si>
  <si>
    <t>• ENUM: Value from predefined list (see Reference Data sheet)</t>
  </si>
  <si>
    <t>• FK: Foreign key - must match value in referenced table</t>
  </si>
  <si>
    <t>• BOOL: Boolean (Yes/No or True/False)</t>
  </si>
  <si>
    <t>• ID: Auto-generated unique identifier</t>
  </si>
  <si>
    <t>Business owner name (first row only)</t>
  </si>
  <si>
    <t>Primary business owner</t>
  </si>
  <si>
    <t>Technical lead name (first row only)</t>
  </si>
  <si>
    <t>Technical lead contact</t>
  </si>
  <si>
    <t>Person responsible for this environment</t>
  </si>
  <si>
    <t>• Each application appears 6 times (once per environment type: Dev, Test, UAT, Pre-prod, Prod, DR)</t>
  </si>
  <si>
    <t>• Application Owner and Tech Lead only populated on Dev environment row</t>
  </si>
  <si>
    <t>• Env Owner varies by environment type (Dev Mgr, QA Lead, Business Analyst, Release Mgr, Ops Mgr, Infra Lead)</t>
  </si>
  <si>
    <t>SHEET: Releases | Range: A1:AB81 | Records: 80 releases</t>
  </si>
  <si>
    <t>Format: REL-NNNN; Auto-generated; PK</t>
  </si>
  <si>
    <t>Max 200 chars; Include version number</t>
  </si>
  <si>
    <t>Descriptive name with version</t>
  </si>
  <si>
    <t>ENUM/FK</t>
  </si>
  <si>
    <t>Must exist in Reference Data sheet</t>
  </si>
  <si>
    <t>Owning business unit</t>
  </si>
  <si>
    <t>TEXT/FK</t>
  </si>
  <si>
    <t>Must exist in Applications sheet</t>
  </si>
  <si>
    <t>Target application name</t>
  </si>
  <si>
    <t>Comma-separated list or 'NA'</t>
  </si>
  <si>
    <t>Other releases this depends on</t>
  </si>
  <si>
    <t>Valid: Small, Medium, Large</t>
  </si>
  <si>
    <t>Effort estimation category</t>
  </si>
  <si>
    <t>Valid: High, Medium, Low</t>
  </si>
  <si>
    <t>Valid: P1 - Critical, P2 - High, P3 - Medium, P4 - Low</t>
  </si>
  <si>
    <t>Urgency classification</t>
  </si>
  <si>
    <t>YYYY-MM-DD format</t>
  </si>
  <si>
    <t>Change Advisory Board review date</t>
  </si>
  <si>
    <t>Must be &gt;= CAB Date</t>
  </si>
  <si>
    <t>Planned deployment start</t>
  </si>
  <si>
    <t>Must be &gt;= Start Date</t>
  </si>
  <si>
    <t>Planned deployment completion</t>
  </si>
  <si>
    <t>Environment code from Applications</t>
  </si>
  <si>
    <t>Test environment needed</t>
  </si>
  <si>
    <t>UAT environment needed</t>
  </si>
  <si>
    <t>12 valid status values (see Reference Data)</t>
  </si>
  <si>
    <t>Current workflow state</t>
  </si>
  <si>
    <t>⚠️ CONFLICT or blank</t>
  </si>
  <si>
    <t>Resource/schedule conflict indicator</t>
  </si>
  <si>
    <t>0-100; Format as percentage</t>
  </si>
  <si>
    <t>Overall readiness score</t>
  </si>
  <si>
    <t>Description of blocking issues</t>
  </si>
  <si>
    <t>What's preventing progress</t>
  </si>
  <si>
    <t>Vendor window description</t>
  </si>
  <si>
    <t>Vendor-dependent timing</t>
  </si>
  <si>
    <t>Freeze period name if applicable</t>
  </si>
  <si>
    <t>Blocked by freeze period</t>
  </si>
  <si>
    <t>Compliance requirements</t>
  </si>
  <si>
    <t>Regulatory considerations</t>
  </si>
  <si>
    <t>ID/FK</t>
  </si>
  <si>
    <t>Must exist in Users sheet</t>
  </si>
  <si>
    <t>Primary responsible person</t>
  </si>
  <si>
    <t>CAB workflow states</t>
  </si>
  <si>
    <t>CAB approval status</t>
  </si>
  <si>
    <t>Release IDs this depends on</t>
  </si>
  <si>
    <t>Dependency chain</t>
  </si>
  <si>
    <t>Valid: Ready, In Progress, At Risk</t>
  </si>
  <si>
    <t>Rollback preparedness</t>
  </si>
  <si>
    <t>Comma-separated User IDs</t>
  </si>
  <si>
    <t>Interested parties (M:M)</t>
  </si>
  <si>
    <t>AB</t>
  </si>
  <si>
    <t>Valid: Business Hours, Off-Peak, Weekend</t>
  </si>
  <si>
    <t>Deployment timing preference</t>
  </si>
  <si>
    <t>SHEET: Env booking | Range: A1:I102 | Records: 101 environment bookings</t>
  </si>
  <si>
    <t>Format: ENV-NNNN; Auto-generated; PK</t>
  </si>
  <si>
    <t>Must exist in Releases sheet</t>
  </si>
  <si>
    <t>Application requiring environment</t>
  </si>
  <si>
    <t>Env Type</t>
  </si>
  <si>
    <t>Environment type being booked</t>
  </si>
  <si>
    <t>Booking start date</t>
  </si>
  <si>
    <t>Booking end date</t>
  </si>
  <si>
    <t>Valid: Confirmed, Pending, Cancelled</t>
  </si>
  <si>
    <t>Booking status</t>
  </si>
  <si>
    <t>Conflict description if overlapping</t>
  </si>
  <si>
    <t>Environment conflict indicator</t>
  </si>
  <si>
    <t>Additional booking notes</t>
  </si>
  <si>
    <t>SHEET: Risk | Range: A1:K32 | Records: 31 risks</t>
  </si>
  <si>
    <t>Format: RSK-NNNN; Auto-generated; PK</t>
  </si>
  <si>
    <t>Technical, Business, Resource, Timeline, External</t>
  </si>
  <si>
    <t>Classification of risk type</t>
  </si>
  <si>
    <t>1-5 scale (see Reference Data)</t>
  </si>
  <si>
    <t>Severity if occurs</t>
  </si>
  <si>
    <t>Formula: Likelihood × Impact (1-25)</t>
  </si>
  <si>
    <t>Composite risk score</t>
  </si>
  <si>
    <t>Mitigation Plan</t>
  </si>
  <si>
    <t>Risk mitigation approach</t>
  </si>
  <si>
    <t>Current risk status</t>
  </si>
  <si>
    <t>Review Date</t>
  </si>
  <si>
    <t>Next review date</t>
  </si>
  <si>
    <t>ADDITIONAL SHEET SCHEMAS (SUMMARY)</t>
  </si>
  <si>
    <t>The following sheets follow similar patterns. Key columns are listed below:</t>
  </si>
  <si>
    <t>SHEET: Calendar | Primary Key: Event ID | Foreign Keys: Release ID</t>
  </si>
  <si>
    <t xml:space="preserve">  - Columns: Event ID, Release ID, Event Type, Event Date, Start Time, End Time, Description, Location, Attendees</t>
  </si>
  <si>
    <t>SHEET: Dependencies | Primary Key: Dependency ID | Foreign Keys: Release ID, Depends On Release ID</t>
  </si>
  <si>
    <t xml:space="preserve">  - Columns: Dependency ID, Release ID, Depends On, Dependency Type, Status, Description, Blocking</t>
  </si>
  <si>
    <t>SHEET: Approvals | Primary Key: Approval ID | Foreign Keys: Release ID, Approver ID</t>
  </si>
  <si>
    <t xml:space="preserve">  - Columns: Approval ID, Release ID, Approval Type, Approver ID, Status, Requested Date, Decided Date, Comments</t>
  </si>
  <si>
    <t>SHEET: Leave Calendar | Primary Key: Leave ID | Foreign Keys: User ID, Affected Release ID</t>
  </si>
  <si>
    <t xml:space="preserve">  - Columns: Leave ID, User ID, Leave Type, Start Date, End Date, Affected Release, Backup Contact, Status</t>
  </si>
  <si>
    <t>SHEET: Drift | Primary Key: Drift ID | Foreign Keys: Release ID, Application</t>
  </si>
  <si>
    <t xml:space="preserve">  - Columns: Drift ID, Release ID, Application, Drift Type, Original Date, New Date, Drift Reason, Impact, Status</t>
  </si>
  <si>
    <t>SHEET: Versions | Primary Key: Version ID | Foreign Keys: Release ID, Application</t>
  </si>
  <si>
    <t xml:space="preserve">  - Columns: Version ID, Release ID, Application, Version Number, Environment, Deployed Date, Deployed By, Status</t>
  </si>
  <si>
    <t>SHEET: System Mapping | Primary Key: Mapping ID | Foreign Keys: Source Application, Target Application</t>
  </si>
  <si>
    <t xml:space="preserve">  - Columns: Mapping ID, Source App, Target App, Integration Type, Data Flow, Frequency, Status, Owner</t>
  </si>
  <si>
    <t>SHEET: Monitoring Alerts | Primary Key: Alert ID | Foreign Keys: Application</t>
  </si>
  <si>
    <t xml:space="preserve">  - Columns: Alert ID, Timestamp, Application, Department, Alert Type, Severity, Metric, Threshold, Status</t>
  </si>
  <si>
    <t>SHEET: Incidents | Primary Key: Incident ID | Foreign Keys: Application, Related Release</t>
  </si>
  <si>
    <t xml:space="preserve">  - Columns: Incident ID, Timestamp, Application, Severity (P1-P3), Title, Status, Impact, Assigned To</t>
  </si>
  <si>
    <t>SHEET: Application Status | Primary Key: Composite (Application + Environment) | Foreign Keys: Application</t>
  </si>
  <si>
    <t xml:space="preserve">  - Columns: Application, Department, Environment, Status (Healthy/Degraded/Down), Last Check, Uptime %, Notes</t>
  </si>
  <si>
    <t>SHEET: Planned Maintenance | Primary Key: Maintenance ID | Foreign Keys: Application</t>
  </si>
  <si>
    <t xml:space="preserve">  - Columns: Maintenance ID, Scheduled Date, Start Time, End Time, Type, Application, Environment, Impact</t>
  </si>
  <si>
    <t>SHEET: Users | Primary Key: User ID | Foreign Keys: Department</t>
  </si>
  <si>
    <t xml:space="preserve">  - Columns: User ID, Name, Email, Department, Role, Manager ID, Active Status, Phone, Last Login</t>
  </si>
  <si>
    <t>SECTION 3: DATA VALIDATION RULES &amp; INTEGRITY CHECKS</t>
  </si>
  <si>
    <t>These rules must be enforced in the application to maintain data integrity.</t>
  </si>
  <si>
    <t>REFERENTIAL INTEGRITY (FK must exist in target table):</t>
  </si>
  <si>
    <t>• Releases.Department → Reference Data.Departments</t>
  </si>
  <si>
    <t>• Releases.Application → Applications.Application</t>
  </si>
  <si>
    <t>• Releases.Release Owner ID → Users.User ID</t>
  </si>
  <si>
    <t>• Env booking.Release ID → Releases.Release ID</t>
  </si>
  <si>
    <t>• Risk.Release ID → Releases.Release ID</t>
  </si>
  <si>
    <t>• Dependencies.Release ID → Releases.Release ID</t>
  </si>
  <si>
    <t>• Approvals.Release ID → Releases.Release ID</t>
  </si>
  <si>
    <t>DATE VALIDATION RULES:</t>
  </si>
  <si>
    <t>• Release Start Date ≥ CAB Date (cannot deploy before approval)</t>
  </si>
  <si>
    <t>• Release End Date ≥ Start Date (logical duration)</t>
  </si>
  <si>
    <t>• Booking End Date ≥ Booking Start Date</t>
  </si>
  <si>
    <t>• Leave End Date ≥ Leave Start Date</t>
  </si>
  <si>
    <t>BUSINESS LOGIC VALIDATIONS:</t>
  </si>
  <si>
    <t>• Readiness % must be 0-100</t>
  </si>
  <si>
    <t>• Go-Live Checklist % must be 0-100</t>
  </si>
  <si>
    <t>• Risk Score = Likelihood × Impact (auto-calculated)</t>
  </si>
  <si>
    <t>• Risk Score must be 1-25 (1×1 to 5×5)</t>
  </si>
  <si>
    <t>• Status transitions must follow workflow (see Reference Data sheet)</t>
  </si>
  <si>
    <t>• Cannot approve release during Change Freeze period</t>
  </si>
  <si>
    <t>UNIQUE CONSTRAINTS:</t>
  </si>
  <si>
    <t>• Release ID must be unique across all releases</t>
  </si>
  <si>
    <t>• User ID must be unique across all users</t>
  </si>
  <si>
    <t>• Application name must be unique within department</t>
  </si>
  <si>
    <t>CASCADE RULES:</t>
  </si>
  <si>
    <t>• Deleting a Release should orphan-check: Env bookings, Risks, Dependencies, Approvals</t>
  </si>
  <si>
    <t>• Deleting a User should orphan-check: Release Ownership, Risk Ownership, Approvals</t>
  </si>
  <si>
    <t>SECTION 4: DOCUMENT METADATA</t>
  </si>
  <si>
    <t>Document Title: Release Desk - Technical Specifications</t>
  </si>
  <si>
    <t>Version: 1.1</t>
  </si>
  <si>
    <t>Created: June 28, 2026</t>
  </si>
  <si>
    <t>Purpose: Database schema and data validation rules for application development</t>
  </si>
  <si>
    <t>Related Document: README sheet (for UI/wireframe specifications)</t>
  </si>
  <si>
    <t>NOTES FOR DEVELOPERS:</t>
  </si>
  <si>
    <t>• All IDs use format: PREFIX-NNNN (e.g., REL-0001, USR-001, RSK-001)</t>
  </si>
  <si>
    <t>• Dates should be stored in YYYY-MM-DD format for sorting</t>
  </si>
  <si>
    <t>• ENUM values are defined in Reference Data sheet - use dropdowns in UI</t>
  </si>
  <si>
    <t>• Foreign key relationships must be validated before saving records</t>
  </si>
  <si>
    <t>• Workflow state transitions must follow defined paths (see Reference Data sheet)</t>
  </si>
  <si>
    <t>• Risk Score is calculated field: Likelihood × Impact</t>
  </si>
  <si>
    <t>END OF TECHNICAL SPECIFICATIONS</t>
  </si>
  <si>
    <t>Technical Specifications</t>
  </si>
  <si>
    <t>QUICK NAVIGATION BY AUDIENCE:</t>
  </si>
  <si>
    <t>┌──────────────────────────┬───────────────────────────────────────────────────────────────────────┐</t>
  </si>
  <si>
    <t>│ 🎨 WIREFRAME BUILDERS    │ Focus on: Sections 5, 6, 7 | Skip: Sections 3, 4, 8                  │</t>
  </si>
  <si>
    <t>│ 💻 BACKEND DEVELOPERS    │ Use: 'Technical Specifications' sheet for schema, FK/PK, validation │</t>
  </si>
  <si>
    <t>│ 📋 EVERYONE              │ Start: Section 2 (Sheet Inventory) for navigation                   │</t>
  </si>
  <si>
    <t>└──────────────────────────┴───────────────────────────────────────────────────────────────────────┘</t>
  </si>
  <si>
    <t>Developer Reference</t>
  </si>
  <si>
    <t>SECTION 3: TECHNICAL SPECIFICATIONS</t>
  </si>
  <si>
    <t>📋 FOR TECHNICAL DETAILS (Entity Relationships, Foreign Keys, Data Types, Validation Rules):</t>
  </si>
  <si>
    <t>This README focuses on helping wireframe/prototype builders understand:</t>
  </si>
  <si>
    <t xml:space="preserve">   • What each sheet contains (Section 2: Sheet Inventory)</t>
  </si>
  <si>
    <t>SECTION 4: BUSINESS RULES &amp; SIMULATION SCENARIOS</t>
  </si>
  <si>
    <t>SECTION 5: UI SCREEN MAPPING SUGGESTIONS FOR PROTOTYPE</t>
  </si>
  <si>
    <t>SECTION 6: SIMULATION SCENARIOS FOR PROTOTYPE TESTING</t>
  </si>
  <si>
    <t>SECTION 7: DOCUMENT METADATA</t>
  </si>
  <si>
    <t>SECTION 8: RECENT ENHANCEMENTS &amp; NEW FEATURES (June 2026)</t>
  </si>
  <si>
    <t>A1:H60</t>
  </si>
  <si>
    <t>Home Page, Entry Point</t>
  </si>
  <si>
    <t>Dashboard</t>
  </si>
  <si>
    <t>A1:J47</t>
  </si>
  <si>
    <t>Real-time metrics and status overview</t>
  </si>
  <si>
    <t>Executive Dashboard</t>
  </si>
  <si>
    <t>A1:F489</t>
  </si>
  <si>
    <t>User guide for wireframe/prototype builders</t>
  </si>
  <si>
    <t>Help, Documentation</t>
  </si>
  <si>
    <t>A1:F309</t>
  </si>
  <si>
    <t>Database schema, FK/PK for developers</t>
  </si>
  <si>
    <t>A1:F244</t>
  </si>
  <si>
    <t>RM Admin Panel</t>
  </si>
  <si>
    <t>A1:AC84</t>
  </si>
  <si>
    <t>Release Dashboard, Pipeline</t>
  </si>
  <si>
    <t>A1:J180</t>
  </si>
  <si>
    <t>166+ events (releases, CAB, freezes)</t>
  </si>
  <si>
    <t>A1:V115</t>
  </si>
  <si>
    <t>A1:AX227</t>
  </si>
  <si>
    <t>Risk scoring weights and calculations</t>
  </si>
  <si>
    <t>Risk Configuration</t>
  </si>
  <si>
    <t>A1:T118</t>
  </si>
  <si>
    <t>Active risks for releases</t>
  </si>
  <si>
    <t>A1:N74</t>
  </si>
  <si>
    <t>Environment/config drift issues</t>
  </si>
  <si>
    <t>A1:K95</t>
  </si>
  <si>
    <t>Release-to-release dependencies</t>
  </si>
  <si>
    <t>A1:L95</t>
  </si>
  <si>
    <t>CAB approval workflow records</t>
  </si>
  <si>
    <t>Approval Workflow</t>
  </si>
  <si>
    <t>A1:L92</t>
  </si>
  <si>
    <t>Leave records affecting releases</t>
  </si>
  <si>
    <t>Resource Availability</t>
  </si>
  <si>
    <t>A1:J242</t>
  </si>
  <si>
    <t>Version tracking across environments</t>
  </si>
  <si>
    <t>A1:K195</t>
  </si>
  <si>
    <t>System Map, Integrations</t>
  </si>
  <si>
    <t>A1:L122</t>
  </si>
  <si>
    <t>System alerts and notifications</t>
  </si>
  <si>
    <t>Alerts Dashboard</t>
  </si>
  <si>
    <t>A1:K86</t>
  </si>
  <si>
    <t>Incident Management</t>
  </si>
  <si>
    <t>A1:G105</t>
  </si>
  <si>
    <t>Real-time application health</t>
  </si>
  <si>
    <t>Health Status Dashboard</t>
  </si>
  <si>
    <t>A1:L89</t>
  </si>
  <si>
    <t>Scheduled maintenance windows</t>
  </si>
  <si>
    <t>Maintenance Calendar</t>
  </si>
  <si>
    <t xml:space="preserve">   → See the 'Technical Specifications' sheet (Sheet #3)</t>
  </si>
  <si>
    <t xml:space="preserve">   • Business rules and workflows (Section 4)</t>
  </si>
  <si>
    <t xml:space="preserve">   • UI screen suggestions (Section 5)</t>
  </si>
  <si>
    <t xml:space="preserve">   • Test scenarios for prototypes (Section 6)</t>
  </si>
  <si>
    <t>RELEASES PAGE - FUNCTIONAL SPECIFICATION</t>
  </si>
  <si>
    <t>Document Version:</t>
  </si>
  <si>
    <t>Last Updated:</t>
  </si>
  <si>
    <t>TABLE OF CONTENTS</t>
  </si>
  <si>
    <t>Global Layout &amp; UI Shell</t>
  </si>
  <si>
    <t>Row 12</t>
  </si>
  <si>
    <t>Releases Data Grid</t>
  </si>
  <si>
    <t>Row 35</t>
  </si>
  <si>
    <t>Filter System</t>
  </si>
  <si>
    <t>Row 75</t>
  </si>
  <si>
    <t>Pagination</t>
  </si>
  <si>
    <t>Row 115</t>
  </si>
  <si>
    <t>User Preferences &amp; Persistence</t>
  </si>
  <si>
    <t>Row 140</t>
  </si>
  <si>
    <t>Interactions &amp; Behaviors</t>
  </si>
  <si>
    <t>Row 165</t>
  </si>
  <si>
    <t>Error Handling &amp; Accessibility</t>
  </si>
  <si>
    <t>Row 195</t>
  </si>
  <si>
    <t>1. GLOBAL LAYOUT &amp; UI SHELL</t>
  </si>
  <si>
    <t>1.1 TOP HEADER BAR</t>
  </si>
  <si>
    <t>Component</t>
  </si>
  <si>
    <t>Specification</t>
  </si>
  <si>
    <t>Behavior</t>
  </si>
  <si>
    <t>Application Logo</t>
  </si>
  <si>
    <t>Left-aligned, fixed position, clickable</t>
  </si>
  <si>
    <t>Click → Navigate to Landing Page/Dashboard</t>
  </si>
  <si>
    <t>Release Desk' text next to logo</t>
  </si>
  <si>
    <t>Static display, acts as brand identifier</t>
  </si>
  <si>
    <t>Search Bar</t>
  </si>
  <si>
    <t>Center position, global search input</t>
  </si>
  <si>
    <t>Type → Live search across releases, users, apps</t>
  </si>
  <si>
    <t>Notifications Bell</t>
  </si>
  <si>
    <t>Right side, icon with badge count</t>
  </si>
  <si>
    <t>Click → Dropdown with recent notifications</t>
  </si>
  <si>
    <t>User Avatar/Name</t>
  </si>
  <si>
    <t>Right side, shows logged-in user</t>
  </si>
  <si>
    <t>Click → Dropdown: Profile, Settings, Help</t>
  </si>
  <si>
    <t>Logout Button</t>
  </si>
  <si>
    <t>Inside user dropdown or standalone</t>
  </si>
  <si>
    <t>Click → Confirm dialog → Logout → Login page</t>
  </si>
  <si>
    <t>Header Height</t>
  </si>
  <si>
    <t>Fixed 60px height</t>
  </si>
  <si>
    <t>Always visible, sticky position on scroll</t>
  </si>
  <si>
    <t>1.2 LEFT NAVIGATION PANEL</t>
  </si>
  <si>
    <t>Property</t>
  </si>
  <si>
    <t>Position</t>
  </si>
  <si>
    <t>Fixed left side, full viewport height minus header</t>
  </si>
  <si>
    <t>Remains visible during page scroll</t>
  </si>
  <si>
    <t>Width (Expanded)</t>
  </si>
  <si>
    <t>240px - shows icon + label text</t>
  </si>
  <si>
    <t>Default state for desktop users</t>
  </si>
  <si>
    <t>Width (Collapsed)</t>
  </si>
  <si>
    <t>60px - shows icons only</t>
  </si>
  <si>
    <t>Hover on icon shows tooltip with label</t>
  </si>
  <si>
    <t>Toggle Control</t>
  </si>
  <si>
    <t>Hamburger menu icon or &lt;&lt; &gt;&gt; arrows</t>
  </si>
  <si>
    <t>Click toggles expand/collapse state</t>
  </si>
  <si>
    <t>State Persistence</t>
  </si>
  <si>
    <t>Collapse state saved in user preferences</t>
  </si>
  <si>
    <t>Remembered across sessions</t>
  </si>
  <si>
    <t>Active Page Indicator</t>
  </si>
  <si>
    <t>Highlight/accent color on current page</t>
  </si>
  <si>
    <t>Left border accent + background highlight</t>
  </si>
  <si>
    <t>Navigation Items</t>
  </si>
  <si>
    <t>Dashboard, Releases, Calendar, Risks, Env Booking, Dependencies, Approvals, Admin</t>
  </si>
  <si>
    <t>Icons + Labels, grouped by category</t>
  </si>
  <si>
    <t>Responsive Behavior</t>
  </si>
  <si>
    <t>Auto-collapse on screens &lt; 1024px</t>
  </si>
  <si>
    <t>Mobile: Overlay drawer with backdrop</t>
  </si>
  <si>
    <t>2. RELEASES DATA GRID</t>
  </si>
  <si>
    <t>2.1 GRID COLUMNS SPECIFICATION</t>
  </si>
  <si>
    <t>Sortable</t>
  </si>
  <si>
    <t>Width</t>
  </si>
  <si>
    <t>Display Format</t>
  </si>
  <si>
    <t>Actions</t>
  </si>
  <si>
    <t>Icons</t>
  </si>
  <si>
    <t>120px</t>
  </si>
  <si>
    <t>View, Edit, Delete icons (permission-based visibility)</t>
  </si>
  <si>
    <t>2.2 Release ID Hyperlink Behavior</t>
  </si>
  <si>
    <t>Link Target</t>
  </si>
  <si>
    <t>/releases/{Release_ID} - Individual Release Detail Page</t>
  </si>
  <si>
    <t>Link Style</t>
  </si>
  <si>
    <t>Blue text, underline on hover, pointer cursor</t>
  </si>
  <si>
    <t>Click Behavior</t>
  </si>
  <si>
    <t>Single click navigates to Release Detail page</t>
  </si>
  <si>
    <t>Open in New Tab</t>
  </si>
  <si>
    <t>Ctrl+Click OR Middle-Click opens in new tab</t>
  </si>
  <si>
    <t>Tooltip</t>
  </si>
  <si>
    <t>"Click to view release details" on hover</t>
  </si>
  <si>
    <t>2.3 Sorting Behavior</t>
  </si>
  <si>
    <t>Sortable Columns</t>
  </si>
  <si>
    <t>All columns marked 'Sortable=Yes' in grid spec</t>
  </si>
  <si>
    <t>Sort Indicator</t>
  </si>
  <si>
    <t>▲ for ascending, ▼ for descending, next to column header</t>
  </si>
  <si>
    <t>Default Sort</t>
  </si>
  <si>
    <t>Start Date (Ascending) - nearest releases first</t>
  </si>
  <si>
    <t>Multi-Column Sort</t>
  </si>
  <si>
    <t>Shift+Click adds secondary sort column</t>
  </si>
  <si>
    <t>Sort Persistence</t>
  </si>
  <si>
    <t>User sort preference saved in localStorage per user</t>
  </si>
  <si>
    <t>5.2 Non-Persisted Settings (Session Only)</t>
  </si>
  <si>
    <t>Setting</t>
  </si>
  <si>
    <t>Reason</t>
  </si>
  <si>
    <t>Active Filter Values</t>
  </si>
  <si>
    <t>User expects fresh view on new session; filters reset to defaults</t>
  </si>
  <si>
    <t>Current Page Number</t>
  </si>
  <si>
    <t>Always start at page 1; data may have changed</t>
  </si>
  <si>
    <t>Selected Rows</t>
  </si>
  <si>
    <t>Selection is temporary; cleared on navigation/refresh</t>
  </si>
  <si>
    <t>Search Query</t>
  </si>
  <si>
    <t>Global search cleared on page load</t>
  </si>
  <si>
    <t>SECTION 6: INTERACTIONS &amp; BEHAVIORS</t>
  </si>
  <si>
    <t>6.1 Click Actions</t>
  </si>
  <si>
    <t>Element</t>
  </si>
  <si>
    <t>Single Click</t>
  </si>
  <si>
    <t>Ctrl+Click</t>
  </si>
  <si>
    <t>Double Click</t>
  </si>
  <si>
    <t>Navigate to Release Detail page</t>
  </si>
  <si>
    <t>Open Release Detail in new tab</t>
  </si>
  <si>
    <t>Same as single click</t>
  </si>
  <si>
    <t>Data Row</t>
  </si>
  <si>
    <t>Highlight row (selection)</t>
  </si>
  <si>
    <t>Add row to multi-selection</t>
  </si>
  <si>
    <t>Open Release Detail page</t>
  </si>
  <si>
    <t>Row Checkbox</t>
  </si>
  <si>
    <t>Toggle row selection</t>
  </si>
  <si>
    <t>Column Header</t>
  </si>
  <si>
    <t>Sort by column (toggle asc/desc)</t>
  </si>
  <si>
    <t>Action Icons</t>
  </si>
  <si>
    <t>Execute action (View/Edit/Delete)</t>
  </si>
  <si>
    <t>Open in new tab (View/Edit)</t>
  </si>
  <si>
    <t>6.2 Hover States</t>
  </si>
  <si>
    <t>Hover Effect</t>
  </si>
  <si>
    <t>Background: #F5F5F5 (light gray), cursor: default</t>
  </si>
  <si>
    <t>Release ID Link</t>
  </si>
  <si>
    <t>Text: underline, cursor: pointer, tooltip appears</t>
  </si>
  <si>
    <t>Icon: highlight/scale, tooltip shows action name</t>
  </si>
  <si>
    <t>Sortable Header</t>
  </si>
  <si>
    <t>Background: darker shade, cursor: pointer, sort hint tooltip</t>
  </si>
  <si>
    <t>Filter Dropdowns</t>
  </si>
  <si>
    <t>Border: highlight color, cursor: pointer</t>
  </si>
  <si>
    <t>Pagination Buttons</t>
  </si>
  <si>
    <t>Background: highlight, cursor: pointer (except disabled)</t>
  </si>
  <si>
    <t>6.3 Keyboard Navigation</t>
  </si>
  <si>
    <t>Key</t>
  </si>
  <si>
    <t>Tab</t>
  </si>
  <si>
    <t>Move focus to next interactive element</t>
  </si>
  <si>
    <t>Shift+Tab</t>
  </si>
  <si>
    <t>Move focus to previous interactive element</t>
  </si>
  <si>
    <t>Arrow Up/Down</t>
  </si>
  <si>
    <t>Move selection between rows in data grid</t>
  </si>
  <si>
    <t>Enter</t>
  </si>
  <si>
    <t>Open Release Detail for focused/selected row</t>
  </si>
  <si>
    <t>Space</t>
  </si>
  <si>
    <t>Toggle checkbox for focused row</t>
  </si>
  <si>
    <t>Escape</t>
  </si>
  <si>
    <t>Close open dropdowns, cancel selection, close modals</t>
  </si>
  <si>
    <t>Ctrl+A</t>
  </si>
  <si>
    <t>Select all rows on current page</t>
  </si>
  <si>
    <t>6.4 Loading States</t>
  </si>
  <si>
    <t>Loading Indicator</t>
  </si>
  <si>
    <t>Initial Page Load</t>
  </si>
  <si>
    <t>Full-page spinner with "Loading releases..." text</t>
  </si>
  <si>
    <t>Filter Change</t>
  </si>
  <si>
    <t>Grid overlay spinner, filters remain interactive</t>
  </si>
  <si>
    <t>Grid overlay spinner, pagination controls disabled</t>
  </si>
  <si>
    <t>Sort Change</t>
  </si>
  <si>
    <t>Brief spinner (&lt; 200ms), or skeleton rows for longer loads</t>
  </si>
  <si>
    <t>SECTION 7: ERROR HANDLING &amp; ACCESSIBILITY</t>
  </si>
  <si>
    <t>7.1 Empty States</t>
  </si>
  <si>
    <t>Condition</t>
  </si>
  <si>
    <t>Display</t>
  </si>
  <si>
    <t>No Releases (System)</t>
  </si>
  <si>
    <t>"No releases found. Create your first release." + Create button</t>
  </si>
  <si>
    <t>No Filter Results</t>
  </si>
  <si>
    <t>"No releases match your filters." + Clear Filters button</t>
  </si>
  <si>
    <t>Search No Results</t>
  </si>
  <si>
    <t>"No results for '[query]'. Try different keywords." + suggestion</t>
  </si>
  <si>
    <t>7.2 Error States</t>
  </si>
  <si>
    <t>Error Type</t>
  </si>
  <si>
    <t>User Message</t>
  </si>
  <si>
    <t>Network Error</t>
  </si>
  <si>
    <t>"Unable to load releases. Please check your connection."</t>
  </si>
  <si>
    <t>Retry button</t>
  </si>
  <si>
    <t>Server Error (500)</t>
  </si>
  <si>
    <t>"Something went wrong. Our team has been notified."</t>
  </si>
  <si>
    <t>Retry button, Support link</t>
  </si>
  <si>
    <t>Timeout</t>
  </si>
  <si>
    <t>"Request timed out. Please try again."</t>
  </si>
  <si>
    <t>Permission Denied</t>
  </si>
  <si>
    <t>"You don't have permission to view this release."</t>
  </si>
  <si>
    <t>Back to list, Contact Admin</t>
  </si>
  <si>
    <t>7.3 Accessibility (WCAG 2.1 AA Compliance)</t>
  </si>
  <si>
    <t>Requirement</t>
  </si>
  <si>
    <t>Implementation</t>
  </si>
  <si>
    <t>Color Contrast</t>
  </si>
  <si>
    <t>Minimum 4.5:1 ratio for text, 3:1 for large text and UI components</t>
  </si>
  <si>
    <t>Focus Indicators</t>
  </si>
  <si>
    <t>Visible focus ring (2px solid blue) on all interactive elements</t>
  </si>
  <si>
    <t>ARIA Labels</t>
  </si>
  <si>
    <t>All buttons, icons, and controls have descriptive aria-label</t>
  </si>
  <si>
    <t>Screen Reader</t>
  </si>
  <si>
    <t>Data grid announced as table; live regions for dynamic updates</t>
  </si>
  <si>
    <t>Skip Links</t>
  </si>
  <si>
    <t>"Skip to main content" link at top of page for keyboard users</t>
  </si>
  <si>
    <t>Responsive Text</t>
  </si>
  <si>
    <t>Text scales with browser zoom up to 200% without loss of content</t>
  </si>
  <si>
    <t>7.4 Responsive Design</t>
  </si>
  <si>
    <t>Breakpoint</t>
  </si>
  <si>
    <t>Desktop (&gt;1200px)</t>
  </si>
  <si>
    <t>Full layout: expanded nav, all columns visible, full filter bar</t>
  </si>
  <si>
    <t>Tablet (768-1199px)</t>
  </si>
  <si>
    <t>Collapsed nav by default, horizontal scroll on grid, stacked filters</t>
  </si>
  <si>
    <t>Mobile (&lt;768px)</t>
  </si>
  <si>
    <t>Hamburger menu for nav, card view for releases, bottom sheet for filters</t>
  </si>
  <si>
    <t>--- END OF FUNCTIONAL SPECIFICATION ---</t>
  </si>
  <si>
    <t>Document Version: 1.0 | Last Updated: 29-Jun-2026</t>
  </si>
  <si>
    <t>SECTION 3: FILTER SYSTEM</t>
  </si>
  <si>
    <t>3.1 Filter Bar Layout</t>
  </si>
  <si>
    <t>Fixed below page header, above data grid</t>
  </si>
  <si>
    <t>Background</t>
  </si>
  <si>
    <t>Light gray (#F8F9FA) with 1px bottom border</t>
  </si>
  <si>
    <t>Padding</t>
  </si>
  <si>
    <t>16px vertical, 24px horizontal</t>
  </si>
  <si>
    <t>Collapse/Expand</t>
  </si>
  <si>
    <t>Toggle icon to show/hide filter bar; state persisted</t>
  </si>
  <si>
    <t>3.2 Available Filters</t>
  </si>
  <si>
    <t>Filter Name</t>
  </si>
  <si>
    <t>Options</t>
  </si>
  <si>
    <t>Default</t>
  </si>
  <si>
    <t>Multi-Select</t>
  </si>
  <si>
    <t>Dropdown</t>
  </si>
  <si>
    <t>All, Finance, Logistics, CRM, Manufacturing, IT, HR, Legal, Security</t>
  </si>
  <si>
    <t>All, + Dynamic list from Applications sheet</t>
  </si>
  <si>
    <t>All, Draft, Planning, Testing, Pending CAB, Approved, Blocked</t>
  </si>
  <si>
    <t>Time Period</t>
  </si>
  <si>
    <t>Date Range</t>
  </si>
  <si>
    <t>All Time, This Week, This Month, This Quarter, Custom Range</t>
  </si>
  <si>
    <t>Toggle</t>
  </si>
  <si>
    <t>All, Has Conflict, No Conflict</t>
  </si>
  <si>
    <t>All, P1-Critical, P2-High, P3-Medium, P4-Low</t>
  </si>
  <si>
    <t>3.3 Filter Configuration (Gear Icon)</t>
  </si>
  <si>
    <t>Feature</t>
  </si>
  <si>
    <t>Access</t>
  </si>
  <si>
    <t>Gear icon at end of filter bar opens configuration panel</t>
  </si>
  <si>
    <t>Show/Hide Filters</t>
  </si>
  <si>
    <t>Checkbox list to enable/disable individual filters</t>
  </si>
  <si>
    <t>Filter Order</t>
  </si>
  <si>
    <t>Drag-and-drop to reorder visible filters</t>
  </si>
  <si>
    <t>Save Configuration</t>
  </si>
  <si>
    <t>Save button persists filter visibility and order per user</t>
  </si>
  <si>
    <t>Reset to Default</t>
  </si>
  <si>
    <t>Reset button restores system default filter configuration</t>
  </si>
  <si>
    <t>3.4 Filter Actions</t>
  </si>
  <si>
    <t>Apply</t>
  </si>
  <si>
    <t>Auto-apply on filter change (no Apply button needed)</t>
  </si>
  <si>
    <t>Clear All</t>
  </si>
  <si>
    <t>"Clear Filters" button resets all filters to default, pagination to page 1</t>
  </si>
  <si>
    <t>Result Count</t>
  </si>
  <si>
    <t>Display "Showing X of Y releases" dynamically updated</t>
  </si>
  <si>
    <t>Active Filter Indicator</t>
  </si>
  <si>
    <t>Blue dot or badge on filters with non-default values</t>
  </si>
  <si>
    <t>SECTION 4: PAGINATION SYSTEM</t>
  </si>
  <si>
    <t>4.1 Page Size Options</t>
  </si>
  <si>
    <t>Available Sizes</t>
  </si>
  <si>
    <t>10, 25, 50, 100 releases per page</t>
  </si>
  <si>
    <t>Default Size</t>
  </si>
  <si>
    <t>25 releases per page</t>
  </si>
  <si>
    <t>Size Selector</t>
  </si>
  <si>
    <t>Dropdown: "Show [10/25/50/100] per page"</t>
  </si>
  <si>
    <t>Size Persistence</t>
  </si>
  <si>
    <t>User selection saved in localStorage</t>
  </si>
  <si>
    <t>4.2 Pagination Controls</t>
  </si>
  <si>
    <t>Control</t>
  </si>
  <si>
    <t>First Page</t>
  </si>
  <si>
    <t>«« button - jumps to page 1; disabled on page 1</t>
  </si>
  <si>
    <t>Previous Page</t>
  </si>
  <si>
    <t>« button - goes to previous page; disabled on page 1</t>
  </si>
  <si>
    <t>Page Numbers</t>
  </si>
  <si>
    <t>Show current page + 2 pages before/after (e.g., 1 2 [3] 4 5)</t>
  </si>
  <si>
    <t>Ellipsis</t>
  </si>
  <si>
    <t>"..." shown when pages are skipped (e.g., 1 ... 4 [5] 6 ... 10)</t>
  </si>
  <si>
    <t>Next Page</t>
  </si>
  <si>
    <t>» button - goes to next page; disabled on last page</t>
  </si>
  <si>
    <t>Last Page</t>
  </si>
  <si>
    <t>»» button - jumps to last page; disabled on last page</t>
  </si>
  <si>
    <t>Jump to Page</t>
  </si>
  <si>
    <t>Input field: "Go to page [__]" with Enter to navigate</t>
  </si>
  <si>
    <t>4.3 Position Indicator</t>
  </si>
  <si>
    <t>Format</t>
  </si>
  <si>
    <t>Record Range</t>
  </si>
  <si>
    <t>"Showing 1-25 of 80 releases" (dynamic based on page/filters)</t>
  </si>
  <si>
    <t>Page Position</t>
  </si>
  <si>
    <t>"Page 1 of 4" displayed near pagination controls</t>
  </si>
  <si>
    <t>Location</t>
  </si>
  <si>
    <t>Bottom of data grid, aligned with pagination controls</t>
  </si>
  <si>
    <t>SECTION 5: USER PREFERENCES &amp; PERSISTENCE</t>
  </si>
  <si>
    <t>GLOBAL UI COMPONENTS - FUNCTIONAL SPECIFICATION</t>
  </si>
  <si>
    <t>Version: 1.0</t>
  </si>
  <si>
    <t>Date: 29-Jun-2026</t>
  </si>
  <si>
    <t>Status: Draft</t>
  </si>
  <si>
    <t>Applies To: All Pages</t>
  </si>
  <si>
    <t>Section 1: Top Header Bar</t>
  </si>
  <si>
    <t>Row 10</t>
  </si>
  <si>
    <t>Section 2: Left Navigation Panel</t>
  </si>
  <si>
    <t>Section 3: Page Layout Template</t>
  </si>
  <si>
    <t>Row 70</t>
  </si>
  <si>
    <t>Section 4: Common UI Patterns</t>
  </si>
  <si>
    <t>Row 95</t>
  </si>
  <si>
    <t>SECTION 1: TOP HEADER BAR (GLOBAL)</t>
  </si>
  <si>
    <t>1.1 Header Structure</t>
  </si>
  <si>
    <t>Fixed top, full width, z-index: 1000</t>
  </si>
  <si>
    <t>Height</t>
  </si>
  <si>
    <t>64px</t>
  </si>
  <si>
    <t>#FFFFFF with bottom shadow (0 2px 4px rgba(0,0,0,0.1))</t>
  </si>
  <si>
    <t>Logo Position</t>
  </si>
  <si>
    <t>Left side, 24px from edge, max-height 40px</t>
  </si>
  <si>
    <t>App Name</t>
  </si>
  <si>
    <t>"Release Desk" - 18px bold, adjacent to logo</t>
  </si>
  <si>
    <t>Global Search</t>
  </si>
  <si>
    <t>Center, 400px width, placeholder: "Search releases, apps, users..."</t>
  </si>
  <si>
    <t>User Section</t>
  </si>
  <si>
    <t>Right side: Notifications icon, User Avatar, User Name dropdown</t>
  </si>
  <si>
    <t>Responsive</t>
  </si>
  <si>
    <t>Search collapses to icon on tablet; hamburger menu on mobile</t>
  </si>
  <si>
    <t>1.2 Header Components Detail</t>
  </si>
  <si>
    <t>Click Action</t>
  </si>
  <si>
    <t>Logo</t>
  </si>
  <si>
    <t>Clickable, cursor pointer</t>
  </si>
  <si>
    <t>Navigate to Dashboard/Home</t>
  </si>
  <si>
    <t>"Go to Dashboard"</t>
  </si>
  <si>
    <t>Static text display</t>
  </si>
  <si>
    <t>Expandable, auto-suggest</t>
  </si>
  <si>
    <t>Opens search results overlay</t>
  </si>
  <si>
    <t>"Search (Ctrl+K)"</t>
  </si>
  <si>
    <t>Badge shows unread count (red dot)</t>
  </si>
  <si>
    <t>Opens notification panel</t>
  </si>
  <si>
    <t>"Notifications (X unread)"</t>
  </si>
  <si>
    <t>User Avatar</t>
  </si>
  <si>
    <t>Circular, 32px, initials or photo</t>
  </si>
  <si>
    <t>Opens user dropdown menu</t>
  </si>
  <si>
    <t>"User Menu"</t>
  </si>
  <si>
    <t>Display name + dropdown arrow</t>
  </si>
  <si>
    <t>"Account Settings"</t>
  </si>
  <si>
    <t>Logout</t>
  </si>
  <si>
    <t>Inside user dropdown</t>
  </si>
  <si>
    <t>Confirm dialog → Logout</t>
  </si>
  <si>
    <t>"Sign out of Release Desk"</t>
  </si>
  <si>
    <t>SECTION 2: LEFT NAVIGATION PANEL (GLOBAL)</t>
  </si>
  <si>
    <t>2.1 Navigation Structure</t>
  </si>
  <si>
    <t>Fixed left, below header (top: 64px), full height</t>
  </si>
  <si>
    <t>240px</t>
  </si>
  <si>
    <t>64px (icons only)</t>
  </si>
  <si>
    <t>#F8F9FA light gray</t>
  </si>
  <si>
    <t>Toggle Button</t>
  </si>
  <si>
    <t>Bottom of nav, chevron icon (« / »)</t>
  </si>
  <si>
    <t>Collapse State</t>
  </si>
  <si>
    <t>Persisted in localStorage per user</t>
  </si>
  <si>
    <t>Active Item</t>
  </si>
  <si>
    <t>Blue background highlight, left border indicator</t>
  </si>
  <si>
    <t>Light blue background on hoverable items</t>
  </si>
  <si>
    <t>2.2 Navigation Items</t>
  </si>
  <si>
    <t>Icon</t>
  </si>
  <si>
    <t>Label</t>
  </si>
  <si>
    <t>Route</t>
  </si>
  <si>
    <t>🏠</t>
  </si>
  <si>
    <t>/dashboard</t>
  </si>
  <si>
    <t>Overview and metrics</t>
  </si>
  <si>
    <t>/releases</t>
  </si>
  <si>
    <t>Release management</t>
  </si>
  <si>
    <t>/calendar</t>
  </si>
  <si>
    <t>Release calendar view</t>
  </si>
  <si>
    <t>Env Booking</t>
  </si>
  <si>
    <t>/env-booking</t>
  </si>
  <si>
    <t>Environment reservations</t>
  </si>
  <si>
    <t>/risk-factors</t>
  </si>
  <si>
    <t>Risk scoring model</t>
  </si>
  <si>
    <t>🔄</t>
  </si>
  <si>
    <t>/drift</t>
  </si>
  <si>
    <t>Configuration drift tracking</t>
  </si>
  <si>
    <t>/dependencies</t>
  </si>
  <si>
    <t>Release dependencies</t>
  </si>
  <si>
    <t>/approvals</t>
  </si>
  <si>
    <t>Approval workflows</t>
  </si>
  <si>
    <t>/leave</t>
  </si>
  <si>
    <t>Team availability</t>
  </si>
  <si>
    <t>/versions</t>
  </si>
  <si>
    <t>App version tracking</t>
  </si>
  <si>
    <t>/system-map</t>
  </si>
  <si>
    <t>Integration diagram</t>
  </si>
  <si>
    <t>/monitoring</t>
  </si>
  <si>
    <t>Alert management</t>
  </si>
  <si>
    <t>/incidents</t>
  </si>
  <si>
    <t>Incident tracking</t>
  </si>
  <si>
    <t>💚</t>
  </si>
  <si>
    <t>App Status</t>
  </si>
  <si>
    <t>/app-status</t>
  </si>
  <si>
    <t>Application health</t>
  </si>
  <si>
    <t>/maintenance</t>
  </si>
  <si>
    <t>Planned maintenance</t>
  </si>
  <si>
    <t>⚙️</t>
  </si>
  <si>
    <t>/admin</t>
  </si>
  <si>
    <t>System administration (Admin only)</t>
  </si>
  <si>
    <t>❓</t>
  </si>
  <si>
    <t>Help</t>
  </si>
  <si>
    <t>/help</t>
  </si>
  <si>
    <t>Documentation &amp; support</t>
  </si>
  <si>
    <t>SECTION 3: PAGE LAYOUT TEMPLATE (GLOBAL)</t>
  </si>
  <si>
    <t>3.1 Content Area Structure</t>
  </si>
  <si>
    <t>Right of nav panel, below header (top: 64px, left: 240px/64px)</t>
  </si>
  <si>
    <t>24px all sides</t>
  </si>
  <si>
    <t>#FFFFFF</t>
  </si>
  <si>
    <t>Page Title</t>
  </si>
  <si>
    <t>H1, 24px bold, top-left of content area</t>
  </si>
  <si>
    <t>Breadcrumb</t>
  </si>
  <si>
    <t>Below title: Home &gt; [Section] &gt; [Page]</t>
  </si>
  <si>
    <t>Action Buttons</t>
  </si>
  <si>
    <t>Top-right: Primary actions (Create, Export, etc.)</t>
  </si>
  <si>
    <t>Filter Bar</t>
  </si>
  <si>
    <t>Below title/actions, collapsible</t>
  </si>
  <si>
    <t>Main Content</t>
  </si>
  <si>
    <t>Data grid, cards, or page-specific content below filters</t>
  </si>
  <si>
    <t>3.2 Standard Page Sections (Top to Bottom)</t>
  </si>
  <si>
    <t>Section</t>
  </si>
  <si>
    <t>Page Header</t>
  </si>
  <si>
    <t>Auto (~80px)</t>
  </si>
  <si>
    <t>Title, breadcrumb, action buttons</t>
  </si>
  <si>
    <t>Auto (~60px)</t>
  </si>
  <si>
    <t>Filters, search, filter toggle</t>
  </si>
  <si>
    <t>Data Grid</t>
  </si>
  <si>
    <t>Flex (fills remaining)</t>
  </si>
  <si>
    <t>Main data table or content</t>
  </si>
  <si>
    <t>48px fixed</t>
  </si>
  <si>
    <t>Page controls, record count</t>
  </si>
  <si>
    <t>Footer</t>
  </si>
  <si>
    <t>Optional</t>
  </si>
  <si>
    <t>Page-specific notes or help links</t>
  </si>
  <si>
    <t>SECTION 4: COMMON UI PATTERNS (GLOBAL)</t>
  </si>
  <si>
    <t>4.1 ID Hyperlinks (All Pages)</t>
  </si>
  <si>
    <t>Style</t>
  </si>
  <si>
    <t>Blue text (#0066CC), underline on hover</t>
  </si>
  <si>
    <t>Cursor</t>
  </si>
  <si>
    <t>Pointer</t>
  </si>
  <si>
    <t>Navigate to detail page</t>
  </si>
  <si>
    <t>Open in new tab</t>
  </si>
  <si>
    <t>"Click to view [Entity] details"</t>
  </si>
  <si>
    <t>Pattern</t>
  </si>
  <si>
    <t>/[entity-type]/{ID} (e.g., /releases/REL-0001)</t>
  </si>
  <si>
    <t>4.2 Status Badges</t>
  </si>
  <si>
    <t>Use Case</t>
  </si>
  <si>
    <t>Green (#28A745)</t>
  </si>
  <si>
    <t>Currently running, healthy</t>
  </si>
  <si>
    <t>Yellow (#FFC107)</t>
  </si>
  <si>
    <t>Awaiting action</t>
  </si>
  <si>
    <t>Blue (#007BFF)</t>
  </si>
  <si>
    <t>Approved/completed</t>
  </si>
  <si>
    <t>Red (#DC3545)</t>
  </si>
  <si>
    <t>Blocked, critical issue</t>
  </si>
  <si>
    <t>Gray (#6C757D)</t>
  </si>
  <si>
    <t>Not yet submitted</t>
  </si>
  <si>
    <t>Orange (#FD7E14)</t>
  </si>
  <si>
    <t>Needs attention</t>
  </si>
  <si>
    <t>Dark Red (#721C24)</t>
  </si>
  <si>
    <t>System unavailable</t>
  </si>
  <si>
    <t>Purple (#6F42C1)</t>
  </si>
  <si>
    <t>Under review</t>
  </si>
  <si>
    <t>4.3 Priority Indicators</t>
  </si>
  <si>
    <t>🔴</t>
  </si>
  <si>
    <t>🟠</t>
  </si>
  <si>
    <t>🟡</t>
  </si>
  <si>
    <t>🟢</t>
  </si>
  <si>
    <t>4.4 Confirmation Dialogs</t>
  </si>
  <si>
    <t>Action Type</t>
  </si>
  <si>
    <t>Dialog Title</t>
  </si>
  <si>
    <t>Buttons</t>
  </si>
  <si>
    <t>Delete</t>
  </si>
  <si>
    <t>"Delete [Entity]?"</t>
  </si>
  <si>
    <t>Cancel (gray), Delete (red)</t>
  </si>
  <si>
    <t>"Sign out of Release Desk?"</t>
  </si>
  <si>
    <t>Cancel, Sign Out</t>
  </si>
  <si>
    <t>Discard Changes</t>
  </si>
  <si>
    <t>"Unsaved changes will be lost"</t>
  </si>
  <si>
    <t>Stay, Discard</t>
  </si>
  <si>
    <t>Bulk Action</t>
  </si>
  <si>
    <t>"Apply to X selected items?"</t>
  </si>
  <si>
    <t>Cancel, Apply</t>
  </si>
  <si>
    <t>Approval Decision</t>
  </si>
  <si>
    <t>"Confirm [Approve/Reject]?"</t>
  </si>
  <si>
    <t>Cancel, Confirm</t>
  </si>
  <si>
    <t>--- END OF GLOBAL COMPONENTS SPECIFICATION ---</t>
  </si>
  <si>
    <t>CALENDAR PAGE - FUNCTIONAL SPECIFICATION</t>
  </si>
  <si>
    <t>See: Global_Components_FS for shared UI</t>
  </si>
  <si>
    <t>Section 1: Calendar View</t>
  </si>
  <si>
    <t>Row 11</t>
  </si>
  <si>
    <t>Section 2: Event Display</t>
  </si>
  <si>
    <t>Row 40</t>
  </si>
  <si>
    <t>Section 3: Filters &amp; Navigation</t>
  </si>
  <si>
    <t>Row 65</t>
  </si>
  <si>
    <t>Section 4: Interactions</t>
  </si>
  <si>
    <t>Row 90</t>
  </si>
  <si>
    <t>Section 5: Page-Specific Features</t>
  </si>
  <si>
    <t>SECTION 1: CALENDAR VIEW</t>
  </si>
  <si>
    <t>1.1 Calendar View Modes</t>
  </si>
  <si>
    <t>View Mode</t>
  </si>
  <si>
    <t>Navigation</t>
  </si>
  <si>
    <t>Month View</t>
  </si>
  <si>
    <t>Standard calendar grid showing all days of month</t>
  </si>
  <si>
    <t>&lt; Prev Month | Today | Next Month &gt;</t>
  </si>
  <si>
    <t>Week View</t>
  </si>
  <si>
    <t>7-day horizontal view with time slots</t>
  </si>
  <si>
    <t>&lt; Prev Week | Today | Next Week &gt;</t>
  </si>
  <si>
    <t>Day View</t>
  </si>
  <si>
    <t>Single day with hourly breakdown</t>
  </si>
  <si>
    <t>&lt; Prev Day | Today | Next Day &gt;</t>
  </si>
  <si>
    <t>Agenda View</t>
  </si>
  <si>
    <t>Chronological list of upcoming events</t>
  </si>
  <si>
    <t>Scroll-based navigation</t>
  </si>
  <si>
    <t>Timeline View</t>
  </si>
  <si>
    <t>Gantt-style horizontal timeline</t>
  </si>
  <si>
    <t>Scroll/zoom controls</t>
  </si>
  <si>
    <t>1.2 Calendar Grid Layout</t>
  </si>
  <si>
    <t>Week Start Day</t>
  </si>
  <si>
    <t>Monday (configurable in user preferences)</t>
  </si>
  <si>
    <t>Day Header</t>
  </si>
  <si>
    <t>Mon, Tue, Wed, Thu, Fri, Sat, Sun</t>
  </si>
  <si>
    <t>Day Cell Height</t>
  </si>
  <si>
    <t>Minimum 80px, expandable based on event count</t>
  </si>
  <si>
    <t>Day Number Position</t>
  </si>
  <si>
    <t>Top-left corner of cell</t>
  </si>
  <si>
    <t>Today Highlight</t>
  </si>
  <si>
    <t>Blue border, light blue background (#E6F2FF)</t>
  </si>
  <si>
    <t>Weekend Styling</t>
  </si>
  <si>
    <t>Light gray background (#F5F5F5)</t>
  </si>
  <si>
    <t>Past Days</t>
  </si>
  <si>
    <t>Slightly dimmed (opacity 0.7)</t>
  </si>
  <si>
    <t>Current Month Days</t>
  </si>
  <si>
    <t>Normal styling</t>
  </si>
  <si>
    <t>Other Month Days</t>
  </si>
  <si>
    <t>Dimmed text (gray), clickable to navigate</t>
  </si>
  <si>
    <t>Holiday Indicator</t>
  </si>
  <si>
    <t>Red text for day number, optional icon</t>
  </si>
  <si>
    <t>Event Overflow</t>
  </si>
  <si>
    <t>"+ X more" link when &gt; 4 events</t>
  </si>
  <si>
    <t>Cell Click</t>
  </si>
  <si>
    <t>Opens day view or quick-add event modal</t>
  </si>
  <si>
    <t>SECTION 2: EVENT DISPLAY</t>
  </si>
  <si>
    <t>2.1 Event Types &amp; Color Coding</t>
  </si>
  <si>
    <t>Release Go-Live</t>
  </si>
  <si>
    <t>#28A745 (Green)</t>
  </si>
  <si>
    <t>Scheduled release deployment</t>
  </si>
  <si>
    <t>CAB Meeting</t>
  </si>
  <si>
    <t>#007BFF (Blue)</t>
  </si>
  <si>
    <t>Change Advisory Board meeting</t>
  </si>
  <si>
    <t>UAT Start/End</t>
  </si>
  <si>
    <t>#17A2B8 (Cyan)</t>
  </si>
  <si>
    <t>User acceptance testing window</t>
  </si>
  <si>
    <t>Testing Period</t>
  </si>
  <si>
    <t>#6F42C1 (Purple)</t>
  </si>
  <si>
    <t>Test environment booking</t>
  </si>
  <si>
    <t>#DC3545 (Red)</t>
  </si>
  <si>
    <t>Maintenance Window</t>
  </si>
  <si>
    <t>#FD7E14 (Orange)</t>
  </si>
  <si>
    <t>Planned system maintenance</t>
  </si>
  <si>
    <t>Holiday/Closure</t>
  </si>
  <si>
    <t>#6C757D (Gray)</t>
  </si>
  <si>
    <t>Business closure</t>
  </si>
  <si>
    <t>Milestone</t>
  </si>
  <si>
    <t>#E83E8C (Pink)</t>
  </si>
  <si>
    <t>Project milestone/deadline</t>
  </si>
  <si>
    <t>Resource Leave</t>
  </si>
  <si>
    <t>#20C997 (Teal)</t>
  </si>
  <si>
    <t>Key resource unavailable</t>
  </si>
  <si>
    <t>2.2 Event Card Display</t>
  </si>
  <si>
    <t>Card Height</t>
  </si>
  <si>
    <t>22px (single line) in month view</t>
  </si>
  <si>
    <t>Card Content</t>
  </si>
  <si>
    <t>Time (if applicable) + Event Title</t>
  </si>
  <si>
    <t>Truncation</t>
  </si>
  <si>
    <t>Ellipsis (...) if text exceeds width</t>
  </si>
  <si>
    <t>Border Radius</t>
  </si>
  <si>
    <t>4px rounded corners</t>
  </si>
  <si>
    <t>Left Border</t>
  </si>
  <si>
    <t>3px colored border indicating event type</t>
  </si>
  <si>
    <t>Slight elevation shadow, full title tooltip</t>
  </si>
  <si>
    <t>Opens event detail popup/modal</t>
  </si>
  <si>
    <t>SECTION 3: FILTERS &amp; NAVIGATION</t>
  </si>
  <si>
    <t>3.1 Filter Options</t>
  </si>
  <si>
    <t>Filter</t>
  </si>
  <si>
    <t>Multi-select checkboxes</t>
  </si>
  <si>
    <t>All event types (see 2.1)</t>
  </si>
  <si>
    <t>Dropdown multi-select</t>
  </si>
  <si>
    <t>All departments + "All"</t>
  </si>
  <si>
    <t>All applications + "All"</t>
  </si>
  <si>
    <t>Checkbox group</t>
  </si>
  <si>
    <t>P1, P2, P3, P4</t>
  </si>
  <si>
    <t>Approved, Pending, Blocked</t>
  </si>
  <si>
    <t>Date picker range</t>
  </si>
  <si>
    <t>Custom start/end dates</t>
  </si>
  <si>
    <t>Owner</t>
  </si>
  <si>
    <t>Search/select</t>
  </si>
  <si>
    <t>User lookup with autocomplete</t>
  </si>
  <si>
    <t>Show Conflicts Only</t>
  </si>
  <si>
    <t>Toggle switch</t>
  </si>
  <si>
    <t>On/Off</t>
  </si>
  <si>
    <t>3.2 Navigation Controls</t>
  </si>
  <si>
    <t>Previous Button (&lt;)</t>
  </si>
  <si>
    <t>Navigates to previous period (month/week/day)</t>
  </si>
  <si>
    <t>Next Button (&gt;)</t>
  </si>
  <si>
    <t>Navigates to next period</t>
  </si>
  <si>
    <t>Today Button</t>
  </si>
  <si>
    <t>Jumps to current date, highlights today</t>
  </si>
  <si>
    <t>Month/Year Picker</t>
  </si>
  <si>
    <t>Dropdown for quick month/year selection</t>
  </si>
  <si>
    <t>View Toggle</t>
  </si>
  <si>
    <t>Buttons: Month | Week | Day | Agenda | Timeline</t>
  </si>
  <si>
    <t>Mini Calendar</t>
  </si>
  <si>
    <t>Small calendar in sidebar for quick date jumping</t>
  </si>
  <si>
    <t>Keyboard: Arrow Keys</t>
  </si>
  <si>
    <t>Navigate between days/weeks in grid</t>
  </si>
  <si>
    <t>SECTION 4: INTERACTIONS</t>
  </si>
  <si>
    <t>4.1 Event Interactions</t>
  </si>
  <si>
    <t>Result</t>
  </si>
  <si>
    <t>View Event Details</t>
  </si>
  <si>
    <t>Click on event card</t>
  </si>
  <si>
    <t>Opens event detail modal/popup</t>
  </si>
  <si>
    <t>Navigate to Release</t>
  </si>
  <si>
    <t>Click Release ID in detail</t>
  </si>
  <si>
    <t>Navigates to Release detail page</t>
  </si>
  <si>
    <t>Drag &amp; Drop</t>
  </si>
  <si>
    <t>Drag event to new date</t>
  </si>
  <si>
    <t>Opens confirmation dialog to reschedule</t>
  </si>
  <si>
    <t>Quick Edit</t>
  </si>
  <si>
    <t>Double-click event</t>
  </si>
  <si>
    <t>Opens inline edit form</t>
  </si>
  <si>
    <t>Create Event</t>
  </si>
  <si>
    <t>Click empty day cell</t>
  </si>
  <si>
    <t>Opens "Add Event" modal</t>
  </si>
  <si>
    <t>Extend Duration</t>
  </si>
  <si>
    <t>Drag event edge</t>
  </si>
  <si>
    <t>Adjusts end date (with validation)</t>
  </si>
  <si>
    <t>Copy Event</t>
  </si>
  <si>
    <t>Ctrl+C then Ctrl+V</t>
  </si>
  <si>
    <t>Creates duplicate event on target date</t>
  </si>
  <si>
    <t>Delete Event</t>
  </si>
  <si>
    <t>Right-click &gt; Delete</t>
  </si>
  <si>
    <t>Shows confirmation dialog</t>
  </si>
  <si>
    <t>4.2 Conflict Detection &amp; Indicators</t>
  </si>
  <si>
    <t>Conflict Type</t>
  </si>
  <si>
    <t>Visual Indicator</t>
  </si>
  <si>
    <t>Environment Overlap</t>
  </si>
  <si>
    <t>Red warning icon on both events</t>
  </si>
  <si>
    <t>Resource Conflict</t>
  </si>
  <si>
    <t>Orange warning icon with tooltip</t>
  </si>
  <si>
    <t>Change Freeze Violation</t>
  </si>
  <si>
    <t>Red striped background on event</t>
  </si>
  <si>
    <t>Dependency Conflict</t>
  </si>
  <si>
    <t>Chain icon with red exclamation</t>
  </si>
  <si>
    <t>Multiple Conflicts</t>
  </si>
  <si>
    <t>Stacked warning icons, count badge</t>
  </si>
  <si>
    <t>Conflict Tooltip</t>
  </si>
  <si>
    <t>Hover shows: "Conflicts with: [Release IDs]"</t>
  </si>
  <si>
    <t>SECTION 5: PAGE-SPECIFIC FEATURES</t>
  </si>
  <si>
    <t>5.1 Legend Panel</t>
  </si>
  <si>
    <t>Top-right or collapsible sidebar</t>
  </si>
  <si>
    <t>Content</t>
  </si>
  <si>
    <t>Color swatches with event type labels</t>
  </si>
  <si>
    <t>Toggle Visibility</t>
  </si>
  <si>
    <t>Click legend item to show/hide event type</t>
  </si>
  <si>
    <t>Collapsed State</t>
  </si>
  <si>
    <t>"Show Legend" button</t>
  </si>
  <si>
    <t>Persistence</t>
  </si>
  <si>
    <t>User preference for collapsed/expanded</t>
  </si>
  <si>
    <t>5.2 Export &amp; Print Options</t>
  </si>
  <si>
    <t>Details</t>
  </si>
  <si>
    <t>Export to iCal</t>
  </si>
  <si>
    <t>Downloads .ics file with filtered events</t>
  </si>
  <si>
    <t>Export to PDF</t>
  </si>
  <si>
    <t>Prints current view as PDF document</t>
  </si>
  <si>
    <t>Subscribe to Feed</t>
  </si>
  <si>
    <t>Generates iCal subscription URL</t>
  </si>
  <si>
    <t>Print View</t>
  </si>
  <si>
    <t>Print-optimized layout, optional date range</t>
  </si>
  <si>
    <t>Share Calendar Link</t>
  </si>
  <si>
    <t>Copy URL with current filters applied</t>
  </si>
  <si>
    <t>5.3 Accessibility (Calendar-Specific)</t>
  </si>
  <si>
    <t>Keyboard Navigation</t>
  </si>
  <si>
    <t>Arrow keys move focus between days; Enter opens day</t>
  </si>
  <si>
    <t>Announce: "June 29, 2026, 3 events"</t>
  </si>
  <si>
    <t>Focus Indicator</t>
  </si>
  <si>
    <t>Clear visible border on focused day/event</t>
  </si>
  <si>
    <t>Skip to Today</t>
  </si>
  <si>
    <t>Shortcut key (T) jumps to today</t>
  </si>
  <si>
    <t>Event Announcements</t>
  </si>
  <si>
    <t>Read event title, time, type on focus</t>
  </si>
  <si>
    <t>--- END OF CALENDAR PAGE SPECIFICATION ---</t>
  </si>
  <si>
    <t>ENVIRONMENT BOOKING PAGE - FUNCTIONAL SPECIFICATION</t>
  </si>
  <si>
    <t>Section 1: Booking Grid</t>
  </si>
  <si>
    <t>Section 2: Timeline/Gantt View</t>
  </si>
  <si>
    <t>Row 50</t>
  </si>
  <si>
    <t>Section 3: Conflict Detection</t>
  </si>
  <si>
    <t>Row 80</t>
  </si>
  <si>
    <t>Section 4: Filters &amp; Search</t>
  </si>
  <si>
    <t>Row 110</t>
  </si>
  <si>
    <t>Section 5: Booking Actions</t>
  </si>
  <si>
    <t>Row 135</t>
  </si>
  <si>
    <t>Section 6: Notifications</t>
  </si>
  <si>
    <t>Row 160</t>
  </si>
  <si>
    <t>SECTION 1: BOOKING GRID</t>
  </si>
  <si>
    <t>1.1 Data Grid Columns</t>
  </si>
  <si>
    <t>Filterable</t>
  </si>
  <si>
    <t>Hyperlink</t>
  </si>
  <si>
    <t>Unique booking identifier (BK-XXXX)</t>
  </si>
  <si>
    <t>Linked release (REL-XXXX)</t>
  </si>
  <si>
    <t>Text</t>
  </si>
  <si>
    <t>Owning department</t>
  </si>
  <si>
    <t>Badge</t>
  </si>
  <si>
    <t>Small, Medium, Large, X-Large</t>
  </si>
  <si>
    <t>Test environment code</t>
  </si>
  <si>
    <t>Test period start date</t>
  </si>
  <si>
    <t>Test period end date</t>
  </si>
  <si>
    <t>UAT environment code</t>
  </si>
  <si>
    <t>UAT period start date</t>
  </si>
  <si>
    <t>UAT period end date</t>
  </si>
  <si>
    <t>Pre-production environment</t>
  </si>
  <si>
    <t>Pre-prod start date</t>
  </si>
  <si>
    <t>Pre-prod end date</t>
  </si>
  <si>
    <t>Confirmed, Pending, Cancelled</t>
  </si>
  <si>
    <t>⚠️ if conflict exists</t>
  </si>
  <si>
    <t>User</t>
  </si>
  <si>
    <t>User Search</t>
  </si>
  <si>
    <t>Booking owner</t>
  </si>
  <si>
    <t>Text (truncated)</t>
  </si>
  <si>
    <t>Text Search</t>
  </si>
  <si>
    <t>Additional notes</t>
  </si>
  <si>
    <t>1.2 Grid Behaviors</t>
  </si>
  <si>
    <t>Test Start Date (ascending)</t>
  </si>
  <si>
    <t>Row Selection</t>
  </si>
  <si>
    <t>Checkbox for bulk actions</t>
  </si>
  <si>
    <t>Row Hover</t>
  </si>
  <si>
    <t>Light highlight, quick action icons appear</t>
  </si>
  <si>
    <t>Row Click</t>
  </si>
  <si>
    <t>Opens booking detail side panel</t>
  </si>
  <si>
    <t>Opens edit booking modal</t>
  </si>
  <si>
    <t>Conflict Row Styling</t>
  </si>
  <si>
    <t>Light red background, ⚠️ icon</t>
  </si>
  <si>
    <t>Expired Booking</t>
  </si>
  <si>
    <t>Grayed out text, strikethrough</t>
  </si>
  <si>
    <t>Today's Bookings</t>
  </si>
  <si>
    <t>Blue left border indicator</t>
  </si>
  <si>
    <t>10, 25, 50, 100 per page (default: 25)</t>
  </si>
  <si>
    <t>SECTION 2: TIMELINE / GANTT VIEW</t>
  </si>
  <si>
    <t>2.1 Timeline Layout</t>
  </si>
  <si>
    <t>Y-Axis (Rows)</t>
  </si>
  <si>
    <t>Environment names (grouped by type: Test, UAT, Pre-Prod)</t>
  </si>
  <si>
    <t>X-Axis (Columns)</t>
  </si>
  <si>
    <t>Date timeline with day/week/month granularity</t>
  </si>
  <si>
    <t>Bar Display</t>
  </si>
  <si>
    <t>Horizontal bars representing booking periods</t>
  </si>
  <si>
    <t>Bar Height</t>
  </si>
  <si>
    <t>20px per booking, stacked if multiple per env/day</t>
  </si>
  <si>
    <t>Bar Color</t>
  </si>
  <si>
    <t>By department (color-coded legend)</t>
  </si>
  <si>
    <t>Bar Label</t>
  </si>
  <si>
    <t>Release ID displayed on bar (if space permits)</t>
  </si>
  <si>
    <t>Today Line</t>
  </si>
  <si>
    <t>Vertical red dashed line for current date</t>
  </si>
  <si>
    <t>Weekend Shading</t>
  </si>
  <si>
    <t>Light gray columns for Sat/Sun</t>
  </si>
  <si>
    <t>Holiday Shading</t>
  </si>
  <si>
    <t>Light red columns for holidays</t>
  </si>
  <si>
    <t>Zoom Levels</t>
  </si>
  <si>
    <t>Day | Week | Month view toggles</t>
  </si>
  <si>
    <t>Scroll Behavior</t>
  </si>
  <si>
    <t>Horizontal scroll with sticky left column (env names)</t>
  </si>
  <si>
    <t>Grid View ↔ Timeline View button</t>
  </si>
  <si>
    <t>2.2 Timeline Interactions</t>
  </si>
  <si>
    <t>View Booking</t>
  </si>
  <si>
    <t>Click bar</t>
  </si>
  <si>
    <t>Opens booking detail popup</t>
  </si>
  <si>
    <t>Extend Booking</t>
  </si>
  <si>
    <t>Drag bar edge</t>
  </si>
  <si>
    <t>Adjusts end date with validation</t>
  </si>
  <si>
    <t>Move Booking</t>
  </si>
  <si>
    <t>Drag entire bar</t>
  </si>
  <si>
    <t>Moves to new date range (validation)</t>
  </si>
  <si>
    <t>Create Booking</t>
  </si>
  <si>
    <t>Click+drag on empty area</t>
  </si>
  <si>
    <t>Opens new booking modal with dates pre-filled</t>
  </si>
  <si>
    <t>Hover Bar</t>
  </si>
  <si>
    <t>Mouse over</t>
  </si>
  <si>
    <t>Shows tooltip: Release, Owner, Dates</t>
  </si>
  <si>
    <t>Ctrl+Click bar</t>
  </si>
  <si>
    <t>Opens release detail in new tab</t>
  </si>
  <si>
    <t>Conflict Warning</t>
  </si>
  <si>
    <t>Overlapping bars</t>
  </si>
  <si>
    <t>Red border on both bars, tooltip shows conflict</t>
  </si>
  <si>
    <t>Zoom In/Out</t>
  </si>
  <si>
    <t>Mouse wheel + Ctrl</t>
  </si>
  <si>
    <t>Changes timeline granularity</t>
  </si>
  <si>
    <t>SECTION 3: CONFLICT DETECTION</t>
  </si>
  <si>
    <t>3.1 Conflict Types</t>
  </si>
  <si>
    <t>Detection Rule</t>
  </si>
  <si>
    <t>Same environment booked for overlapping dates</t>
  </si>
  <si>
    <t>⚠️ icon, red background</t>
  </si>
  <si>
    <t>Same owner has overlapping bookings</t>
  </si>
  <si>
    <t>🔄 icon, orange background</t>
  </si>
  <si>
    <t>Dependent release env booked in wrong sequence</t>
  </si>
  <si>
    <t>🔗 icon, yellow background</t>
  </si>
  <si>
    <t>Booking during declared change freeze</t>
  </si>
  <si>
    <t>🚫 icon, striped red background</t>
  </si>
  <si>
    <t>Capacity Exceeded</t>
  </si>
  <si>
    <t>Environment max concurrent bookings exceeded</t>
  </si>
  <si>
    <t>📊 icon, purple indicator</t>
  </si>
  <si>
    <t>Maintenance Overlap</t>
  </si>
  <si>
    <t>Booking during planned maintenance window</t>
  </si>
  <si>
    <t>🔧 icon, gray striped</t>
  </si>
  <si>
    <t>Holiday Booking</t>
  </si>
  <si>
    <t>Booking spans business closure date</t>
  </si>
  <si>
    <t>📅 icon, info warning</t>
  </si>
  <si>
    <t>3.2 Conflict Resolution Workflow</t>
  </si>
  <si>
    <t>Step</t>
  </si>
  <si>
    <t>System detects conflict on save/create</t>
  </si>
  <si>
    <t>Warning dialog shows conflicting bookings</t>
  </si>
  <si>
    <t>3a</t>
  </si>
  <si>
    <t>User can adjust dates to resolve</t>
  </si>
  <si>
    <t>3b</t>
  </si>
  <si>
    <t>User can request override (requires approval)</t>
  </si>
  <si>
    <t>3c</t>
  </si>
  <si>
    <t>User can contact conflicting owner (email link)</t>
  </si>
  <si>
    <t>Override requests go to Environment Admin queue</t>
  </si>
  <si>
    <t>Admin approves/rejects with comments</t>
  </si>
  <si>
    <t>Both parties notified of resolution</t>
  </si>
  <si>
    <t>Conflict flag cleared upon resolution</t>
  </si>
  <si>
    <t>SECTION 4: FILTERS &amp; SEARCH</t>
  </si>
  <si>
    <t>4.1 Filter Options</t>
  </si>
  <si>
    <t>Environment Type</t>
  </si>
  <si>
    <t>All selected</t>
  </si>
  <si>
    <t>Environment Name</t>
  </si>
  <si>
    <t>Multi-select dropdown</t>
  </si>
  <si>
    <t>Date picker (From - To)</t>
  </si>
  <si>
    <t>Current month</t>
  </si>
  <si>
    <t>All except Cancelled</t>
  </si>
  <si>
    <t>Conflict Status</t>
  </si>
  <si>
    <t>Toggle: Show conflicts only</t>
  </si>
  <si>
    <t>Off</t>
  </si>
  <si>
    <t>My Bookings</t>
  </si>
  <si>
    <t>Toggle: Show my bookings only</t>
  </si>
  <si>
    <t>User search autocomplete</t>
  </si>
  <si>
    <t>Search</t>
  </si>
  <si>
    <t>Text input</t>
  </si>
  <si>
    <t>Searches ID, Release, Notes</t>
  </si>
  <si>
    <t>SECTION 5: BOOKING ACTIONS</t>
  </si>
  <si>
    <t>5.1 Available Actions</t>
  </si>
  <si>
    <t>New Booking</t>
  </si>
  <si>
    <t>Toolbar button</t>
  </si>
  <si>
    <t>Opens create booking modal</t>
  </si>
  <si>
    <t>Edit Booking</t>
  </si>
  <si>
    <t>Row action / double-click</t>
  </si>
  <si>
    <t>Opens edit modal (owner/admin only)</t>
  </si>
  <si>
    <t>Cancel Booking</t>
  </si>
  <si>
    <t>Row action</t>
  </si>
  <si>
    <t>Marks as cancelled with reason</t>
  </si>
  <si>
    <t>Clone Booking</t>
  </si>
  <si>
    <t>Creates copy with new dates</t>
  </si>
  <si>
    <t>Adjusts end date only</t>
  </si>
  <si>
    <t>Transfer Booking</t>
  </si>
  <si>
    <t>Assigns to different release</t>
  </si>
  <si>
    <t>Request Override</t>
  </si>
  <si>
    <t>Conflict dialog</t>
  </si>
  <si>
    <t>Requests admin approval for conflict</t>
  </si>
  <si>
    <t>Export Selected</t>
  </si>
  <si>
    <t>Bulk action</t>
  </si>
  <si>
    <t>Exports selected rows to CSV</t>
  </si>
  <si>
    <t>Bulk Cancel</t>
  </si>
  <si>
    <t>Bulk action (admin)</t>
  </si>
  <si>
    <t>Cancels multiple selected bookings</t>
  </si>
  <si>
    <t>View History</t>
  </si>
  <si>
    <t>Shows audit log for booking</t>
  </si>
  <si>
    <t>Send Reminder</t>
  </si>
  <si>
    <t>Sends email reminder to owner</t>
  </si>
  <si>
    <t>SECTION 6: NOTIFICATIONS &amp; ALERTS</t>
  </si>
  <si>
    <t>6.1 Notification Triggers</t>
  </si>
  <si>
    <t>Event</t>
  </si>
  <si>
    <t>Booking Created</t>
  </si>
  <si>
    <t>Owner, Env Admin</t>
  </si>
  <si>
    <t>Email, In-app</t>
  </si>
  <si>
    <t>Booking Modified</t>
  </si>
  <si>
    <t>Owner, Impacted parties</t>
  </si>
  <si>
    <t>Booking Cancelled</t>
  </si>
  <si>
    <t>Owner, Dependent releases</t>
  </si>
  <si>
    <t>Conflict Detected</t>
  </si>
  <si>
    <t>Both booking owners</t>
  </si>
  <si>
    <t>Email, In-app (urgent)</t>
  </si>
  <si>
    <t>Conflict Resolved</t>
  </si>
  <si>
    <t>Both parties, Admin</t>
  </si>
  <si>
    <t>Booking Starting Soon</t>
  </si>
  <si>
    <t>Owner (T-2 days)</t>
  </si>
  <si>
    <t>Email reminder</t>
  </si>
  <si>
    <t>Booking Expired</t>
  </si>
  <si>
    <t>Owner (auto)</t>
  </si>
  <si>
    <t>In-app only</t>
  </si>
  <si>
    <t>Override Requested</t>
  </si>
  <si>
    <t>Env Admin queue</t>
  </si>
  <si>
    <t>Override Decision</t>
  </si>
  <si>
    <t>Requester</t>
  </si>
  <si>
    <t>Environment Maintenance</t>
  </si>
  <si>
    <t>All booked users</t>
  </si>
  <si>
    <t>Email (advance notice)</t>
  </si>
  <si>
    <t>--- END OF ENVIRONMENT BOOKING PAGE SPECIFICATION ---</t>
  </si>
  <si>
    <t>RISK FACTORS PAGE - FUNCTIONAL SPECIFICATION</t>
  </si>
  <si>
    <t>Section 1: Risk Scoring Model</t>
  </si>
  <si>
    <t>Section 2: Risk Factor Definitions</t>
  </si>
  <si>
    <t>Row 45</t>
  </si>
  <si>
    <t>Section 3: Risk Dashboard View</t>
  </si>
  <si>
    <t>Section 4: Risk Management Actions</t>
  </si>
  <si>
    <t>Row 130</t>
  </si>
  <si>
    <t>Section 5: Alerts &amp; Thresholds</t>
  </si>
  <si>
    <t>Row 155</t>
  </si>
  <si>
    <t>SECTION 1: RISK SCORING MODEL</t>
  </si>
  <si>
    <t>1.1 Scoring Overview</t>
  </si>
  <si>
    <t>0 - 100 points (calculated)</t>
  </si>
  <si>
    <t>Calculation</t>
  </si>
  <si>
    <t>Sum of (Factor Score × Weight) across all factors</t>
  </si>
  <si>
    <t>Auto-Refresh</t>
  </si>
  <si>
    <t>Real-time recalculation on data change</t>
  </si>
  <si>
    <t>Numeric score + color-coded badge</t>
  </si>
  <si>
    <t>Decimal Precision</t>
  </si>
  <si>
    <t>1 decimal place (e.g., 72.5)</t>
  </si>
  <si>
    <t>History Tracking</t>
  </si>
  <si>
    <t>Score snapshots saved at each status change</t>
  </si>
  <si>
    <t>Trend Indicator</t>
  </si>
  <si>
    <t>↑ ↓ → showing score change from last week</t>
  </si>
  <si>
    <t>1.2 Risk Score Thresholds</t>
  </si>
  <si>
    <t>0 - 25</t>
  </si>
  <si>
    <t>Low Risk</t>
  </si>
  <si>
    <t>Standard approval process</t>
  </si>
  <si>
    <t>26 - 50</t>
  </si>
  <si>
    <t>Medium Risk</t>
  </si>
  <si>
    <t>Additional review recommended</t>
  </si>
  <si>
    <t>51 - 75</t>
  </si>
  <si>
    <t>High Risk</t>
  </si>
  <si>
    <t>Manager approval required</t>
  </si>
  <si>
    <t>76 - 90</t>
  </si>
  <si>
    <t>Critical Risk</t>
  </si>
  <si>
    <t>Executive approval required</t>
  </si>
  <si>
    <t>91 - 100</t>
  </si>
  <si>
    <t>Extreme Risk</t>
  </si>
  <si>
    <t>Release may be blocked</t>
  </si>
  <si>
    <t>1.3 Factor Weight Distribution</t>
  </si>
  <si>
    <t>Factors Included</t>
  </si>
  <si>
    <t>Release Complexity</t>
  </si>
  <si>
    <t>Size, Dependencies, New Tech</t>
  </si>
  <si>
    <t>Resource Factors</t>
  </si>
  <si>
    <t>Team Experience, Key Person Risk, Leave</t>
  </si>
  <si>
    <t>Environment Factors</t>
  </si>
  <si>
    <t>Env Conflicts, Test Coverage, UAT</t>
  </si>
  <si>
    <t>Timing Factors</t>
  </si>
  <si>
    <t>Change Freeze, Holiday, End-of-Quarter</t>
  </si>
  <si>
    <t>Historical Factors</t>
  </si>
  <si>
    <t>Past Incidents, Rollback History</t>
  </si>
  <si>
    <t>Revenue, Customer, Regulatory Impact</t>
  </si>
  <si>
    <t>SECTION 2: RISK FACTOR DEFINITIONS</t>
  </si>
  <si>
    <t>2.1 Release Complexity Factors</t>
  </si>
  <si>
    <t>Values</t>
  </si>
  <si>
    <t>Points</t>
  </si>
  <si>
    <t>Small / Medium / Large / X-Large</t>
  </si>
  <si>
    <t>1 / 3 / 6 / 10</t>
  </si>
  <si>
    <t>0 / 1-2 / 3-5 / 6+</t>
  </si>
  <si>
    <t>0 / 2 / 5 / 10</t>
  </si>
  <si>
    <t>New Technology</t>
  </si>
  <si>
    <t>No / Minor / Significant / Major</t>
  </si>
  <si>
    <t>0 / 3 / 6 / 10</t>
  </si>
  <si>
    <t>Integration Points</t>
  </si>
  <si>
    <t>0-1 / 2-3 / 4-5 / 6+</t>
  </si>
  <si>
    <t>2.2 Resource Factors</t>
  </si>
  <si>
    <t>Team Experience</t>
  </si>
  <si>
    <t>Expert / Experienced / Moderate / New</t>
  </si>
  <si>
    <t>Key Person Risk</t>
  </si>
  <si>
    <t>None / Low / Medium / High</t>
  </si>
  <si>
    <t>Leave Overlap</t>
  </si>
  <si>
    <t>None / 1 person / 2+ / Lead absent</t>
  </si>
  <si>
    <t>Full / 75%+ / 50-75% / &lt;50%</t>
  </si>
  <si>
    <t>2.3 Environment Factors</t>
  </si>
  <si>
    <t>Environment Conflicts</t>
  </si>
  <si>
    <t>None / 1 / 2+ / Unresolved</t>
  </si>
  <si>
    <t>Test Coverage</t>
  </si>
  <si>
    <t>&gt;90% / 70-90% / 50-70% / &lt;50%</t>
  </si>
  <si>
    <t>UAT Completion</t>
  </si>
  <si>
    <t>Complete / 75%+ / 50-75% / &lt;50%</t>
  </si>
  <si>
    <t>2.4 Timing Factors</t>
  </si>
  <si>
    <t>None / 7+ days / 3-7 days / &lt;3 days</t>
  </si>
  <si>
    <t>Holiday Proximity</t>
  </si>
  <si>
    <t>None / 7+ days / 3-7 days / Adjacent</t>
  </si>
  <si>
    <t>0 / 2 / 4 / 8</t>
  </si>
  <si>
    <t>End-of-Period</t>
  </si>
  <si>
    <t>Normal / Month-end / Quarter-end / Year-end</t>
  </si>
  <si>
    <t>Peak Business Period</t>
  </si>
  <si>
    <t>No / Low / Medium / High</t>
  </si>
  <si>
    <t>2.5 Historical Factors</t>
  </si>
  <si>
    <t>Past Incidents (12mo)</t>
  </si>
  <si>
    <t>0 / 1 / 2 / 3+</t>
  </si>
  <si>
    <t>Rollback History</t>
  </si>
  <si>
    <t>0 / 1 / 2+</t>
  </si>
  <si>
    <t>0 / 4 / 10</t>
  </si>
  <si>
    <t>2.6 Business Impact Factors</t>
  </si>
  <si>
    <t>Customer Impact</t>
  </si>
  <si>
    <t>Internal / Low / Medium / High</t>
  </si>
  <si>
    <t>Regulatory Impact</t>
  </si>
  <si>
    <t>None / Audit / Compliance / Legal</t>
  </si>
  <si>
    <t>SECTION 3: RISK DASHBOARD VIEW</t>
  </si>
  <si>
    <t>3.1 Dashboard Layout Components</t>
  </si>
  <si>
    <t>Risk Summary Card</t>
  </si>
  <si>
    <t>Top-left</t>
  </si>
  <si>
    <t>Total releases by risk level (counts + %)</t>
  </si>
  <si>
    <t>Risk Score Distribution</t>
  </si>
  <si>
    <t>Top-center</t>
  </si>
  <si>
    <t>Histogram of all release scores</t>
  </si>
  <si>
    <t>Trend Chart</t>
  </si>
  <si>
    <t>Top-right</t>
  </si>
  <si>
    <t>7/30/90 day trend of avg risk score</t>
  </si>
  <si>
    <t>High Risk Releases</t>
  </si>
  <si>
    <t>Middle</t>
  </si>
  <si>
    <t>Table of releases with score &gt; 75</t>
  </si>
  <si>
    <t>Factor Breakdown</t>
  </si>
  <si>
    <t>Middle-right</t>
  </si>
  <si>
    <t>Pie chart of contributing factors</t>
  </si>
  <si>
    <t>Risk Heatmap</t>
  </si>
  <si>
    <t>Bottom-left</t>
  </si>
  <si>
    <t>Dept × Priority heatmap</t>
  </si>
  <si>
    <t>Upcoming High Risk</t>
  </si>
  <si>
    <t>Bottom-center</t>
  </si>
  <si>
    <t>Next 14 days high-risk releases</t>
  </si>
  <si>
    <t>Bottom-right</t>
  </si>
  <si>
    <t>Active alerts and warnings</t>
  </si>
  <si>
    <t>3.2 Release Risk Grid</t>
  </si>
  <si>
    <t>Link to release detail</t>
  </si>
  <si>
    <t>Release title</t>
  </si>
  <si>
    <t>Number + Badge</t>
  </si>
  <si>
    <t>0-100 score with color</t>
  </si>
  <si>
    <t>Low/Medium/High/Critical</t>
  </si>
  <si>
    <t>Top Risk Factor</t>
  </si>
  <si>
    <t>Highest contributing factor</t>
  </si>
  <si>
    <t>Go-Live Date</t>
  </si>
  <si>
    <t>Scheduled deployment date</t>
  </si>
  <si>
    <t>Days to Go-Live</t>
  </si>
  <si>
    <t>Number</t>
  </si>
  <si>
    <t>Countdown (negative if past)</t>
  </si>
  <si>
    <t>↑↓→ change from last calc</t>
  </si>
  <si>
    <t>View Details, Mitigate</t>
  </si>
  <si>
    <t>SECTION 4: RISK MANAGEMENT ACTIONS</t>
  </si>
  <si>
    <t>4.1 Available Actions</t>
  </si>
  <si>
    <t>View Risk Breakdown</t>
  </si>
  <si>
    <t>Any user</t>
  </si>
  <si>
    <t>See detailed factor scores</t>
  </si>
  <si>
    <t>Add Mitigation Note</t>
  </si>
  <si>
    <t>Owner/Admin</t>
  </si>
  <si>
    <t>Document mitigation steps taken</t>
  </si>
  <si>
    <t>Request exception for high-risk</t>
  </si>
  <si>
    <t>Override Risk Factor</t>
  </si>
  <si>
    <t>Manually adjust factor value</t>
  </si>
  <si>
    <t>Recalculate Score</t>
  </si>
  <si>
    <t>Force refresh of score</t>
  </si>
  <si>
    <t>Set Risk Watch</t>
  </si>
  <si>
    <t>Get alerts when score changes</t>
  </si>
  <si>
    <t>Export Risk Report</t>
  </si>
  <si>
    <t>PDF/Excel of risk details</t>
  </si>
  <si>
    <t>Compare Releases</t>
  </si>
  <si>
    <t>Side-by-side risk comparison</t>
  </si>
  <si>
    <t>View Risk History</t>
  </si>
  <si>
    <t>Historical score changes</t>
  </si>
  <si>
    <t>Configure Weights</t>
  </si>
  <si>
    <t>Admin only</t>
  </si>
  <si>
    <t>Adjust factor weights</t>
  </si>
  <si>
    <t>SECTION 5: ALERTS &amp; THRESHOLDS</t>
  </si>
  <si>
    <t>5.1 Automatic Alerts</t>
  </si>
  <si>
    <t>Score crosses into High (&gt;50)</t>
  </si>
  <si>
    <t>Owner, Manager</t>
  </si>
  <si>
    <t>Score crosses into Critical (&gt;75)</t>
  </si>
  <si>
    <t>Owner, Manager, Exec</t>
  </si>
  <si>
    <t>Email (urgent), In-app</t>
  </si>
  <si>
    <t>Score increases by &gt;10 points</t>
  </si>
  <si>
    <t>In-app notification</t>
  </si>
  <si>
    <t>New Extreme Risk (&gt;90)</t>
  </si>
  <si>
    <t>Email (urgent), Teams</t>
  </si>
  <si>
    <t>Risk factor manually overridden</t>
  </si>
  <si>
    <t>Audit log, Admin</t>
  </si>
  <si>
    <t>Audit trail</t>
  </si>
  <si>
    <t>7 days to go-live with High risk</t>
  </si>
  <si>
    <t>3 days to go-live with Critical</t>
  </si>
  <si>
    <t>Exec sponsor</t>
  </si>
  <si>
    <t>Email escalation</t>
  </si>
  <si>
    <t>Score decreased (good news)</t>
  </si>
  <si>
    <t>In-app (positive)</t>
  </si>
  <si>
    <t>--- END OF RISK FACTORS PAGE SPECIFICATION ---</t>
  </si>
  <si>
    <t>CONFIGURATION DRIFT PAGE - FUNCTIONAL SPECIFICATION</t>
  </si>
  <si>
    <t>See: Global_Components_FS</t>
  </si>
  <si>
    <t>SECTION 1: DRIFT DATA GRID</t>
  </si>
  <si>
    <t>1.1 Grid Columns</t>
  </si>
  <si>
    <t>Unique identifier (DRIFT-XXXX)</t>
  </si>
  <si>
    <t>Date/Time</t>
  </si>
  <si>
    <t>When drift was detected</t>
  </si>
  <si>
    <t>Affected application</t>
  </si>
  <si>
    <t>Test/UAT/Prod environment</t>
  </si>
  <si>
    <t>Specific config component</t>
  </si>
  <si>
    <t>Drift Type</t>
  </si>
  <si>
    <t>Schema/Config/Code/Data</t>
  </si>
  <si>
    <t>Expected Value</t>
  </si>
  <si>
    <t>Text (code)</t>
  </si>
  <si>
    <t>What should be configured</t>
  </si>
  <si>
    <t>Actual Value</t>
  </si>
  <si>
    <t>Current configuration</t>
  </si>
  <si>
    <t>Variance</t>
  </si>
  <si>
    <t>Diff description</t>
  </si>
  <si>
    <t>Open/Investigating/Resolved/Ignored</t>
  </si>
  <si>
    <t>Owner of remediation</t>
  </si>
  <si>
    <t>Last Updated</t>
  </si>
  <si>
    <t>Most recent activity</t>
  </si>
  <si>
    <t>View, Remediate, Ignore</t>
  </si>
  <si>
    <t>1.2 Severity Definitions</t>
  </si>
  <si>
    <t>Criteria</t>
  </si>
  <si>
    <t>Security risk, production-impacting, compliance violation</t>
  </si>
  <si>
    <t>May cause issues, performance impact, data integrity</t>
  </si>
  <si>
    <t>Non-critical config, minor functionality impact</t>
  </si>
  <si>
    <t>Cosmetic, documentation, non-functional</t>
  </si>
  <si>
    <t>SECTION 2: DRIFT DETECTION</t>
  </si>
  <si>
    <t>2.1 Detection Methods</t>
  </si>
  <si>
    <t>Method</t>
  </si>
  <si>
    <t>Scheduled Scan</t>
  </si>
  <si>
    <t>Daily/weekly automated config comparison</t>
  </si>
  <si>
    <t>Post-Deployment</t>
  </si>
  <si>
    <t>Auto-scan triggered after any deployment</t>
  </si>
  <si>
    <t>Manual Scan</t>
  </si>
  <si>
    <t>User-initiated scan for specific environment</t>
  </si>
  <si>
    <t>Baseline Comparison</t>
  </si>
  <si>
    <t>Compare against golden config baseline</t>
  </si>
  <si>
    <t>Cross-Env Comparison</t>
  </si>
  <si>
    <t>Compare config between environments</t>
  </si>
  <si>
    <t>Real-time Monitoring</t>
  </si>
  <si>
    <t>Webhook alerts for config changes</t>
  </si>
  <si>
    <t>SECTION 3: REMEDIATION WORKFLOW</t>
  </si>
  <si>
    <t>3.1 Remediation Actions</t>
  </si>
  <si>
    <t>Auto-Remediate</t>
  </si>
  <si>
    <t>System applies expected value automatically</t>
  </si>
  <si>
    <t>Manual Fix</t>
  </si>
  <si>
    <t>Mark as fixing manually, update status</t>
  </si>
  <si>
    <t>Create Ticket</t>
  </si>
  <si>
    <t>Generate Jira/ServiceNow ticket</t>
  </si>
  <si>
    <t>Ignore (with reason)</t>
  </si>
  <si>
    <t>Mark as acceptable variance</t>
  </si>
  <si>
    <t>Update Baseline</t>
  </si>
  <si>
    <t>Accept current as new baseline</t>
  </si>
  <si>
    <t>Notify manager/security team</t>
  </si>
  <si>
    <t>View Diff</t>
  </si>
  <si>
    <t>Side-by-side config comparison</t>
  </si>
  <si>
    <t>Timeline of drift changes</t>
  </si>
  <si>
    <t>--- END OF DRIFT PAGE SPECIFICATION ---</t>
  </si>
  <si>
    <t>DEPENDENCIES PAGE - FUNCTIONAL SPECIFICATION</t>
  </si>
  <si>
    <t>SECTION 1: DEPENDENCY DATA GRID</t>
  </si>
  <si>
    <t>Dependency ID</t>
  </si>
  <si>
    <t>Unique identifier (DEP-XXXX)</t>
  </si>
  <si>
    <t>The dependent release</t>
  </si>
  <si>
    <t>Dependent release name</t>
  </si>
  <si>
    <t>The prerequisite release</t>
  </si>
  <si>
    <t>Prerequisite release name</t>
  </si>
  <si>
    <t>Hard/Soft/Optional</t>
  </si>
  <si>
    <t>Pending/Satisfied/Blocked/Broken</t>
  </si>
  <si>
    <t>Additional details</t>
  </si>
  <si>
    <t>View Chain, Edit, Remove</t>
  </si>
  <si>
    <t>1.2 Dependency Types</t>
  </si>
  <si>
    <t>Blocks release if unsatisfied; cannot proceed</t>
  </si>
  <si>
    <t>Warning only; release can proceed with risk</t>
  </si>
  <si>
    <t>Informational; no blocking behavior</t>
  </si>
  <si>
    <t>SECTION 2: DEPENDENCY VISUALIZATION</t>
  </si>
  <si>
    <t>2.1 Dependency Graph/Tree View</t>
  </si>
  <si>
    <t>Grid View ↔ Graph View button</t>
  </si>
  <si>
    <t>Graph Layout</t>
  </si>
  <si>
    <t>Directed acyclic graph (DAG) showing dependencies</t>
  </si>
  <si>
    <t>Node Display</t>
  </si>
  <si>
    <t>Release ID + Name + Status badge</t>
  </si>
  <si>
    <t>Edge Style</t>
  </si>
  <si>
    <t>Arrows from dependent → prerequisite</t>
  </si>
  <si>
    <t>Edge Color</t>
  </si>
  <si>
    <t>Hard=Red, Soft=Yellow, Optional=Gray</t>
  </si>
  <si>
    <t>Blocked Path</t>
  </si>
  <si>
    <t>Red dashed line for broken chain</t>
  </si>
  <si>
    <t>Node Click</t>
  </si>
  <si>
    <t>Opens release detail panel</t>
  </si>
  <si>
    <t>Zoom/Pan</t>
  </si>
  <si>
    <t>Mouse wheel zoom, drag to pan</t>
  </si>
  <si>
    <t>Filter by Release</t>
  </si>
  <si>
    <t>Show only dependencies for selected release</t>
  </si>
  <si>
    <t>Export Graph</t>
  </si>
  <si>
    <t>PNG/SVG export of visualization</t>
  </si>
  <si>
    <t>SECTION 3: IMPACT ANALYSIS</t>
  </si>
  <si>
    <t>3.1 Impact Analysis Features</t>
  </si>
  <si>
    <t>Upstream Analysis</t>
  </si>
  <si>
    <t>Shows all releases that THIS release depends on</t>
  </si>
  <si>
    <t>Downstream Analysis</t>
  </si>
  <si>
    <t>Shows all releases that depend on THIS release</t>
  </si>
  <si>
    <t>Critical Path</t>
  </si>
  <si>
    <t>Highlights the longest dependency chain</t>
  </si>
  <si>
    <t>Circular Detection</t>
  </si>
  <si>
    <t>Alerts if circular dependency detected</t>
  </si>
  <si>
    <t>What-If Analysis</t>
  </si>
  <si>
    <t>Simulate: "If REL-001 is delayed, what's impacted?"</t>
  </si>
  <si>
    <t>Cascade Alert</t>
  </si>
  <si>
    <t>Notify all downstream owners if blocker occurs</t>
  </si>
  <si>
    <t>Dependency Score</t>
  </si>
  <si>
    <t>Risk score based on chain length/complexity</t>
  </si>
  <si>
    <t>Gantt showing dependent releases in sequence</t>
  </si>
  <si>
    <t>--- END OF DEPENDENCIES PAGE SPECIFICATION ---</t>
  </si>
  <si>
    <t>APPROVALS PAGE - FUNCTIONAL SPECIFICATION</t>
  </si>
  <si>
    <t>SECTION 1: APPROVAL QUEUE GRID</t>
  </si>
  <si>
    <t>Unique identifier (APR-XXXX)</t>
  </si>
  <si>
    <t>Related release</t>
  </si>
  <si>
    <t>CAB/Manager/Technical/Security</t>
  </si>
  <si>
    <t>Assigned approver name</t>
  </si>
  <si>
    <t>Role/title of approver</t>
  </si>
  <si>
    <t>When submitted for approval</t>
  </si>
  <si>
    <t>Due Date</t>
  </si>
  <si>
    <t>Approval deadline</t>
  </si>
  <si>
    <t>When decision was made</t>
  </si>
  <si>
    <t>Pending/Approved/Rejected/Deferred</t>
  </si>
  <si>
    <t>Approver comments</t>
  </si>
  <si>
    <t>Associated CAB meeting</t>
  </si>
  <si>
    <t>Days Pending</t>
  </si>
  <si>
    <t>Days awaiting decision</t>
  </si>
  <si>
    <t>Approve, Reject, Defer, View</t>
  </si>
  <si>
    <t>1.2 Approval Types &amp; Workflows</t>
  </si>
  <si>
    <t>CAB Approval</t>
  </si>
  <si>
    <t>CAB members</t>
  </si>
  <si>
    <t>Releases requiring change board review</t>
  </si>
  <si>
    <t>Manager Approval</t>
  </si>
  <si>
    <t>Department manager</t>
  </si>
  <si>
    <t>High/Critical risk releases</t>
  </si>
  <si>
    <t>Tech lead/Architect</t>
  </si>
  <si>
    <t>Complex technical changes</t>
  </si>
  <si>
    <t>Security team</t>
  </si>
  <si>
    <t>Security-impacting changes</t>
  </si>
  <si>
    <t>Executive Approval</t>
  </si>
  <si>
    <t>VP/Director</t>
  </si>
  <si>
    <t>Critical risk or major impact</t>
  </si>
  <si>
    <t>Emergency Approval</t>
  </si>
  <si>
    <t>On-call manager</t>
  </si>
  <si>
    <t>Urgent/hotfix releases</t>
  </si>
  <si>
    <t>SECTION 2: DECISION WORKFLOW</t>
  </si>
  <si>
    <t>2.1 Decision Actions</t>
  </si>
  <si>
    <t>Effect</t>
  </si>
  <si>
    <t>Requirements</t>
  </si>
  <si>
    <t>Release proceeds to next stage</t>
  </si>
  <si>
    <t>Optional comment</t>
  </si>
  <si>
    <t>Approve with Conditions</t>
  </si>
  <si>
    <t>Approved but conditions must be met</t>
  </si>
  <si>
    <t>Mandatory conditions list</t>
  </si>
  <si>
    <t>Reject</t>
  </si>
  <si>
    <t>Release blocked, requires rework</t>
  </si>
  <si>
    <t>Mandatory rejection reason</t>
  </si>
  <si>
    <t>Defer</t>
  </si>
  <si>
    <t>Decision postponed to future CAB</t>
  </si>
  <si>
    <t>New target date required</t>
  </si>
  <si>
    <t>Request Info</t>
  </si>
  <si>
    <t>Holds decision pending info</t>
  </si>
  <si>
    <t>Questions sent to submitter</t>
  </si>
  <si>
    <t>Delegate</t>
  </si>
  <si>
    <t>Reassign to another approver</t>
  </si>
  <si>
    <t>Select new approver</t>
  </si>
  <si>
    <t>Push to higher authority</t>
  </si>
  <si>
    <t>Escalation reason</t>
  </si>
  <si>
    <t>SECTION 3: CAB MEETING INTEGRATION</t>
  </si>
  <si>
    <t>3.1 CAB Features</t>
  </si>
  <si>
    <t>CAB Agenda</t>
  </si>
  <si>
    <t>Auto-generated agenda from pending approvals</t>
  </si>
  <si>
    <t>Meeting Calendar</t>
  </si>
  <si>
    <t>Link to CAB meeting schedule</t>
  </si>
  <si>
    <t>Batch Decisions</t>
  </si>
  <si>
    <t>Approve/reject multiple items in meeting</t>
  </si>
  <si>
    <t>Meeting Notes</t>
  </si>
  <si>
    <t>Record discussion points per item</t>
  </si>
  <si>
    <t>Quorum Tracking</t>
  </si>
  <si>
    <t>Ensure required attendees present</t>
  </si>
  <si>
    <t>Voting System</t>
  </si>
  <si>
    <t>Record individual votes if needed</t>
  </si>
  <si>
    <t>Meeting Minutes</t>
  </si>
  <si>
    <t>Auto-generate minutes from decisions</t>
  </si>
  <si>
    <t>Attendance Log</t>
  </si>
  <si>
    <t>Track who participated in each meeting</t>
  </si>
  <si>
    <t>--- END OF APPROVALS PAGE SPECIFICATION ---</t>
  </si>
  <si>
    <t>LEAVE CALENDAR PAGE - FUNCTIONAL SPECIFICATION</t>
  </si>
  <si>
    <t>SECTION 1: LEAVE DATA GRID</t>
  </si>
  <si>
    <t>Unique identifier (LV-XXXX)</t>
  </si>
  <si>
    <t>Link to user profile</t>
  </si>
  <si>
    <t>Full name of resource</t>
  </si>
  <si>
    <t>User's department</t>
  </si>
  <si>
    <t>PTO/Sick/WFH/Training/Holiday</t>
  </si>
  <si>
    <t>Leave start date</t>
  </si>
  <si>
    <t>Leave end date</t>
  </si>
  <si>
    <t>Total business days</t>
  </si>
  <si>
    <t>Approved/Pending/Rejected</t>
  </si>
  <si>
    <t>Impacted Releases</t>
  </si>
  <si>
    <t>Count/Link</t>
  </si>
  <si>
    <t>Releases during leave period</t>
  </si>
  <si>
    <t>Risk Flag</t>
  </si>
  <si>
    <t>⚠️ if impacts critical release</t>
  </si>
  <si>
    <t>Leave notes/reason</t>
  </si>
  <si>
    <t>SECTION 2: CALENDAR VISUALIZATION</t>
  </si>
  <si>
    <t>2.1 Resource Calendar View</t>
  </si>
  <si>
    <t>Y-Axis</t>
  </si>
  <si>
    <t>Resource names (grouped by department)</t>
  </si>
  <si>
    <t>X-Axis</t>
  </si>
  <si>
    <t>Date timeline (day/week/month)</t>
  </si>
  <si>
    <t>Leave Bars</t>
  </si>
  <si>
    <t>Horizontal bars showing leave periods</t>
  </si>
  <si>
    <t>Color Coding</t>
  </si>
  <si>
    <t>By leave type (PTO=Blue, Sick=Red, WFH=Green)</t>
  </si>
  <si>
    <t>Vertical marker for current date</t>
  </si>
  <si>
    <t>Release Overlay</t>
  </si>
  <si>
    <t>Optional: show release dates in same view</t>
  </si>
  <si>
    <t>Conflict Highlight</t>
  </si>
  <si>
    <t>Red border when leave overlaps release owner</t>
  </si>
  <si>
    <t>Filter by Dept</t>
  </si>
  <si>
    <t>Show only specific department resources</t>
  </si>
  <si>
    <t>SECTION 3: RELEASE RISK IMPACT</t>
  </si>
  <si>
    <t>3.1 Risk Assessment</t>
  </si>
  <si>
    <t>Auto-Detection</t>
  </si>
  <si>
    <t>Flags when release owner is on leave during release</t>
  </si>
  <si>
    <t>Key Person Alert</t>
  </si>
  <si>
    <t>Extra flag for critical/lead resources</t>
  </si>
  <si>
    <t>Coverage Check</t>
  </si>
  <si>
    <t>Warns if no backup assigned during leave</t>
  </si>
  <si>
    <t>Impact Score</t>
  </si>
  <si>
    <t>Adds to release risk score calculation</t>
  </si>
  <si>
    <t>Suggested Actions</t>
  </si>
  <si>
    <t>Recommend backup assignment or reschedule</t>
  </si>
  <si>
    <t>Notification</t>
  </si>
  <si>
    <t>Alert release owner of team leave overlap</t>
  </si>
  <si>
    <t>Dashboard Widget</t>
  </si>
  <si>
    <t>Shows leaves impacting upcoming releases</t>
  </si>
  <si>
    <t>Report Export</t>
  </si>
  <si>
    <t>Resource availability report by date range</t>
  </si>
  <si>
    <t>--- END OF LEAVE CALENDAR PAGE SPECIFICATION ---</t>
  </si>
  <si>
    <t>VERSION MANAGEMENT PAGE - FUNCTIONAL SPECIFICATION</t>
  </si>
  <si>
    <t>SECTION 1: VERSION TRACKING GRID</t>
  </si>
  <si>
    <t>Link to application detail</t>
  </si>
  <si>
    <t>Dev Version</t>
  </si>
  <si>
    <t>Current version in Dev env</t>
  </si>
  <si>
    <t>Test Version</t>
  </si>
  <si>
    <t>Current version in Test env</t>
  </si>
  <si>
    <t>UAT Version</t>
  </si>
  <si>
    <t>Current version in UAT env</t>
  </si>
  <si>
    <t>Pre-Prod Version</t>
  </si>
  <si>
    <t>Current version in Pre-Prod</t>
  </si>
  <si>
    <t>Prod Version</t>
  </si>
  <si>
    <t>Current version in Production</t>
  </si>
  <si>
    <t>Last Deployed</t>
  </si>
  <si>
    <t>Most recent deployment</t>
  </si>
  <si>
    <t>Deploy Status</t>
  </si>
  <si>
    <t>Synced/Drift/Pending</t>
  </si>
  <si>
    <t>Next Release</t>
  </si>
  <si>
    <t>Upcoming release ID</t>
  </si>
  <si>
    <t>Application owner</t>
  </si>
  <si>
    <t>Health</t>
  </si>
  <si>
    <t>🟢/🟡/🔴 status indicator</t>
  </si>
  <si>
    <t>SECTION 2: VERSION COMPARISON &amp; DRIFT</t>
  </si>
  <si>
    <t>2.1 Drift Detection</t>
  </si>
  <si>
    <t>Version Mismatch Alert</t>
  </si>
  <si>
    <t>Highlights when env versions don't match expected</t>
  </si>
  <si>
    <t>Expected Flow</t>
  </si>
  <si>
    <t>Dev → Test → UAT → Pre-Prod → Prod sequence</t>
  </si>
  <si>
    <t>Skip Detection</t>
  </si>
  <si>
    <t>Warns if version skips an environment</t>
  </si>
  <si>
    <t>Rollback Detection</t>
  </si>
  <si>
    <t>Alerts if Prod version is older than lower env</t>
  </si>
  <si>
    <t>Sync Status</t>
  </si>
  <si>
    <t>Shows which envs are in sync</t>
  </si>
  <si>
    <t>Time Since Deploy</t>
  </si>
  <si>
    <t>Days since last deployment to each env</t>
  </si>
  <si>
    <t>Pending Releases</t>
  </si>
  <si>
    <t>Count of releases waiting to deploy</t>
  </si>
  <si>
    <t>SECTION 3: DEPLOYMENT HISTORY</t>
  </si>
  <si>
    <t>3.1 History Features</t>
  </si>
  <si>
    <t>Deployment Log</t>
  </si>
  <si>
    <t>Full history of all deployments per app</t>
  </si>
  <si>
    <t>Version Timeline</t>
  </si>
  <si>
    <t>Visual timeline of version changes</t>
  </si>
  <si>
    <t>Compare Versions</t>
  </si>
  <si>
    <t>Diff between any two versions</t>
  </si>
  <si>
    <t>Track of rollbacks with reasons</t>
  </si>
  <si>
    <t>Deploy Duration</t>
  </si>
  <si>
    <t>Time taken for each deployment</t>
  </si>
  <si>
    <t>Success Rate</t>
  </si>
  <si>
    <t>% of successful deployments</t>
  </si>
  <si>
    <t>Filter by Date</t>
  </si>
  <si>
    <t>View history for specific date range</t>
  </si>
  <si>
    <t>Export History</t>
  </si>
  <si>
    <t>CSV export of deployment log</t>
  </si>
  <si>
    <t>--- END OF VERSION MANAGEMENT PAGE SPECIFICATION ---</t>
  </si>
  <si>
    <t>SYSTEM MAPPING PAGE - FUNCTIONAL SPECIFICATION</t>
  </si>
  <si>
    <t>SECTION 1: INTEGRATION DIAGRAM VIEW</t>
  </si>
  <si>
    <t>1.1 Diagram Features</t>
  </si>
  <si>
    <t>Diagram Type</t>
  </si>
  <si>
    <t>Interactive network graph of system integrations</t>
  </si>
  <si>
    <t>Node: Application</t>
  </si>
  <si>
    <t>Circles representing each application</t>
  </si>
  <si>
    <t>Node Size</t>
  </si>
  <si>
    <t>Based on number of integrations</t>
  </si>
  <si>
    <t>Node Color</t>
  </si>
  <si>
    <t>By department or status (healthy/warning/down)</t>
  </si>
  <si>
    <t>Edge: Integration</t>
  </si>
  <si>
    <t>Lines connecting integrated systems</t>
  </si>
  <si>
    <t>Edge Direction</t>
  </si>
  <si>
    <t>Arrows showing data flow direction</t>
  </si>
  <si>
    <t>Edge Label</t>
  </si>
  <si>
    <t>Integration type (API, File, DB, Message)</t>
  </si>
  <si>
    <t>Edge Weight</t>
  </si>
  <si>
    <t>Line thickness = data volume/frequency</t>
  </si>
  <si>
    <t>Cluster View</t>
  </si>
  <si>
    <t>Group by department or integration type</t>
  </si>
  <si>
    <t>Mouse controls for navigation</t>
  </si>
  <si>
    <t>Find and highlight specific system</t>
  </si>
  <si>
    <t>Show/hide by dept, status, or integration type</t>
  </si>
  <si>
    <t>Layout Options</t>
  </si>
  <si>
    <t>Hierarchical, Force-directed, Circular</t>
  </si>
  <si>
    <t>Export</t>
  </si>
  <si>
    <t>PNG/SVG/PDF export of diagram</t>
  </si>
  <si>
    <t>SECTION 2: NODE INTERACTIONS</t>
  </si>
  <si>
    <t>2.1 Node Click/Hover Actions</t>
  </si>
  <si>
    <t>View Details</t>
  </si>
  <si>
    <t>Click node</t>
  </si>
  <si>
    <t>Side panel shows system info</t>
  </si>
  <si>
    <t>Highlight Connections</t>
  </si>
  <si>
    <t>Hover node</t>
  </si>
  <si>
    <t>Connected systems highlighted</t>
  </si>
  <si>
    <t>Expand/Collapse</t>
  </si>
  <si>
    <t>Double-click</t>
  </si>
  <si>
    <t>Show/hide connected nodes</t>
  </si>
  <si>
    <t>Navigate to App</t>
  </si>
  <si>
    <t>Opens application detail page</t>
  </si>
  <si>
    <t>Show Impact</t>
  </si>
  <si>
    <t>Right-click &gt; Impact</t>
  </si>
  <si>
    <t>Highlights downstream systems</t>
  </si>
  <si>
    <t>View Releases</t>
  </si>
  <si>
    <t>Right-click &gt; Releases</t>
  </si>
  <si>
    <t>Shows releases affecting system</t>
  </si>
  <si>
    <t>Check Status</t>
  </si>
  <si>
    <t>Right-click &gt; Status</t>
  </si>
  <si>
    <t>Real-time health check</t>
  </si>
  <si>
    <t>Add Integration</t>
  </si>
  <si>
    <t>Right-click &gt; Add</t>
  </si>
  <si>
    <t>Opens add integration modal</t>
  </si>
  <si>
    <t>What-If Mode</t>
  </si>
  <si>
    <t>Simulate system outage and see affected systems</t>
  </si>
  <si>
    <t>Cascade Visualization</t>
  </si>
  <si>
    <t>Animated propagation of impact</t>
  </si>
  <si>
    <t>Identify single points of failure</t>
  </si>
  <si>
    <t>Dependency Depth</t>
  </si>
  <si>
    <t>Show N-levels of dependencies</t>
  </si>
  <si>
    <t>Calculate business impact rating</t>
  </si>
  <si>
    <t>Affected Releases</t>
  </si>
  <si>
    <t>List releases impacted by change</t>
  </si>
  <si>
    <t>Notification List</t>
  </si>
  <si>
    <t>Show who needs to be notified</t>
  </si>
  <si>
    <t>Export Impact Report</t>
  </si>
  <si>
    <t>PDF summary of impact analysis</t>
  </si>
  <si>
    <t>--- END OF SYSTEM MAPPING PAGE SPECIFICATION ---</t>
  </si>
  <si>
    <t>MONITORING ALERTS PAGE - FUNCTIONAL SPECIFICATION</t>
  </si>
  <si>
    <t>SECTION 1: ALERT DATA GRID</t>
  </si>
  <si>
    <t>Unique identifier (ALT-XXXX)</t>
  </si>
  <si>
    <t>When alert was triggered</t>
  </si>
  <si>
    <t>Dev/Test/UAT/Prod</t>
  </si>
  <si>
    <t>Performance/Error/Security/Availability</t>
  </si>
  <si>
    <t>P1/P2/P3/P4</t>
  </si>
  <si>
    <t>What was measured</t>
  </si>
  <si>
    <t>Configured threshold value</t>
  </si>
  <si>
    <t>Actual value at alert time</t>
  </si>
  <si>
    <t>Active/Acknowledged/Resolved/Silenced</t>
  </si>
  <si>
    <t>Owner of resolution</t>
  </si>
  <si>
    <t>Time</t>
  </si>
  <si>
    <t>How long alert has been active</t>
  </si>
  <si>
    <t>If triggered by deployment</t>
  </si>
  <si>
    <t>Ack, Resolve, Silence, View</t>
  </si>
  <si>
    <t>SECTION 2: ALERT ACTIONS &amp; WORKFLOW</t>
  </si>
  <si>
    <t>2.1 Alert Actions</t>
  </si>
  <si>
    <t>Acknowledge</t>
  </si>
  <si>
    <t>Marks alert as being worked on</t>
  </si>
  <si>
    <t>Assigns to current user</t>
  </si>
  <si>
    <t>Resolve</t>
  </si>
  <si>
    <t>Closes alert as fixed</t>
  </si>
  <si>
    <t>Resolution notes required</t>
  </si>
  <si>
    <t>Silence</t>
  </si>
  <si>
    <t>Mutes alert for duration</t>
  </si>
  <si>
    <t>Duration + reason required</t>
  </si>
  <si>
    <t>Pushes to on-call/manager</t>
  </si>
  <si>
    <t>Escalation reason required</t>
  </si>
  <si>
    <t>Create Incident</t>
  </si>
  <si>
    <t>Creates incident record</t>
  </si>
  <si>
    <t>Pre-fills from alert data</t>
  </si>
  <si>
    <t>Link to Release</t>
  </si>
  <si>
    <t>Associates with deployment</t>
  </si>
  <si>
    <t>Select release from list</t>
  </si>
  <si>
    <t>Add Note</t>
  </si>
  <si>
    <t>Records investigation notes</t>
  </si>
  <si>
    <t>Timestamp auto-added</t>
  </si>
  <si>
    <t>Shows alert timeline</t>
  </si>
  <si>
    <t>Read-only view</t>
  </si>
  <si>
    <t>SECTION 3: MONITORING DASHBOARD</t>
  </si>
  <si>
    <t>3.1 Dashboard Components</t>
  </si>
  <si>
    <t>Alert Summary</t>
  </si>
  <si>
    <t>Active alerts by severity (P1: 2, P2: 5, etc.)</t>
  </si>
  <si>
    <t>Alert volume over past 24h/7d/30d</t>
  </si>
  <si>
    <t>Top Affected Apps</t>
  </si>
  <si>
    <t>Applications with most alerts</t>
  </si>
  <si>
    <t>Alert Heatmap</t>
  </si>
  <si>
    <t>Time of day × day of week alert frequency</t>
  </si>
  <si>
    <t>SLA Compliance</t>
  </si>
  <si>
    <t>% of alerts resolved within SLA</t>
  </si>
  <si>
    <t>On-Call Status</t>
  </si>
  <si>
    <t>Current on-call roster and availability</t>
  </si>
  <si>
    <t>Recent Activity</t>
  </si>
  <si>
    <t>Live feed of alert state changes</t>
  </si>
  <si>
    <t>Noise Metrics</t>
  </si>
  <si>
    <t>False positive rate, silence frequency</t>
  </si>
  <si>
    <t>--- END OF MONITORING ALERTS PAGE SPECIFICATION ---</t>
  </si>
  <si>
    <t>INCIDENTS PAGE - FUNCTIONAL SPECIFICATION</t>
  </si>
  <si>
    <t>SECTION 1: INCIDENT DATA GRID</t>
  </si>
  <si>
    <t>Unique identifier (INC-XXXX)</t>
  </si>
  <si>
    <t>Created</t>
  </si>
  <si>
    <t>When incident was created</t>
  </si>
  <si>
    <t>Impacted environment</t>
  </si>
  <si>
    <t>P1-Critical to P4-Low</t>
  </si>
  <si>
    <t>Incident summary title</t>
  </si>
  <si>
    <t>Open/Investigating/Resolved/Closed</t>
  </si>
  <si>
    <t>Business impact description</t>
  </si>
  <si>
    <t>Current owner</t>
  </si>
  <si>
    <t>Release that caused incident</t>
  </si>
  <si>
    <t>Time open (or time to resolve)</t>
  </si>
  <si>
    <t>RCA Status</t>
  </si>
  <si>
    <t>Pending/In Progress/Complete</t>
  </si>
  <si>
    <t>Customers Affected</t>
  </si>
  <si>
    <t>Count of impacted customers</t>
  </si>
  <si>
    <t>Updates</t>
  </si>
  <si>
    <t>Number of status updates</t>
  </si>
  <si>
    <t>View, Update, Resolve, RCA</t>
  </si>
  <si>
    <t>1.2 Severity Levels</t>
  </si>
  <si>
    <t>SLA Response</t>
  </si>
  <si>
    <t>SLA Resolve</t>
  </si>
  <si>
    <t>Red (#FF0000)</t>
  </si>
  <si>
    <t>15 minutes</t>
  </si>
  <si>
    <t>Orange (#FF6600)</t>
  </si>
  <si>
    <t>30 minutes</t>
  </si>
  <si>
    <t>Yellow (#FFD700)</t>
  </si>
  <si>
    <t>2 hours</t>
  </si>
  <si>
    <t>24 hours</t>
  </si>
  <si>
    <t>Blue (#4472C4)</t>
  </si>
  <si>
    <t>1.3 Status Workflow</t>
  </si>
  <si>
    <t>Next Status</t>
  </si>
  <si>
    <t>Red</t>
  </si>
  <si>
    <t>Assign owner and acknowledge</t>
  </si>
  <si>
    <t>Orange</t>
  </si>
  <si>
    <t>Mitigating/Resolved</t>
  </si>
  <si>
    <t>Identify root cause</t>
  </si>
  <si>
    <t>Yellow</t>
  </si>
  <si>
    <t>Apply temporary fix</t>
  </si>
  <si>
    <t>Green</t>
  </si>
  <si>
    <t>Confirm service restored</t>
  </si>
  <si>
    <t>Gray</t>
  </si>
  <si>
    <t>RCA complete (if required)</t>
  </si>
  <si>
    <t>SECTION 2: FILTER OPTIONS</t>
  </si>
  <si>
    <t>Multi-select</t>
  </si>
  <si>
    <t>Open, Investigating, Mitigating, Resolved, Closed</t>
  </si>
  <si>
    <t>Open, Investigating, Mitigating</t>
  </si>
  <si>
    <t>From Applications list</t>
  </si>
  <si>
    <t>PROD, UAT, TEST, DEV</t>
  </si>
  <si>
    <t>User Picker</t>
  </si>
  <si>
    <t>Active users</t>
  </si>
  <si>
    <t>Date Picker</t>
  </si>
  <si>
    <t>Custom, Today, Last 7/30/90 days</t>
  </si>
  <si>
    <t>Last 30 days</t>
  </si>
  <si>
    <t>Pending, In Progress, Complete, N/A</t>
  </si>
  <si>
    <t>Release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</si>
</sst>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
    <numFmt numFmtId="166" formatCode="yyyy\-mm\-dd\ hh:mm"/>
    <numFmt numFmtId="167" formatCode="dd\-mmm\-yyyy\ hh:mm"/>
    <numFmt numFmtId="168" formatCode="dd\-mmm\-yyyy\ hh:mm\ AM/PM"/>
  </numFmts>
  <fonts count="87"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8"/>
      <color rgb="FF1F4E79"/>
      <name val="Aptos Narrow"/>
      <family val="2"/>
      <scheme val="minor"/>
    </font>
    <font>
      <b/>
      <sz val="14"/>
      <color rgb="FFFFFFFF"/>
      <name val="Aptos Narrow"/>
      <family val="2"/>
      <scheme val="minor"/>
    </font>
    <font>
      <sz val="11"/>
      <color theme="1"/>
      <name val="Consolas"/>
    </font>
    <font>
      <b/>
      <sz val="12"/>
      <color theme="1"/>
      <name val="Aptos Narrow"/>
      <family val="2"/>
      <scheme val="minor"/>
    </font>
    <font>
      <sz val="11"/>
      <color rgb="FF1F4E79"/>
      <name val="Aptos Narrow"/>
      <family val="2"/>
      <scheme val="minor"/>
    </font>
    <font>
      <sz val="9"/>
      <color theme="1"/>
      <name val="Consolas"/>
    </font>
    <font>
      <sz val="11"/>
      <color rgb="FFFFFFFF"/>
      <name val="Aptos Narrow"/>
      <family val="2"/>
      <scheme val="minor"/>
    </font>
    <font>
      <b/>
      <sz val="11"/>
      <color rgb="FFC00000"/>
      <name val="Aptos Narrow"/>
      <family val="2"/>
      <scheme val="minor"/>
    </font>
    <font>
      <b/>
      <sz val="14"/>
      <color rgb="FF305496"/>
      <name val="Aptos Narrow"/>
      <family val="2"/>
      <scheme val="minor"/>
    </font>
    <font>
      <i/>
      <sz val="11"/>
      <color theme="1"/>
      <name val="Aptos Narrow"/>
      <family val="2"/>
      <scheme val="minor"/>
    </font>
    <font>
      <b/>
      <sz val="16"/>
      <color theme="1"/>
      <name val="Aptos Narrow"/>
      <family val="2"/>
      <scheme val="minor"/>
    </font>
    <font>
      <b/>
      <sz val="16"/>
      <color rgb="FFFFFFFF"/>
      <name val="Aptos Narrow"/>
      <family val="2"/>
      <scheme val="minor"/>
    </font>
    <font>
      <sz val="11"/>
      <color rgb="FFFF6B6B"/>
      <name val="Aptos Narrow"/>
      <family val="2"/>
      <scheme val="minor"/>
    </font>
    <font>
      <sz val="11"/>
      <color rgb="FFC00000"/>
      <name val="Aptos Narrow"/>
      <family val="2"/>
      <scheme val="minor"/>
    </font>
    <font>
      <sz val="11"/>
      <color rgb="FFFFC000"/>
      <name val="Aptos Narrow"/>
      <family val="2"/>
      <scheme val="minor"/>
    </font>
    <font>
      <sz val="11"/>
      <color rgb="FF92D050"/>
      <name val="Aptos Narrow"/>
      <family val="2"/>
      <scheme val="minor"/>
    </font>
    <font>
      <sz val="11"/>
      <color rgb="FFB4A7D6"/>
      <name val="Aptos Narrow"/>
      <family val="2"/>
      <scheme val="minor"/>
    </font>
    <font>
      <sz val="11"/>
      <color rgb="FF00B0F0"/>
      <name val="Aptos Narrow"/>
      <family val="2"/>
      <scheme val="minor"/>
    </font>
    <font>
      <b/>
      <sz val="12"/>
      <color rgb="FFFFFFFF"/>
      <name val="Aptos Narrow"/>
      <family val="2"/>
      <scheme val="minor"/>
    </font>
    <font>
      <b/>
      <i/>
      <sz val="11"/>
      <color theme="1"/>
      <name val="Aptos Narrow"/>
      <family val="2"/>
      <scheme val="minor"/>
    </font>
    <font>
      <b/>
      <sz val="12"/>
      <color rgb="FF1F4E79"/>
      <name val="Aptos Narrow"/>
      <family val="2"/>
      <scheme val="minor"/>
    </font>
    <font>
      <b/>
      <sz val="24"/>
      <color rgb="FF1F4E79"/>
      <name val="Aptos Narrow"/>
      <family val="2"/>
      <scheme val="minor"/>
    </font>
    <font>
      <b/>
      <sz val="14"/>
      <color theme="1"/>
      <name val="Aptos Narrow"/>
      <family val="2"/>
      <scheme val="minor"/>
    </font>
    <font>
      <b/>
      <sz val="16"/>
      <color rgb="FFC00000"/>
      <name val="Aptos Narrow"/>
      <family val="2"/>
      <scheme val="minor"/>
    </font>
    <font>
      <b/>
      <sz val="16"/>
      <color rgb="FF548235"/>
      <name val="Aptos Narrow"/>
      <family val="2"/>
      <scheme val="minor"/>
    </font>
    <font>
      <b/>
      <sz val="16"/>
      <color rgb="FFED7D31"/>
      <name val="Aptos Narrow"/>
      <family val="2"/>
      <scheme val="minor"/>
    </font>
    <font>
      <i/>
      <sz val="9"/>
      <color rgb="FF666666"/>
      <name val="Aptos Narrow"/>
      <family val="2"/>
      <scheme val="minor"/>
    </font>
    <font>
      <b/>
      <sz val="14"/>
      <color rgb="FF2980B9"/>
      <name val="Aptos Narrow"/>
      <family val="2"/>
      <scheme val="minor"/>
    </font>
    <font>
      <b/>
      <sz val="14"/>
      <color rgb="FFE74C3C"/>
      <name val="Aptos Narrow"/>
      <family val="2"/>
      <scheme val="minor"/>
    </font>
    <font>
      <b/>
      <sz val="14"/>
      <color rgb="FFF39C12"/>
      <name val="Aptos Narrow"/>
      <family val="2"/>
      <scheme val="minor"/>
    </font>
    <font>
      <b/>
      <sz val="14"/>
      <color rgb="FFC0392B"/>
      <name val="Aptos Narrow"/>
      <family val="2"/>
      <scheme val="minor"/>
    </font>
    <font>
      <sz val="8"/>
      <color rgb="FF3498DB"/>
      <name val="Aptos Narrow"/>
      <family val="2"/>
      <scheme val="minor"/>
    </font>
    <font>
      <b/>
      <sz val="10"/>
      <color theme="1"/>
      <name val="Aptos Narrow"/>
      <family val="2"/>
      <scheme val="minor"/>
    </font>
    <font>
      <b/>
      <sz val="9"/>
      <color theme="1"/>
      <name val="Aptos Narrow"/>
      <family val="2"/>
      <scheme val="minor"/>
    </font>
    <font>
      <b/>
      <sz val="14"/>
      <color rgb="FFE67E22"/>
      <name val="Aptos Narrow"/>
      <family val="2"/>
      <scheme val="minor"/>
    </font>
    <font>
      <b/>
      <sz val="14"/>
      <color rgb="FFF1C40F"/>
      <name val="Aptos Narrow"/>
      <family val="2"/>
      <scheme val="minor"/>
    </font>
    <font>
      <b/>
      <sz val="14"/>
      <color rgb="FF2C3E50"/>
      <name val="Aptos Narrow"/>
      <family val="2"/>
      <scheme val="minor"/>
    </font>
    <font>
      <b/>
      <sz val="11"/>
      <color rgb="FF2980B9"/>
      <name val="Aptos Narrow"/>
      <family val="2"/>
      <scheme val="minor"/>
    </font>
    <font>
      <i/>
      <sz val="10"/>
      <color rgb="FF7F8C8D"/>
      <name val="Aptos Narrow"/>
      <family val="2"/>
      <scheme val="minor"/>
    </font>
    <font>
      <i/>
      <sz val="11"/>
      <color rgb="FF666666"/>
      <name val="Aptos Narrow"/>
      <family val="2"/>
      <scheme val="minor"/>
    </font>
    <font>
      <b/>
      <sz val="11"/>
      <color rgb="FF1F4E79"/>
      <name val="Aptos Narrow"/>
      <family val="2"/>
      <scheme val="minor"/>
    </font>
    <font>
      <b/>
      <sz val="14"/>
      <color rgb="FF1F4E79"/>
      <name val="Aptos Narrow"/>
      <family val="2"/>
      <scheme val="minor"/>
    </font>
    <font>
      <b/>
      <sz val="12"/>
      <color rgb="FFC00000"/>
      <name val="Aptos Narrow"/>
      <family val="2"/>
      <scheme val="minor"/>
    </font>
    <font>
      <b/>
      <sz val="24"/>
      <color rgb="FFFFFFFF"/>
      <name val="Aptos Narrow"/>
      <family val="2"/>
      <scheme val="minor"/>
    </font>
    <font>
      <sz val="12"/>
      <color rgb="FFB4C6E7"/>
      <name val="Aptos Narrow"/>
      <family val="2"/>
      <scheme val="minor"/>
    </font>
    <font>
      <sz val="10"/>
      <color rgb="FFB4C6E7"/>
      <name val="Aptos Narrow"/>
      <family val="2"/>
      <scheme val="minor"/>
    </font>
    <font>
      <sz val="11"/>
      <color rgb="FFB4C6E7"/>
      <name val="Aptos Narrow"/>
      <family val="2"/>
      <scheme val="minor"/>
    </font>
    <font>
      <sz val="11"/>
      <color rgb="FF666666"/>
      <name val="Aptos Narrow"/>
      <family val="2"/>
      <scheme val="minor"/>
    </font>
    <font>
      <sz val="24"/>
      <color rgb="FFFFFFFF"/>
      <name val="Aptos Narrow"/>
      <family val="2"/>
      <scheme val="minor"/>
    </font>
    <font>
      <sz val="9"/>
      <color rgb="FFE8F5E9"/>
      <name val="Aptos Narrow"/>
      <family val="2"/>
      <scheme val="minor"/>
    </font>
    <font>
      <sz val="9"/>
      <color rgb="FFFFE0CC"/>
      <name val="Aptos Narrow"/>
      <family val="2"/>
      <scheme val="minor"/>
    </font>
    <font>
      <sz val="9"/>
      <color rgb="FFFFCCCC"/>
      <name val="Aptos Narrow"/>
      <family val="2"/>
      <scheme val="minor"/>
    </font>
    <font>
      <sz val="9"/>
      <color rgb="FFE6CCF5"/>
      <name val="Aptos Narrow"/>
      <family val="2"/>
      <scheme val="minor"/>
    </font>
    <font>
      <sz val="9"/>
      <color rgb="FFB2DFDB"/>
      <name val="Aptos Narrow"/>
      <family val="2"/>
      <scheme val="minor"/>
    </font>
    <font>
      <sz val="9"/>
      <color rgb="FFFFCDD2"/>
      <name val="Aptos Narrow"/>
      <family val="2"/>
      <scheme val="minor"/>
    </font>
    <font>
      <sz val="9"/>
      <color rgb="FFBBDEFB"/>
      <name val="Aptos Narrow"/>
      <family val="2"/>
      <scheme val="minor"/>
    </font>
    <font>
      <sz val="9"/>
      <color rgb="FFFFF3E0"/>
      <name val="Aptos Narrow"/>
      <family val="2"/>
      <scheme val="minor"/>
    </font>
    <font>
      <sz val="9"/>
      <color rgb="FFC5CAE9"/>
      <name val="Aptos Narrow"/>
      <family val="2"/>
      <scheme val="minor"/>
    </font>
    <font>
      <b/>
      <sz val="14"/>
      <color rgb="FF156082"/>
      <name val="Aptos Narrow"/>
      <family val="2"/>
      <scheme val="minor"/>
    </font>
    <font>
      <sz val="10"/>
      <color rgb="FFFFFFFF"/>
      <name val="Aptos Narrow"/>
      <family val="2"/>
      <scheme val="minor"/>
    </font>
    <font>
      <sz val="8"/>
      <color rgb="FFB4C6E7"/>
      <name val="Aptos Narrow"/>
      <family val="2"/>
      <scheme val="minor"/>
    </font>
    <font>
      <sz val="9"/>
      <color rgb="FFB4C6E7"/>
      <name val="Aptos Narrow"/>
      <family val="2"/>
      <scheme val="minor"/>
    </font>
    <font>
      <sz val="9"/>
      <color rgb="FF666666"/>
      <name val="Aptos Narrow"/>
      <family val="2"/>
      <scheme val="minor"/>
    </font>
    <font>
      <b/>
      <sz val="20"/>
      <color rgb="FF1F4E79"/>
      <name val="Aptos Narrow"/>
      <family val="2"/>
      <scheme val="minor"/>
    </font>
    <font>
      <b/>
      <sz val="20"/>
      <color rgb="FFC00000"/>
      <name val="Aptos Narrow"/>
      <family val="2"/>
      <scheme val="minor"/>
    </font>
    <font>
      <b/>
      <sz val="20"/>
      <color rgb="FFD32F2F"/>
      <name val="Aptos Narrow"/>
      <family val="2"/>
      <scheme val="minor"/>
    </font>
    <font>
      <b/>
      <sz val="20"/>
      <color rgb="FF8B0000"/>
      <name val="Aptos Narrow"/>
      <family val="2"/>
      <scheme val="minor"/>
    </font>
    <font>
      <b/>
      <sz val="20"/>
      <color rgb="FFFF9800"/>
      <name val="Aptos Narrow"/>
      <family val="2"/>
      <scheme val="minor"/>
    </font>
    <font>
      <b/>
      <sz val="20"/>
      <color rgb="FF4EA72E"/>
      <name val="Aptos Narrow"/>
      <family val="2"/>
      <scheme val="minor"/>
    </font>
    <font>
      <sz val="10"/>
      <color rgb="FF1976D2"/>
      <name val="Aptos Narrow"/>
      <family val="2"/>
      <scheme val="minor"/>
    </font>
    <font>
      <b/>
      <sz val="10"/>
      <color rgb="FF4EA72E"/>
      <name val="Aptos Narrow"/>
      <family val="2"/>
      <scheme val="minor"/>
    </font>
    <font>
      <b/>
      <sz val="9"/>
      <color rgb="FF666666"/>
      <name val="Aptos Narrow"/>
      <family val="2"/>
      <scheme val="minor"/>
    </font>
    <font>
      <sz val="8"/>
      <color rgb="FF4EA72E"/>
      <name val="Aptos Narrow"/>
      <family val="2"/>
      <scheme val="minor"/>
    </font>
    <font>
      <sz val="8"/>
      <color rgb="FFE97132"/>
      <name val="Aptos Narrow"/>
      <family val="2"/>
      <scheme val="minor"/>
    </font>
    <font>
      <sz val="8"/>
      <color rgb="FF1976D2"/>
      <name val="Aptos Narrow"/>
      <family val="2"/>
      <scheme val="minor"/>
    </font>
    <font>
      <sz val="8"/>
      <color rgb="FF666666"/>
      <name val="Aptos Narrow"/>
      <family val="2"/>
      <scheme val="minor"/>
    </font>
    <font>
      <sz val="10"/>
      <color rgb="FF1F4E79"/>
      <name val="Aptos Narrow"/>
      <family val="2"/>
      <scheme val="minor"/>
    </font>
    <font>
      <sz val="8"/>
      <color rgb="FF999999"/>
      <name val="Aptos Narrow"/>
      <family val="2"/>
      <scheme val="minor"/>
    </font>
    <font>
      <b/>
      <sz val="18"/>
      <color rgb="FFFFFFFF"/>
      <name val="Aptos Narrow"/>
      <family val="2"/>
      <scheme val="minor"/>
    </font>
    <font>
      <b/>
      <sz val="11"/>
      <color rgb="FFC65911"/>
      <name val="Aptos Narrow"/>
      <family val="2"/>
      <scheme val="minor"/>
    </font>
    <font>
      <b/>
      <sz val="11"/>
      <color rgb="FF156082"/>
      <name val="Aptos Narrow"/>
      <family val="2"/>
      <scheme val="minor"/>
    </font>
    <font>
      <sz val="11"/>
      <color rgb="FFC65911"/>
      <name val="Aptos Narrow"/>
      <family val="2"/>
      <scheme val="minor"/>
    </font>
    <font>
      <sz val="11"/>
      <color rgb="FF156082"/>
      <name val="Aptos Narrow"/>
      <family val="2"/>
      <scheme val="minor"/>
    </font>
    <font>
      <i/>
      <sz val="10"/>
      <color theme="1"/>
      <name val="Aptos Narrow"/>
      <family val="2"/>
      <scheme val="minor"/>
    </font>
  </fonts>
  <fills count="74">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D9E1F2"/>
        <bgColor indexed="64"/>
      </patternFill>
    </fill>
    <fill>
      <patternFill patternType="solid">
        <fgColor rgb="FFFFC7CE"/>
        <bgColor indexed="64"/>
      </patternFill>
    </fill>
    <fill>
      <patternFill patternType="solid">
        <fgColor rgb="FF2E75B6"/>
        <bgColor indexed="64"/>
      </patternFill>
    </fill>
    <fill>
      <patternFill patternType="solid">
        <fgColor rgb="FFBDD7EE"/>
        <bgColor indexed="64"/>
      </patternFill>
    </fill>
    <fill>
      <patternFill patternType="solid">
        <fgColor rgb="FF538135"/>
        <bgColor indexed="64"/>
      </patternFill>
    </fill>
    <fill>
      <patternFill patternType="solid">
        <fgColor rgb="FFC6E0B4"/>
        <bgColor indexed="64"/>
      </patternFill>
    </fill>
    <fill>
      <patternFill patternType="solid">
        <fgColor rgb="FF7030A0"/>
        <bgColor indexed="64"/>
      </patternFill>
    </fill>
    <fill>
      <patternFill patternType="solid">
        <fgColor rgb="FFE2D1F0"/>
        <bgColor indexed="64"/>
      </patternFill>
    </fill>
    <fill>
      <patternFill patternType="solid">
        <fgColor rgb="FFC55A11"/>
        <bgColor indexed="64"/>
      </patternFill>
    </fill>
    <fill>
      <patternFill patternType="solid">
        <fgColor rgb="FF203864"/>
        <bgColor indexed="64"/>
      </patternFill>
    </fill>
    <fill>
      <patternFill patternType="solid">
        <fgColor rgb="FF8FAADC"/>
        <bgColor indexed="64"/>
      </patternFill>
    </fill>
    <fill>
      <patternFill patternType="solid">
        <fgColor rgb="FFC00000"/>
        <bgColor indexed="64"/>
      </patternFill>
    </fill>
    <fill>
      <patternFill patternType="solid">
        <fgColor rgb="FFF4B183"/>
        <bgColor indexed="64"/>
      </patternFill>
    </fill>
    <fill>
      <patternFill patternType="solid">
        <fgColor rgb="FF548235"/>
        <bgColor indexed="64"/>
      </patternFill>
    </fill>
    <fill>
      <patternFill patternType="solid">
        <fgColor rgb="FF305496"/>
        <bgColor indexed="64"/>
      </patternFill>
    </fill>
    <fill>
      <patternFill patternType="solid">
        <fgColor rgb="FFDDEBF7"/>
        <bgColor indexed="64"/>
      </patternFill>
    </fill>
    <fill>
      <patternFill patternType="solid">
        <fgColor rgb="FFE2EFDA"/>
        <bgColor indexed="64"/>
      </patternFill>
    </fill>
    <fill>
      <patternFill patternType="solid">
        <fgColor rgb="FFFCE4D6"/>
        <bgColor indexed="64"/>
      </patternFill>
    </fill>
    <fill>
      <patternFill patternType="solid">
        <fgColor rgb="FFFF6B6B"/>
        <bgColor indexed="64"/>
      </patternFill>
    </fill>
    <fill>
      <patternFill patternType="solid">
        <fgColor rgb="FFE4DFEC"/>
        <bgColor indexed="64"/>
      </patternFill>
    </fill>
    <fill>
      <patternFill patternType="solid">
        <fgColor rgb="FFFFC000"/>
        <bgColor indexed="64"/>
      </patternFill>
    </fill>
    <fill>
      <patternFill patternType="solid">
        <fgColor rgb="FFFFEB9C"/>
        <bgColor indexed="64"/>
      </patternFill>
    </fill>
    <fill>
      <patternFill patternType="solid">
        <fgColor rgb="FFC6EFCE"/>
        <bgColor indexed="64"/>
      </patternFill>
    </fill>
    <fill>
      <patternFill patternType="solid">
        <fgColor rgb="FFD6DCE4"/>
        <bgColor indexed="64"/>
      </patternFill>
    </fill>
    <fill>
      <patternFill patternType="solid">
        <fgColor rgb="FF2F5496"/>
        <bgColor indexed="64"/>
      </patternFill>
    </fill>
    <fill>
      <patternFill patternType="solid">
        <fgColor rgb="FFD9E2F3"/>
        <bgColor indexed="64"/>
      </patternFill>
    </fill>
    <fill>
      <patternFill patternType="solid">
        <fgColor rgb="FFD9D9D9"/>
        <bgColor indexed="64"/>
      </patternFill>
    </fill>
    <fill>
      <patternFill patternType="solid">
        <fgColor rgb="FF1F4E79"/>
        <bgColor indexed="64"/>
      </patternFill>
    </fill>
    <fill>
      <patternFill patternType="solid">
        <fgColor rgb="FFF2F2F2"/>
        <bgColor indexed="64"/>
      </patternFill>
    </fill>
    <fill>
      <patternFill patternType="solid">
        <fgColor rgb="FFF4B084"/>
        <bgColor indexed="64"/>
      </patternFill>
    </fill>
    <fill>
      <patternFill patternType="solid">
        <fgColor rgb="FFD9EAD3"/>
        <bgColor indexed="64"/>
      </patternFill>
    </fill>
    <fill>
      <patternFill patternType="solid">
        <fgColor rgb="FFFFE699"/>
        <bgColor indexed="64"/>
      </patternFill>
    </fill>
    <fill>
      <patternFill patternType="solid">
        <fgColor rgb="FFD0CECE"/>
        <bgColor indexed="64"/>
      </patternFill>
    </fill>
    <fill>
      <patternFill patternType="solid">
        <fgColor rgb="FFD6E3F8"/>
        <bgColor indexed="64"/>
      </patternFill>
    </fill>
    <fill>
      <patternFill patternType="solid">
        <fgColor rgb="FFE2E2E2"/>
        <bgColor indexed="64"/>
      </patternFill>
    </fill>
    <fill>
      <patternFill patternType="solid">
        <fgColor rgb="FFFFCCCC"/>
        <bgColor indexed="64"/>
      </patternFill>
    </fill>
    <fill>
      <patternFill patternType="solid">
        <fgColor rgb="FFED7D31"/>
        <bgColor indexed="64"/>
      </patternFill>
    </fill>
    <fill>
      <patternFill patternType="solid">
        <fgColor rgb="FF5B9BD5"/>
        <bgColor indexed="64"/>
      </patternFill>
    </fill>
    <fill>
      <patternFill patternType="solid">
        <fgColor rgb="FF70AD47"/>
        <bgColor indexed="64"/>
      </patternFill>
    </fill>
    <fill>
      <patternFill patternType="solid">
        <fgColor rgb="FFBF8F00"/>
        <bgColor indexed="64"/>
      </patternFill>
    </fill>
    <fill>
      <patternFill patternType="solid">
        <fgColor rgb="FFFFFFFF"/>
        <bgColor indexed="64"/>
      </patternFill>
    </fill>
    <fill>
      <patternFill patternType="solid">
        <fgColor rgb="FF2C3E50"/>
        <bgColor indexed="64"/>
      </patternFill>
    </fill>
    <fill>
      <patternFill patternType="solid">
        <fgColor rgb="FF1ABC9C"/>
        <bgColor indexed="64"/>
      </patternFill>
    </fill>
    <fill>
      <patternFill patternType="solid">
        <fgColor rgb="FF9B59B6"/>
        <bgColor indexed="64"/>
      </patternFill>
    </fill>
    <fill>
      <patternFill patternType="solid">
        <fgColor rgb="FFEBF5FB"/>
        <bgColor indexed="64"/>
      </patternFill>
    </fill>
    <fill>
      <patternFill patternType="solid">
        <fgColor rgb="FFF8F9F9"/>
        <bgColor indexed="64"/>
      </patternFill>
    </fill>
    <fill>
      <patternFill patternType="solid">
        <fgColor rgb="FFFDEBD0"/>
        <bgColor indexed="64"/>
      </patternFill>
    </fill>
    <fill>
      <patternFill patternType="solid">
        <fgColor rgb="FFF39C12"/>
        <bgColor indexed="64"/>
      </patternFill>
    </fill>
    <fill>
      <patternFill patternType="solid">
        <fgColor rgb="FFE8F3FF"/>
        <bgColor indexed="64"/>
      </patternFill>
    </fill>
    <fill>
      <patternFill patternType="solid">
        <fgColor rgb="FFE6F2FF"/>
        <bgColor indexed="64"/>
      </patternFill>
    </fill>
    <fill>
      <patternFill patternType="solid">
        <fgColor rgb="FFF8F9FA"/>
        <bgColor indexed="64"/>
      </patternFill>
    </fill>
    <fill>
      <patternFill patternType="solid">
        <fgColor rgb="FFFFCCCB"/>
        <bgColor indexed="64"/>
      </patternFill>
    </fill>
    <fill>
      <patternFill patternType="solid">
        <fgColor rgb="FFB4C6E7"/>
        <bgColor indexed="64"/>
      </patternFill>
    </fill>
    <fill>
      <patternFill patternType="solid">
        <fgColor rgb="FFE6D5E8"/>
        <bgColor indexed="64"/>
      </patternFill>
    </fill>
    <fill>
      <patternFill patternType="solid">
        <fgColor rgb="FFFFE4C4"/>
        <bgColor indexed="64"/>
      </patternFill>
    </fill>
    <fill>
      <patternFill patternType="solid">
        <fgColor rgb="FF2E7D32"/>
        <bgColor indexed="64"/>
      </patternFill>
    </fill>
    <fill>
      <patternFill patternType="solid">
        <fgColor rgb="FFE8F5E9"/>
        <bgColor indexed="64"/>
      </patternFill>
    </fill>
    <fill>
      <patternFill patternType="solid">
        <fgColor rgb="FF2E5A8A"/>
        <bgColor indexed="64"/>
      </patternFill>
    </fill>
    <fill>
      <patternFill patternType="solid">
        <fgColor rgb="FFF5F7FA"/>
        <bgColor indexed="64"/>
      </patternFill>
    </fill>
    <fill>
      <patternFill patternType="solid">
        <fgColor rgb="FF4EA72E"/>
        <bgColor indexed="64"/>
      </patternFill>
    </fill>
    <fill>
      <patternFill patternType="solid">
        <fgColor rgb="FFE97132"/>
        <bgColor indexed="64"/>
      </patternFill>
    </fill>
    <fill>
      <patternFill patternType="solid">
        <fgColor rgb="FF008B8B"/>
        <bgColor indexed="64"/>
      </patternFill>
    </fill>
    <fill>
      <patternFill patternType="solid">
        <fgColor rgb="FFD32F2F"/>
        <bgColor indexed="64"/>
      </patternFill>
    </fill>
    <fill>
      <patternFill patternType="solid">
        <fgColor rgb="FF1976D2"/>
        <bgColor indexed="64"/>
      </patternFill>
    </fill>
    <fill>
      <patternFill patternType="solid">
        <fgColor rgb="FFFF9800"/>
        <bgColor indexed="64"/>
      </patternFill>
    </fill>
    <fill>
      <patternFill patternType="solid">
        <fgColor rgb="FF00796B"/>
        <bgColor indexed="64"/>
      </patternFill>
    </fill>
    <fill>
      <patternFill patternType="solid">
        <fgColor rgb="FF303F9F"/>
        <bgColor indexed="64"/>
      </patternFill>
    </fill>
    <fill>
      <patternFill patternType="solid">
        <fgColor rgb="FF156082"/>
        <bgColor indexed="64"/>
      </patternFill>
    </fill>
    <fill>
      <patternFill patternType="solid">
        <fgColor rgb="FFFFF3CD"/>
        <bgColor indexed="64"/>
      </patternFill>
    </fill>
    <fill>
      <patternFill patternType="solid">
        <fgColor rgb="FFF8CBAD"/>
        <bgColor indexed="64"/>
      </patternFill>
    </fill>
  </fills>
  <borders count="5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auto="1"/>
      </bottom>
      <diagonal/>
    </border>
    <border>
      <left style="thin">
        <color rgb="FFC0C0C0"/>
      </left>
      <right style="thin">
        <color rgb="FFC0C0C0"/>
      </right>
      <top style="thin">
        <color auto="1"/>
      </top>
      <bottom style="thin">
        <color rgb="FFC0C0C0"/>
      </bottom>
      <diagonal/>
    </border>
    <border>
      <left style="thin">
        <color auto="1"/>
      </left>
      <right style="thin">
        <color rgb="FFC0C0C0"/>
      </right>
      <top style="thin">
        <color auto="1"/>
      </top>
      <bottom style="thin">
        <color rgb="FFC0C0C0"/>
      </bottom>
      <diagonal/>
    </border>
    <border>
      <left style="thin">
        <color auto="1"/>
      </left>
      <right style="thin">
        <color rgb="FFC0C0C0"/>
      </right>
      <top style="thin">
        <color rgb="FFC0C0C0"/>
      </top>
      <bottom style="thin">
        <color rgb="FFC0C0C0"/>
      </bottom>
      <diagonal/>
    </border>
    <border>
      <left style="thin">
        <color auto="1"/>
      </left>
      <right style="thin">
        <color rgb="FFC0C0C0"/>
      </right>
      <top style="thin">
        <color rgb="FFC0C0C0"/>
      </top>
      <bottom style="thin">
        <color auto="1"/>
      </bottom>
      <diagonal/>
    </border>
    <border>
      <left style="thin">
        <color rgb="FFC0C0C0"/>
      </left>
      <right style="thin">
        <color auto="1"/>
      </right>
      <top style="thin">
        <color auto="1"/>
      </top>
      <bottom style="thin">
        <color rgb="FFC0C0C0"/>
      </bottom>
      <diagonal/>
    </border>
    <border>
      <left style="thin">
        <color rgb="FFC0C0C0"/>
      </left>
      <right style="thin">
        <color auto="1"/>
      </right>
      <top style="thin">
        <color rgb="FFC0C0C0"/>
      </top>
      <bottom style="thin">
        <color rgb="FFC0C0C0"/>
      </bottom>
      <diagonal/>
    </border>
    <border>
      <left style="thin">
        <color rgb="FFC0C0C0"/>
      </left>
      <right style="thin">
        <color auto="1"/>
      </right>
      <top style="thin">
        <color rgb="FFC0C0C0"/>
      </top>
      <bottom style="thin">
        <color auto="1"/>
      </bottom>
      <diagonal/>
    </border>
    <border>
      <left/>
      <right/>
      <top/>
      <bottom style="thin">
        <color rgb="FF1F4E79"/>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bottom style="thin">
        <color rgb="FFBDC3C7"/>
      </bottom>
      <diagonal/>
    </border>
    <border>
      <left/>
      <right/>
      <top/>
      <bottom style="thick">
        <color rgb="FF2C3E50"/>
      </bottom>
      <diagonal/>
    </border>
    <border>
      <left/>
      <right/>
      <top/>
      <bottom style="thin">
        <color rgb="FF4472C4"/>
      </bottom>
      <diagonal/>
    </border>
    <border>
      <left/>
      <right/>
      <top/>
      <bottom style="thin">
        <color rgb="FFE0E0E0"/>
      </bottom>
      <diagonal/>
    </border>
    <border>
      <left/>
      <right/>
      <top style="thin">
        <color rgb="FFE0E0E0"/>
      </top>
      <bottom/>
      <diagonal/>
    </border>
    <border>
      <left style="thin">
        <color rgb="FFE0E0E0"/>
      </left>
      <right/>
      <top/>
      <bottom/>
      <diagonal/>
    </border>
    <border>
      <left style="thin">
        <color rgb="FFE0E0E0"/>
      </left>
      <right/>
      <top/>
      <bottom style="thin">
        <color rgb="FFE0E0E0"/>
      </bottom>
      <diagonal/>
    </border>
    <border>
      <left/>
      <right style="thin">
        <color rgb="FFE0E0E0"/>
      </right>
      <top style="thin">
        <color rgb="FFE0E0E0"/>
      </top>
      <bottom/>
      <diagonal/>
    </border>
    <border>
      <left/>
      <right style="thin">
        <color rgb="FFE0E0E0"/>
      </right>
      <top/>
      <bottom/>
      <diagonal/>
    </border>
    <border>
      <left/>
      <right/>
      <top/>
      <bottom style="thick">
        <color rgb="FF3D8624"/>
      </bottom>
      <diagonal/>
    </border>
    <border>
      <left/>
      <right/>
      <top/>
      <bottom style="thick">
        <color rgb="FFC75E28"/>
      </bottom>
      <diagonal/>
    </border>
    <border>
      <left/>
      <right/>
      <top/>
      <bottom style="thick">
        <color rgb="FF8B0000"/>
      </bottom>
      <diagonal/>
    </border>
    <border>
      <left/>
      <right/>
      <top/>
      <bottom style="thick">
        <color rgb="FF5A2680"/>
      </bottom>
      <diagonal/>
    </border>
    <border>
      <left/>
      <right/>
      <top/>
      <bottom style="thick">
        <color rgb="FF006666"/>
      </bottom>
      <diagonal/>
    </border>
    <border>
      <left/>
      <right/>
      <top/>
      <bottom style="thick">
        <color rgb="FFB71C1C"/>
      </bottom>
      <diagonal/>
    </border>
    <border>
      <left/>
      <right/>
      <top/>
      <bottom style="thick">
        <color rgb="FF1565C0"/>
      </bottom>
      <diagonal/>
    </border>
    <border>
      <left/>
      <right/>
      <top/>
      <bottom style="thick">
        <color rgb="FFF57C00"/>
      </bottom>
      <diagonal/>
    </border>
    <border>
      <left/>
      <right/>
      <top/>
      <bottom style="thick">
        <color rgb="FF004D40"/>
      </bottom>
      <diagonal/>
    </border>
    <border>
      <left/>
      <right/>
      <top/>
      <bottom style="thick">
        <color rgb="FF1A237E"/>
      </bottom>
      <diagonal/>
    </border>
    <border>
      <left/>
      <right/>
      <top/>
      <bottom style="thin">
        <color rgb="FFFFD93D"/>
      </bottom>
      <diagonal/>
    </border>
    <border>
      <left style="thin">
        <color rgb="FFE0E0E0"/>
      </left>
      <right style="thin">
        <color rgb="FFE0E0E0"/>
      </right>
      <top/>
      <bottom/>
      <diagonal/>
    </border>
    <border>
      <left style="thin">
        <color rgb="FFE0E0E0"/>
      </left>
      <right style="thin">
        <color rgb="FFE0E0E0"/>
      </right>
      <top/>
      <bottom style="thin">
        <color rgb="FFE0E0E0"/>
      </bottom>
      <diagonal/>
    </border>
    <border>
      <left style="thin">
        <color rgb="FFE0E0E0"/>
      </left>
      <right style="thin">
        <color rgb="FFE0E0E0"/>
      </right>
      <top/>
      <bottom style="thin">
        <color rgb="FFBBDEFB"/>
      </bottom>
      <diagonal/>
    </border>
    <border>
      <left style="thin">
        <color rgb="FFE0E0E0"/>
      </left>
      <right style="thin">
        <color rgb="FFE0E0E0"/>
      </right>
      <top/>
      <bottom style="thin">
        <color rgb="FFC8E6C9"/>
      </bottom>
      <diagonal/>
    </border>
    <border>
      <left style="thin">
        <color rgb="FFE0E0E0"/>
      </left>
      <right style="thin">
        <color rgb="FFE0E0E0"/>
      </right>
      <top style="thin">
        <color rgb="FFE0E0E0"/>
      </top>
      <bottom/>
      <diagonal/>
    </border>
  </borders>
  <cellStyleXfs count="1">
    <xf numFmtId="0" fontId="0" fillId="0" borderId="0"/>
  </cellStyleXfs>
  <cellXfs count="411">
    <xf numFmtId="0" fontId="0" fillId="0" borderId="0" xfId="0"/>
    <xf numFmtId="0" fontId="1" fillId="0" borderId="0" xfId="0" applyFont="1"/>
    <xf numFmtId="0" fontId="2" fillId="2" borderId="0" xfId="0" applyFont="1" applyFill="1"/>
    <xf numFmtId="164" fontId="0" fillId="0" borderId="0" xfId="0" applyNumberFormat="1"/>
    <xf numFmtId="0" fontId="2" fillId="2" borderId="4" xfId="0" applyFont="1" applyFill="1" applyBorder="1"/>
    <xf numFmtId="0" fontId="0" fillId="0" borderId="4" xfId="0" applyBorder="1"/>
    <xf numFmtId="164" fontId="0" fillId="0" borderId="4" xfId="0" applyNumberFormat="1" applyBorder="1"/>
    <xf numFmtId="0" fontId="1" fillId="4" borderId="0" xfId="0" applyFont="1" applyFill="1"/>
    <xf numFmtId="0" fontId="3" fillId="0" borderId="0" xfId="0" applyFont="1"/>
    <xf numFmtId="0" fontId="1" fillId="7" borderId="0" xfId="0" applyFont="1" applyFill="1"/>
    <xf numFmtId="0" fontId="1" fillId="9" borderId="4" xfId="0" applyFont="1" applyFill="1" applyBorder="1"/>
    <xf numFmtId="0" fontId="1" fillId="11" borderId="4" xfId="0" applyFont="1" applyFill="1" applyBorder="1"/>
    <xf numFmtId="0" fontId="5" fillId="0" borderId="0" xfId="0" applyFont="1"/>
    <xf numFmtId="0" fontId="1" fillId="14" borderId="4" xfId="0" applyFont="1" applyFill="1" applyBorder="1"/>
    <xf numFmtId="0" fontId="1" fillId="16" borderId="4" xfId="0" applyFont="1" applyFill="1" applyBorder="1"/>
    <xf numFmtId="0" fontId="6" fillId="0" borderId="0" xfId="0" applyFont="1"/>
    <xf numFmtId="0" fontId="7" fillId="0" borderId="0" xfId="0" applyFont="1"/>
    <xf numFmtId="0" fontId="2" fillId="6" borderId="4" xfId="0" applyFont="1" applyFill="1" applyBorder="1"/>
    <xf numFmtId="0" fontId="0" fillId="0" borderId="9" xfId="0" applyBorder="1"/>
    <xf numFmtId="164" fontId="0" fillId="0" borderId="9" xfId="0" applyNumberFormat="1" applyBorder="1"/>
    <xf numFmtId="0" fontId="0" fillId="0" borderId="10" xfId="0" applyBorder="1"/>
    <xf numFmtId="164" fontId="0" fillId="0" borderId="10" xfId="0" applyNumberFormat="1" applyBorder="1"/>
    <xf numFmtId="0" fontId="2" fillId="17" borderId="11" xfId="0" applyFont="1" applyFill="1" applyBorder="1"/>
    <xf numFmtId="0" fontId="2" fillId="17" borderId="12" xfId="0" applyFont="1" applyFill="1" applyBorder="1"/>
    <xf numFmtId="0" fontId="0" fillId="0" borderId="13" xfId="0" applyBorder="1"/>
    <xf numFmtId="0" fontId="0" fillId="0" borderId="14" xfId="0" applyBorder="1"/>
    <xf numFmtId="0" fontId="2" fillId="17" borderId="15" xfId="0" applyFont="1" applyFill="1" applyBorder="1"/>
    <xf numFmtId="0" fontId="0" fillId="0" borderId="16" xfId="0" applyBorder="1"/>
    <xf numFmtId="0" fontId="0" fillId="0" borderId="17" xfId="0" applyBorder="1"/>
    <xf numFmtId="0" fontId="2" fillId="15" borderId="11" xfId="0" applyFont="1" applyFill="1" applyBorder="1"/>
    <xf numFmtId="0" fontId="2" fillId="15" borderId="12" xfId="0" applyFont="1" applyFill="1" applyBorder="1"/>
    <xf numFmtId="0" fontId="2" fillId="15" borderId="15" xfId="0" applyFont="1" applyFill="1" applyBorder="1"/>
    <xf numFmtId="0" fontId="2" fillId="18" borderId="11" xfId="0" applyFont="1" applyFill="1" applyBorder="1" applyAlignment="1">
      <alignment horizontal="center"/>
    </xf>
    <xf numFmtId="0" fontId="2" fillId="18" borderId="12" xfId="0" applyFont="1" applyFill="1" applyBorder="1" applyAlignment="1">
      <alignment horizontal="center"/>
    </xf>
    <xf numFmtId="0" fontId="2" fillId="18" borderId="15" xfId="0" applyFont="1" applyFill="1" applyBorder="1" applyAlignment="1">
      <alignment horizontal="center"/>
    </xf>
    <xf numFmtId="0" fontId="0" fillId="19" borderId="9" xfId="0" applyFill="1" applyBorder="1"/>
    <xf numFmtId="164" fontId="0" fillId="19" borderId="9" xfId="0" applyNumberFormat="1" applyFill="1" applyBorder="1"/>
    <xf numFmtId="0" fontId="0" fillId="19" borderId="10" xfId="0" applyFill="1" applyBorder="1"/>
    <xf numFmtId="164" fontId="0" fillId="19" borderId="10" xfId="0" applyNumberFormat="1" applyFill="1" applyBorder="1"/>
    <xf numFmtId="0" fontId="0" fillId="20" borderId="9" xfId="0" applyFill="1" applyBorder="1"/>
    <xf numFmtId="164" fontId="0" fillId="20" borderId="9" xfId="0" applyNumberFormat="1" applyFill="1" applyBorder="1"/>
    <xf numFmtId="0" fontId="0" fillId="20" borderId="10" xfId="0" applyFill="1" applyBorder="1"/>
    <xf numFmtId="164" fontId="0" fillId="20" borderId="10" xfId="0" applyNumberFormat="1" applyFill="1" applyBorder="1"/>
    <xf numFmtId="164" fontId="0" fillId="21" borderId="9" xfId="0" applyNumberFormat="1" applyFill="1" applyBorder="1"/>
    <xf numFmtId="164" fontId="0" fillId="21" borderId="10" xfId="0" applyNumberFormat="1" applyFill="1" applyBorder="1"/>
    <xf numFmtId="0" fontId="11" fillId="0" borderId="0" xfId="0" applyFont="1"/>
    <xf numFmtId="0" fontId="0" fillId="19" borderId="2" xfId="0" applyFill="1" applyBorder="1" applyAlignment="1">
      <alignment horizontal="center"/>
    </xf>
    <xf numFmtId="0" fontId="0" fillId="20" borderId="1" xfId="0" applyFill="1" applyBorder="1" applyAlignment="1">
      <alignment horizontal="center"/>
    </xf>
    <xf numFmtId="0" fontId="0" fillId="21" borderId="1" xfId="0" applyFill="1" applyBorder="1" applyAlignment="1">
      <alignment horizontal="center"/>
    </xf>
    <xf numFmtId="0" fontId="0" fillId="22" borderId="5" xfId="0" applyFill="1" applyBorder="1" applyAlignment="1">
      <alignment horizontal="center"/>
    </xf>
    <xf numFmtId="0" fontId="0" fillId="3" borderId="9" xfId="0" applyFill="1" applyBorder="1"/>
    <xf numFmtId="164" fontId="0" fillId="3" borderId="9" xfId="0" applyNumberFormat="1" applyFill="1" applyBorder="1"/>
    <xf numFmtId="0" fontId="0" fillId="3" borderId="10" xfId="0" applyFill="1" applyBorder="1"/>
    <xf numFmtId="164" fontId="0" fillId="3" borderId="10" xfId="0" applyNumberFormat="1" applyFill="1" applyBorder="1"/>
    <xf numFmtId="164" fontId="0" fillId="23" borderId="9" xfId="0" applyNumberFormat="1" applyFill="1" applyBorder="1"/>
    <xf numFmtId="164" fontId="0" fillId="23" borderId="10" xfId="0" applyNumberFormat="1" applyFill="1" applyBorder="1"/>
    <xf numFmtId="0" fontId="2" fillId="2" borderId="6" xfId="0" applyFont="1" applyFill="1" applyBorder="1"/>
    <xf numFmtId="9" fontId="0" fillId="0" borderId="0" xfId="0" applyNumberFormat="1"/>
    <xf numFmtId="0" fontId="12" fillId="0" borderId="0" xfId="0" applyFont="1"/>
    <xf numFmtId="0" fontId="13" fillId="0" borderId="0" xfId="0" applyFont="1"/>
    <xf numFmtId="17" fontId="0" fillId="0" borderId="0" xfId="0" applyNumberFormat="1"/>
    <xf numFmtId="0" fontId="1" fillId="29" borderId="0" xfId="0" applyFont="1" applyFill="1"/>
    <xf numFmtId="0" fontId="0" fillId="0" borderId="0" xfId="0" applyAlignment="1">
      <alignment wrapText="1"/>
    </xf>
    <xf numFmtId="16" fontId="0" fillId="0" borderId="0" xfId="0" applyNumberFormat="1"/>
    <xf numFmtId="16" fontId="0" fillId="26" borderId="0" xfId="0" applyNumberFormat="1" applyFill="1"/>
    <xf numFmtId="16" fontId="0" fillId="24" borderId="0" xfId="0" applyNumberFormat="1" applyFill="1"/>
    <xf numFmtId="16" fontId="0" fillId="22" borderId="0" xfId="0" applyNumberFormat="1" applyFill="1"/>
    <xf numFmtId="0" fontId="9" fillId="15" borderId="0" xfId="0" applyFont="1" applyFill="1"/>
    <xf numFmtId="0" fontId="1" fillId="0" borderId="0" xfId="0" applyFont="1" applyAlignment="1">
      <alignment horizontal="center"/>
    </xf>
    <xf numFmtId="0" fontId="0" fillId="20" borderId="4" xfId="0" applyFill="1" applyBorder="1"/>
    <xf numFmtId="0" fontId="0" fillId="19" borderId="4" xfId="0" applyFill="1" applyBorder="1"/>
    <xf numFmtId="0" fontId="0" fillId="21" borderId="4" xfId="0" applyFill="1" applyBorder="1"/>
    <xf numFmtId="9" fontId="1" fillId="0" borderId="0" xfId="0" applyNumberFormat="1" applyFont="1"/>
    <xf numFmtId="9" fontId="1" fillId="4" borderId="4" xfId="0" applyNumberFormat="1" applyFont="1" applyFill="1" applyBorder="1" applyAlignment="1">
      <alignment horizontal="center"/>
    </xf>
    <xf numFmtId="0" fontId="0" fillId="32" borderId="4" xfId="0" applyFill="1" applyBorder="1"/>
    <xf numFmtId="0" fontId="1" fillId="4" borderId="4" xfId="0" applyFont="1" applyFill="1" applyBorder="1"/>
    <xf numFmtId="0" fontId="1" fillId="30" borderId="4" xfId="0" applyFont="1" applyFill="1" applyBorder="1"/>
    <xf numFmtId="0" fontId="0" fillId="26" borderId="4" xfId="0" applyFill="1" applyBorder="1"/>
    <xf numFmtId="0" fontId="0" fillId="25" borderId="4" xfId="0" applyFill="1" applyBorder="1"/>
    <xf numFmtId="0" fontId="0" fillId="5" borderId="4" xfId="0" applyFill="1" applyBorder="1"/>
    <xf numFmtId="0" fontId="0" fillId="33" borderId="4" xfId="0" applyFill="1" applyBorder="1"/>
    <xf numFmtId="0" fontId="9" fillId="15" borderId="4" xfId="0" applyFont="1" applyFill="1" applyBorder="1"/>
    <xf numFmtId="2" fontId="0" fillId="0" borderId="0" xfId="0" applyNumberFormat="1"/>
    <xf numFmtId="0" fontId="0" fillId="0" borderId="4" xfId="0" applyBorder="1" applyAlignment="1">
      <alignment horizontal="center"/>
    </xf>
    <xf numFmtId="0" fontId="0" fillId="32" borderId="4" xfId="0" applyFill="1" applyBorder="1" applyAlignment="1">
      <alignment horizontal="center"/>
    </xf>
    <xf numFmtId="0" fontId="0" fillId="34" borderId="4" xfId="0" applyFill="1" applyBorder="1"/>
    <xf numFmtId="9" fontId="0" fillId="34" borderId="4" xfId="0" applyNumberFormat="1" applyFill="1" applyBorder="1" applyAlignment="1">
      <alignment horizontal="center"/>
    </xf>
    <xf numFmtId="0" fontId="12" fillId="34" borderId="4" xfId="0" applyFont="1" applyFill="1" applyBorder="1"/>
    <xf numFmtId="0" fontId="2" fillId="15" borderId="4" xfId="0" applyFont="1" applyFill="1" applyBorder="1"/>
    <xf numFmtId="0" fontId="22" fillId="20" borderId="0" xfId="0" applyFont="1" applyFill="1"/>
    <xf numFmtId="10" fontId="0" fillId="0" borderId="4" xfId="0" applyNumberFormat="1" applyBorder="1"/>
    <xf numFmtId="10" fontId="0" fillId="32" borderId="4" xfId="0" applyNumberFormat="1" applyFill="1" applyBorder="1"/>
    <xf numFmtId="2" fontId="0" fillId="0" borderId="4" xfId="0" applyNumberFormat="1" applyBorder="1"/>
    <xf numFmtId="0" fontId="0" fillId="7" borderId="4" xfId="0" applyFill="1" applyBorder="1"/>
    <xf numFmtId="165" fontId="0" fillId="7" borderId="4" xfId="0" applyNumberFormat="1" applyFill="1" applyBorder="1"/>
    <xf numFmtId="165" fontId="0" fillId="26" borderId="4" xfId="0" applyNumberFormat="1" applyFill="1" applyBorder="1"/>
    <xf numFmtId="165" fontId="0" fillId="33" borderId="4" xfId="0" applyNumberFormat="1" applyFill="1" applyBorder="1"/>
    <xf numFmtId="0" fontId="0" fillId="35" borderId="4" xfId="0" applyFill="1" applyBorder="1"/>
    <xf numFmtId="165" fontId="0" fillId="35" borderId="4" xfId="0" applyNumberFormat="1" applyFill="1" applyBorder="1"/>
    <xf numFmtId="0" fontId="0" fillId="30" borderId="4" xfId="0" applyFill="1" applyBorder="1"/>
    <xf numFmtId="165" fontId="0" fillId="30" borderId="4" xfId="0" applyNumberFormat="1" applyFill="1" applyBorder="1"/>
    <xf numFmtId="165" fontId="0" fillId="19" borderId="4" xfId="0" applyNumberFormat="1" applyFill="1" applyBorder="1"/>
    <xf numFmtId="165" fontId="0" fillId="20" borderId="4" xfId="0" applyNumberFormat="1" applyFill="1" applyBorder="1"/>
    <xf numFmtId="0" fontId="0" fillId="36" borderId="4" xfId="0" applyFill="1" applyBorder="1"/>
    <xf numFmtId="165" fontId="0" fillId="36" borderId="4" xfId="0" applyNumberFormat="1" applyFill="1" applyBorder="1"/>
    <xf numFmtId="165" fontId="0" fillId="34" borderId="4" xfId="0" applyNumberFormat="1" applyFill="1" applyBorder="1"/>
    <xf numFmtId="165" fontId="0" fillId="21" borderId="4" xfId="0" applyNumberFormat="1" applyFill="1" applyBorder="1"/>
    <xf numFmtId="9" fontId="0" fillId="7" borderId="4" xfId="0" applyNumberFormat="1" applyFill="1" applyBorder="1" applyAlignment="1">
      <alignment horizontal="center"/>
    </xf>
    <xf numFmtId="9" fontId="0" fillId="26" borderId="4" xfId="0" applyNumberFormat="1" applyFill="1" applyBorder="1" applyAlignment="1">
      <alignment horizontal="center"/>
    </xf>
    <xf numFmtId="9" fontId="0" fillId="33" borderId="4" xfId="0" applyNumberFormat="1" applyFill="1" applyBorder="1" applyAlignment="1">
      <alignment horizontal="center"/>
    </xf>
    <xf numFmtId="9" fontId="0" fillId="35" borderId="4" xfId="0" applyNumberFormat="1" applyFill="1" applyBorder="1" applyAlignment="1">
      <alignment horizontal="center"/>
    </xf>
    <xf numFmtId="9" fontId="0" fillId="30" borderId="4" xfId="0" applyNumberFormat="1" applyFill="1" applyBorder="1" applyAlignment="1">
      <alignment horizontal="center"/>
    </xf>
    <xf numFmtId="9" fontId="0" fillId="19" borderId="4" xfId="0" applyNumberFormat="1" applyFill="1" applyBorder="1" applyAlignment="1">
      <alignment horizontal="center"/>
    </xf>
    <xf numFmtId="9" fontId="0" fillId="20" borderId="4" xfId="0" applyNumberFormat="1" applyFill="1" applyBorder="1" applyAlignment="1">
      <alignment horizontal="center"/>
    </xf>
    <xf numFmtId="9" fontId="0" fillId="36" borderId="4" xfId="0" applyNumberFormat="1" applyFill="1" applyBorder="1" applyAlignment="1">
      <alignment horizontal="center"/>
    </xf>
    <xf numFmtId="9" fontId="0" fillId="21" borderId="4" xfId="0" applyNumberFormat="1" applyFill="1" applyBorder="1" applyAlignment="1">
      <alignment horizontal="center"/>
    </xf>
    <xf numFmtId="0" fontId="4" fillId="30" borderId="4" xfId="0" applyFont="1" applyFill="1" applyBorder="1"/>
    <xf numFmtId="0" fontId="12" fillId="20" borderId="4" xfId="0" applyFont="1" applyFill="1" applyBorder="1"/>
    <xf numFmtId="0" fontId="12" fillId="36" borderId="4" xfId="0" applyFont="1" applyFill="1" applyBorder="1"/>
    <xf numFmtId="0" fontId="12" fillId="21" borderId="4" xfId="0" applyFont="1" applyFill="1" applyBorder="1"/>
    <xf numFmtId="0" fontId="2" fillId="31" borderId="4" xfId="0" applyFont="1" applyFill="1" applyBorder="1" applyAlignment="1">
      <alignment horizontal="center"/>
    </xf>
    <xf numFmtId="0" fontId="1" fillId="0" borderId="4" xfId="0" applyFont="1" applyBorder="1"/>
    <xf numFmtId="0" fontId="1" fillId="30" borderId="4" xfId="0" applyFont="1" applyFill="1" applyBorder="1" applyAlignment="1">
      <alignment horizontal="center"/>
    </xf>
    <xf numFmtId="10" fontId="0" fillId="32" borderId="4" xfId="0" applyNumberFormat="1" applyFill="1" applyBorder="1" applyAlignment="1">
      <alignment horizontal="center"/>
    </xf>
    <xf numFmtId="0" fontId="1" fillId="20" borderId="0" xfId="0" applyFont="1" applyFill="1"/>
    <xf numFmtId="10" fontId="0" fillId="0" borderId="4" xfId="0" applyNumberFormat="1" applyBorder="1" applyAlignment="1">
      <alignment horizontal="center"/>
    </xf>
    <xf numFmtId="0" fontId="2" fillId="2" borderId="4" xfId="0" applyFont="1" applyFill="1" applyBorder="1" applyAlignment="1">
      <alignment horizontal="center"/>
    </xf>
    <xf numFmtId="0" fontId="2" fillId="31" borderId="4" xfId="0" applyFont="1" applyFill="1" applyBorder="1"/>
    <xf numFmtId="165" fontId="2" fillId="31" borderId="4" xfId="0" applyNumberFormat="1" applyFont="1" applyFill="1" applyBorder="1"/>
    <xf numFmtId="2" fontId="2" fillId="31" borderId="4" xfId="0" applyNumberFormat="1" applyFont="1" applyFill="1" applyBorder="1"/>
    <xf numFmtId="0" fontId="1" fillId="33" borderId="4" xfId="0" applyFont="1" applyFill="1" applyBorder="1"/>
    <xf numFmtId="0" fontId="4" fillId="31" borderId="0" xfId="0" applyFont="1" applyFill="1" applyAlignment="1">
      <alignment horizontal="center"/>
    </xf>
    <xf numFmtId="0" fontId="21" fillId="31" borderId="4" xfId="0" applyFont="1" applyFill="1" applyBorder="1" applyAlignment="1">
      <alignment horizontal="center"/>
    </xf>
    <xf numFmtId="0" fontId="4" fillId="31" borderId="4" xfId="0" applyFont="1" applyFill="1" applyBorder="1" applyAlignment="1">
      <alignment horizontal="center"/>
    </xf>
    <xf numFmtId="0" fontId="12" fillId="27" borderId="0" xfId="0" applyFont="1" applyFill="1"/>
    <xf numFmtId="0" fontId="22" fillId="30" borderId="4" xfId="0" applyFont="1" applyFill="1" applyBorder="1"/>
    <xf numFmtId="0" fontId="1" fillId="7" borderId="8" xfId="0" applyFont="1" applyFill="1" applyBorder="1" applyAlignment="1">
      <alignment vertical="center"/>
    </xf>
    <xf numFmtId="0" fontId="1" fillId="7" borderId="6" xfId="0" applyFont="1" applyFill="1" applyBorder="1" applyAlignment="1">
      <alignment vertical="center"/>
    </xf>
    <xf numFmtId="0" fontId="1" fillId="7" borderId="7" xfId="0" applyFont="1" applyFill="1" applyBorder="1" applyAlignment="1">
      <alignment vertical="center"/>
    </xf>
    <xf numFmtId="0" fontId="1" fillId="26" borderId="8" xfId="0" applyFont="1" applyFill="1" applyBorder="1" applyAlignment="1">
      <alignment vertical="center"/>
    </xf>
    <xf numFmtId="0" fontId="1" fillId="26" borderId="6" xfId="0" applyFont="1" applyFill="1" applyBorder="1" applyAlignment="1">
      <alignment vertical="center"/>
    </xf>
    <xf numFmtId="0" fontId="1" fillId="26" borderId="7" xfId="0" applyFont="1" applyFill="1" applyBorder="1" applyAlignment="1">
      <alignment vertical="center"/>
    </xf>
    <xf numFmtId="0" fontId="1" fillId="33" borderId="8" xfId="0" applyFont="1" applyFill="1" applyBorder="1" applyAlignment="1">
      <alignment vertical="center"/>
    </xf>
    <xf numFmtId="0" fontId="1" fillId="33" borderId="6" xfId="0" applyFont="1" applyFill="1" applyBorder="1" applyAlignment="1">
      <alignment vertical="center"/>
    </xf>
    <xf numFmtId="0" fontId="1" fillId="33" borderId="7" xfId="0" applyFont="1" applyFill="1" applyBorder="1" applyAlignment="1">
      <alignment vertical="center"/>
    </xf>
    <xf numFmtId="0" fontId="1" fillId="35" borderId="8" xfId="0" applyFont="1" applyFill="1" applyBorder="1" applyAlignment="1">
      <alignment vertical="center"/>
    </xf>
    <xf numFmtId="0" fontId="1" fillId="35" borderId="6" xfId="0" applyFont="1" applyFill="1" applyBorder="1" applyAlignment="1">
      <alignment vertical="center"/>
    </xf>
    <xf numFmtId="0" fontId="1" fillId="35" borderId="7" xfId="0" applyFont="1" applyFill="1" applyBorder="1" applyAlignment="1">
      <alignment vertical="center"/>
    </xf>
    <xf numFmtId="0" fontId="1" fillId="30" borderId="8" xfId="0" applyFont="1" applyFill="1" applyBorder="1" applyAlignment="1">
      <alignment vertical="center"/>
    </xf>
    <xf numFmtId="0" fontId="1" fillId="30" borderId="6" xfId="0" applyFont="1" applyFill="1" applyBorder="1" applyAlignment="1">
      <alignment vertical="center"/>
    </xf>
    <xf numFmtId="0" fontId="1" fillId="30" borderId="7" xfId="0" applyFont="1" applyFill="1" applyBorder="1" applyAlignment="1">
      <alignment vertical="center"/>
    </xf>
    <xf numFmtId="0" fontId="1" fillId="19" borderId="8" xfId="0" applyFont="1" applyFill="1" applyBorder="1" applyAlignment="1">
      <alignment vertical="center"/>
    </xf>
    <xf numFmtId="0" fontId="1" fillId="19" borderId="6" xfId="0" applyFont="1" applyFill="1" applyBorder="1" applyAlignment="1">
      <alignment vertical="center"/>
    </xf>
    <xf numFmtId="0" fontId="1" fillId="19" borderId="7" xfId="0" applyFont="1" applyFill="1" applyBorder="1" applyAlignment="1">
      <alignment vertical="center"/>
    </xf>
    <xf numFmtId="0" fontId="1" fillId="38" borderId="0" xfId="0" applyFont="1" applyFill="1"/>
    <xf numFmtId="0" fontId="23" fillId="0" borderId="0" xfId="0" applyFont="1"/>
    <xf numFmtId="0" fontId="1" fillId="4" borderId="18" xfId="0" applyFont="1" applyFill="1" applyBorder="1"/>
    <xf numFmtId="20" fontId="0" fillId="0" borderId="0" xfId="0" applyNumberFormat="1"/>
    <xf numFmtId="0" fontId="1" fillId="21" borderId="0" xfId="0" applyFont="1" applyFill="1"/>
    <xf numFmtId="0" fontId="1" fillId="3" borderId="0" xfId="0" applyFont="1" applyFill="1"/>
    <xf numFmtId="0" fontId="1" fillId="39" borderId="0" xfId="0" applyFont="1" applyFill="1"/>
    <xf numFmtId="0" fontId="4" fillId="31" borderId="0" xfId="0" applyFont="1" applyFill="1"/>
    <xf numFmtId="0" fontId="0" fillId="26" borderId="0" xfId="0" applyFill="1"/>
    <xf numFmtId="0" fontId="2" fillId="31" borderId="4" xfId="0" applyFont="1" applyFill="1" applyBorder="1" applyAlignment="1">
      <alignment vertical="top" wrapText="1"/>
    </xf>
    <xf numFmtId="0" fontId="0" fillId="0" borderId="4" xfId="0" applyBorder="1" applyAlignment="1">
      <alignment vertical="top" wrapText="1"/>
    </xf>
    <xf numFmtId="0" fontId="0" fillId="0" borderId="0" xfId="0" applyAlignment="1">
      <alignment vertical="top" wrapText="1"/>
    </xf>
    <xf numFmtId="10" fontId="0" fillId="0" borderId="0" xfId="0" applyNumberFormat="1"/>
    <xf numFmtId="166" fontId="0" fillId="0" borderId="0" xfId="0" applyNumberFormat="1"/>
    <xf numFmtId="0" fontId="2" fillId="15" borderId="0" xfId="0" applyFont="1" applyFill="1"/>
    <xf numFmtId="0" fontId="2" fillId="17" borderId="0" xfId="0" applyFont="1" applyFill="1"/>
    <xf numFmtId="0" fontId="2" fillId="10" borderId="0" xfId="0" applyFont="1" applyFill="1"/>
    <xf numFmtId="0" fontId="0" fillId="32" borderId="0" xfId="0" applyFill="1"/>
    <xf numFmtId="0" fontId="24" fillId="32" borderId="0" xfId="0" applyFont="1" applyFill="1" applyAlignment="1">
      <alignment horizontal="center"/>
    </xf>
    <xf numFmtId="0" fontId="0" fillId="44" borderId="0" xfId="0" applyFill="1"/>
    <xf numFmtId="0" fontId="0" fillId="44" borderId="20" xfId="0" applyFill="1" applyBorder="1"/>
    <xf numFmtId="0" fontId="0" fillId="44" borderId="21" xfId="0" applyFill="1" applyBorder="1"/>
    <xf numFmtId="0" fontId="13" fillId="44" borderId="23" xfId="0" applyFont="1" applyFill="1" applyBorder="1" applyAlignment="1">
      <alignment horizontal="center"/>
    </xf>
    <xf numFmtId="0" fontId="26" fillId="44" borderId="23" xfId="0" applyFont="1" applyFill="1" applyBorder="1" applyAlignment="1">
      <alignment horizontal="center"/>
    </xf>
    <xf numFmtId="0" fontId="27" fillId="44" borderId="23" xfId="0" applyFont="1" applyFill="1" applyBorder="1" applyAlignment="1">
      <alignment horizontal="center"/>
    </xf>
    <xf numFmtId="0" fontId="28" fillId="44" borderId="23" xfId="0" applyFont="1" applyFill="1" applyBorder="1" applyAlignment="1">
      <alignment horizontal="center"/>
    </xf>
    <xf numFmtId="0" fontId="13" fillId="44" borderId="24" xfId="0" applyFont="1" applyFill="1" applyBorder="1" applyAlignment="1">
      <alignment horizontal="center"/>
    </xf>
    <xf numFmtId="0" fontId="27" fillId="44" borderId="24" xfId="0" applyFont="1" applyFill="1" applyBorder="1" applyAlignment="1">
      <alignment horizontal="center"/>
    </xf>
    <xf numFmtId="0" fontId="1" fillId="44" borderId="21" xfId="0" applyFont="1" applyFill="1" applyBorder="1"/>
    <xf numFmtId="0" fontId="21" fillId="28" borderId="0" xfId="0" applyFont="1" applyFill="1" applyAlignment="1">
      <alignment horizontal="center"/>
    </xf>
    <xf numFmtId="0" fontId="1" fillId="32" borderId="0" xfId="0" applyFont="1" applyFill="1" applyAlignment="1">
      <alignment horizontal="right"/>
    </xf>
    <xf numFmtId="0" fontId="0" fillId="3" borderId="4" xfId="0" applyFill="1" applyBorder="1" applyAlignment="1">
      <alignment horizontal="center"/>
    </xf>
    <xf numFmtId="0" fontId="29" fillId="32" borderId="0" xfId="0" applyFont="1" applyFill="1" applyAlignment="1">
      <alignment horizontal="right"/>
    </xf>
    <xf numFmtId="0" fontId="25" fillId="0" borderId="0" xfId="0" applyFont="1"/>
    <xf numFmtId="168" fontId="29" fillId="32" borderId="0" xfId="0" applyNumberFormat="1" applyFont="1" applyFill="1" applyAlignment="1">
      <alignment horizontal="right"/>
    </xf>
    <xf numFmtId="0" fontId="6" fillId="0" borderId="25" xfId="0" applyFont="1" applyBorder="1" applyAlignment="1">
      <alignment horizontal="center"/>
    </xf>
    <xf numFmtId="0" fontId="6" fillId="0" borderId="25" xfId="0" applyFont="1" applyBorder="1"/>
    <xf numFmtId="0" fontId="0" fillId="0" borderId="25" xfId="0" applyBorder="1"/>
    <xf numFmtId="0" fontId="1" fillId="49" borderId="25" xfId="0" applyFont="1" applyFill="1" applyBorder="1"/>
    <xf numFmtId="0" fontId="30" fillId="49" borderId="25" xfId="0" applyFont="1" applyFill="1" applyBorder="1"/>
    <xf numFmtId="0" fontId="31" fillId="49" borderId="25" xfId="0" applyFont="1" applyFill="1" applyBorder="1"/>
    <xf numFmtId="0" fontId="32" fillId="49" borderId="25" xfId="0" applyFont="1" applyFill="1" applyBorder="1"/>
    <xf numFmtId="0" fontId="33" fillId="49" borderId="25" xfId="0" applyFont="1" applyFill="1" applyBorder="1"/>
    <xf numFmtId="0" fontId="35" fillId="0" borderId="0" xfId="0" applyFont="1"/>
    <xf numFmtId="0" fontId="13" fillId="48" borderId="0" xfId="0" applyFont="1" applyFill="1" applyAlignment="1">
      <alignment horizontal="center"/>
    </xf>
    <xf numFmtId="0" fontId="36" fillId="0" borderId="0" xfId="0" applyFont="1" applyAlignment="1">
      <alignment horizontal="center"/>
    </xf>
    <xf numFmtId="0" fontId="0" fillId="0" borderId="25" xfId="0" applyBorder="1" applyAlignment="1">
      <alignment horizontal="center"/>
    </xf>
    <xf numFmtId="0" fontId="34" fillId="48" borderId="0" xfId="0" applyFont="1" applyFill="1" applyAlignment="1">
      <alignment horizontal="center"/>
    </xf>
    <xf numFmtId="0" fontId="33" fillId="50" borderId="25" xfId="0" applyFont="1" applyFill="1" applyBorder="1" applyAlignment="1">
      <alignment horizontal="center"/>
    </xf>
    <xf numFmtId="0" fontId="37" fillId="50" borderId="25" xfId="0" applyFont="1" applyFill="1" applyBorder="1" applyAlignment="1">
      <alignment horizontal="center"/>
    </xf>
    <xf numFmtId="0" fontId="38" fillId="50" borderId="25" xfId="0" applyFont="1" applyFill="1" applyBorder="1" applyAlignment="1">
      <alignment horizontal="center"/>
    </xf>
    <xf numFmtId="0" fontId="39" fillId="50" borderId="25" xfId="0" applyFont="1" applyFill="1" applyBorder="1" applyAlignment="1">
      <alignment horizontal="center"/>
    </xf>
    <xf numFmtId="0" fontId="1" fillId="0" borderId="0" xfId="0" applyFont="1" applyAlignment="1">
      <alignment vertical="top" wrapText="1"/>
    </xf>
    <xf numFmtId="0" fontId="1" fillId="48" borderId="1" xfId="0" applyFont="1" applyFill="1" applyBorder="1"/>
    <xf numFmtId="0" fontId="1" fillId="0" borderId="1" xfId="0" applyFont="1" applyBorder="1"/>
    <xf numFmtId="0" fontId="1" fillId="0" borderId="1" xfId="0" applyFont="1" applyBorder="1" applyAlignment="1">
      <alignment vertical="top" wrapText="1"/>
    </xf>
    <xf numFmtId="0" fontId="1" fillId="48" borderId="2" xfId="0" applyFont="1" applyFill="1" applyBorder="1"/>
    <xf numFmtId="0" fontId="1" fillId="48" borderId="5" xfId="0" applyFont="1" applyFill="1" applyBorder="1"/>
    <xf numFmtId="0" fontId="2" fillId="51" borderId="0" xfId="0" applyFont="1" applyFill="1"/>
    <xf numFmtId="0" fontId="41" fillId="0" borderId="0" xfId="0" applyFont="1"/>
    <xf numFmtId="0" fontId="2" fillId="2" borderId="7" xfId="0" applyFont="1" applyFill="1" applyBorder="1"/>
    <xf numFmtId="0" fontId="2" fillId="31" borderId="7" xfId="0" applyFont="1" applyFill="1" applyBorder="1" applyAlignment="1">
      <alignment vertical="top" wrapText="1"/>
    </xf>
    <xf numFmtId="0" fontId="22" fillId="0" borderId="26" xfId="0" applyFont="1" applyBorder="1"/>
    <xf numFmtId="0" fontId="40" fillId="0" borderId="26" xfId="0" applyFont="1" applyBorder="1"/>
    <xf numFmtId="0" fontId="0" fillId="0" borderId="26" xfId="0" applyBorder="1"/>
    <xf numFmtId="0" fontId="0" fillId="0" borderId="26" xfId="0" applyBorder="1" applyAlignment="1">
      <alignment vertical="top" wrapText="1"/>
    </xf>
    <xf numFmtId="0" fontId="0" fillId="52" borderId="27" xfId="0" applyFill="1" applyBorder="1"/>
    <xf numFmtId="0" fontId="42" fillId="0" borderId="0" xfId="0" applyFont="1"/>
    <xf numFmtId="0" fontId="23" fillId="54" borderId="0" xfId="0" applyFont="1" applyFill="1"/>
    <xf numFmtId="0" fontId="0" fillId="54" borderId="0" xfId="0" applyFill="1"/>
    <xf numFmtId="0" fontId="1" fillId="54" borderId="0" xfId="0" applyFont="1" applyFill="1"/>
    <xf numFmtId="0" fontId="43" fillId="54" borderId="0" xfId="0" applyFont="1" applyFill="1"/>
    <xf numFmtId="0" fontId="15" fillId="55" borderId="0" xfId="0" applyFont="1" applyFill="1"/>
    <xf numFmtId="0" fontId="0" fillId="55" borderId="0" xfId="0" applyFill="1"/>
    <xf numFmtId="0" fontId="16" fillId="56" borderId="0" xfId="0" applyFont="1" applyFill="1"/>
    <xf numFmtId="0" fontId="0" fillId="56" borderId="0" xfId="0" applyFill="1"/>
    <xf numFmtId="0" fontId="17" fillId="19" borderId="0" xfId="0" applyFont="1" applyFill="1"/>
    <xf numFmtId="0" fontId="0" fillId="19" borderId="0" xfId="0" applyFill="1"/>
    <xf numFmtId="0" fontId="18" fillId="26" borderId="0" xfId="0" applyFont="1" applyFill="1"/>
    <xf numFmtId="0" fontId="19" fillId="57" borderId="0" xfId="0" applyFont="1" applyFill="1"/>
    <xf numFmtId="0" fontId="0" fillId="57" borderId="0" xfId="0" applyFill="1"/>
    <xf numFmtId="0" fontId="20" fillId="58" borderId="0" xfId="0" applyFont="1" applyFill="1"/>
    <xf numFmtId="0" fontId="0" fillId="58" borderId="0" xfId="0" applyFill="1"/>
    <xf numFmtId="0" fontId="0" fillId="60" borderId="0" xfId="0" applyFill="1"/>
    <xf numFmtId="0" fontId="45" fillId="54" borderId="0" xfId="0" applyFont="1" applyFill="1"/>
    <xf numFmtId="0" fontId="0" fillId="31" borderId="0" xfId="0" applyFill="1"/>
    <xf numFmtId="0" fontId="46" fillId="31" borderId="0" xfId="0" applyFont="1" applyFill="1"/>
    <xf numFmtId="0" fontId="47" fillId="31" borderId="0" xfId="0" applyFont="1" applyFill="1" applyAlignment="1">
      <alignment horizontal="center"/>
    </xf>
    <xf numFmtId="0" fontId="48" fillId="31" borderId="0" xfId="0" applyFont="1" applyFill="1" applyAlignment="1">
      <alignment horizontal="right"/>
    </xf>
    <xf numFmtId="0" fontId="0" fillId="61" borderId="0" xfId="0" applyFill="1"/>
    <xf numFmtId="0" fontId="9" fillId="61" borderId="0" xfId="0" applyFont="1" applyFill="1"/>
    <xf numFmtId="0" fontId="49" fillId="61" borderId="0" xfId="0" applyFont="1" applyFill="1"/>
    <xf numFmtId="0" fontId="0" fillId="62" borderId="0" xfId="0" applyFill="1"/>
    <xf numFmtId="0" fontId="0" fillId="44" borderId="28" xfId="0" applyFill="1" applyBorder="1"/>
    <xf numFmtId="0" fontId="0" fillId="44" borderId="29" xfId="0" applyFill="1" applyBorder="1"/>
    <xf numFmtId="0" fontId="0" fillId="44" borderId="30" xfId="0" applyFill="1" applyBorder="1"/>
    <xf numFmtId="0" fontId="0" fillId="44" borderId="31" xfId="0" applyFill="1" applyBorder="1"/>
    <xf numFmtId="0" fontId="0" fillId="44" borderId="32" xfId="0" applyFill="1" applyBorder="1"/>
    <xf numFmtId="0" fontId="0" fillId="44" borderId="33" xfId="0" applyFill="1" applyBorder="1"/>
    <xf numFmtId="0" fontId="3" fillId="44" borderId="30" xfId="0" applyFont="1" applyFill="1" applyBorder="1"/>
    <xf numFmtId="0" fontId="44" fillId="62" borderId="0" xfId="0" applyFont="1" applyFill="1"/>
    <xf numFmtId="0" fontId="0" fillId="63" borderId="0" xfId="0" applyFill="1"/>
    <xf numFmtId="0" fontId="51" fillId="63" borderId="0" xfId="0" applyFont="1" applyFill="1" applyAlignment="1">
      <alignment horizontal="center"/>
    </xf>
    <xf numFmtId="0" fontId="21" fillId="63" borderId="0" xfId="0" applyFont="1" applyFill="1" applyAlignment="1">
      <alignment horizontal="center"/>
    </xf>
    <xf numFmtId="0" fontId="52" fillId="63" borderId="0" xfId="0" applyFont="1" applyFill="1" applyAlignment="1">
      <alignment horizontal="center"/>
    </xf>
    <xf numFmtId="0" fontId="52" fillId="63" borderId="34" xfId="0" applyFont="1" applyFill="1" applyBorder="1" applyAlignment="1">
      <alignment horizontal="center"/>
    </xf>
    <xf numFmtId="0" fontId="0" fillId="64" borderId="0" xfId="0" applyFill="1"/>
    <xf numFmtId="0" fontId="51" fillId="64" borderId="0" xfId="0" applyFont="1" applyFill="1" applyAlignment="1">
      <alignment horizontal="center"/>
    </xf>
    <xf numFmtId="0" fontId="21" fillId="64" borderId="0" xfId="0" applyFont="1" applyFill="1" applyAlignment="1">
      <alignment horizontal="center"/>
    </xf>
    <xf numFmtId="0" fontId="53" fillId="64" borderId="0" xfId="0" applyFont="1" applyFill="1" applyAlignment="1">
      <alignment horizontal="center"/>
    </xf>
    <xf numFmtId="0" fontId="53" fillId="64" borderId="35" xfId="0" applyFont="1" applyFill="1" applyBorder="1" applyAlignment="1">
      <alignment horizontal="center"/>
    </xf>
    <xf numFmtId="0" fontId="0" fillId="15" borderId="0" xfId="0" applyFill="1"/>
    <xf numFmtId="0" fontId="51" fillId="15" borderId="0" xfId="0" applyFont="1" applyFill="1" applyAlignment="1">
      <alignment horizontal="center"/>
    </xf>
    <xf numFmtId="0" fontId="21" fillId="15" borderId="0" xfId="0" applyFont="1" applyFill="1" applyAlignment="1">
      <alignment horizontal="center"/>
    </xf>
    <xf numFmtId="0" fontId="54" fillId="15" borderId="0" xfId="0" applyFont="1" applyFill="1" applyAlignment="1">
      <alignment horizontal="center"/>
    </xf>
    <xf numFmtId="0" fontId="54" fillId="15" borderId="36" xfId="0" applyFont="1" applyFill="1" applyBorder="1" applyAlignment="1">
      <alignment horizontal="center"/>
    </xf>
    <xf numFmtId="0" fontId="0" fillId="10" borderId="0" xfId="0" applyFill="1"/>
    <xf numFmtId="0" fontId="51" fillId="10" borderId="0" xfId="0" applyFont="1" applyFill="1" applyAlignment="1">
      <alignment horizontal="center"/>
    </xf>
    <xf numFmtId="0" fontId="21" fillId="10" borderId="0" xfId="0" applyFont="1" applyFill="1" applyAlignment="1">
      <alignment horizontal="center"/>
    </xf>
    <xf numFmtId="0" fontId="55" fillId="10" borderId="0" xfId="0" applyFont="1" applyFill="1" applyAlignment="1">
      <alignment horizontal="center"/>
    </xf>
    <xf numFmtId="0" fontId="55" fillId="10" borderId="37" xfId="0" applyFont="1" applyFill="1" applyBorder="1" applyAlignment="1">
      <alignment horizontal="center"/>
    </xf>
    <xf numFmtId="0" fontId="0" fillId="65" borderId="0" xfId="0" applyFill="1"/>
    <xf numFmtId="0" fontId="51" fillId="65" borderId="0" xfId="0" applyFont="1" applyFill="1" applyAlignment="1">
      <alignment horizontal="center"/>
    </xf>
    <xf numFmtId="0" fontId="21" fillId="65" borderId="0" xfId="0" applyFont="1" applyFill="1" applyAlignment="1">
      <alignment horizontal="center"/>
    </xf>
    <xf numFmtId="0" fontId="56" fillId="65" borderId="0" xfId="0" applyFont="1" applyFill="1" applyAlignment="1">
      <alignment horizontal="center"/>
    </xf>
    <xf numFmtId="0" fontId="56" fillId="65" borderId="38" xfId="0" applyFont="1" applyFill="1" applyBorder="1" applyAlignment="1">
      <alignment horizontal="center"/>
    </xf>
    <xf numFmtId="0" fontId="0" fillId="66" borderId="0" xfId="0" applyFill="1"/>
    <xf numFmtId="0" fontId="51" fillId="66" borderId="0" xfId="0" applyFont="1" applyFill="1" applyAlignment="1">
      <alignment horizontal="center"/>
    </xf>
    <xf numFmtId="0" fontId="21" fillId="66" borderId="0" xfId="0" applyFont="1" applyFill="1" applyAlignment="1">
      <alignment horizontal="center"/>
    </xf>
    <xf numFmtId="0" fontId="57" fillId="66" borderId="0" xfId="0" applyFont="1" applyFill="1" applyAlignment="1">
      <alignment horizontal="center"/>
    </xf>
    <xf numFmtId="0" fontId="57" fillId="66" borderId="39" xfId="0" applyFont="1" applyFill="1" applyBorder="1" applyAlignment="1">
      <alignment horizontal="center"/>
    </xf>
    <xf numFmtId="0" fontId="0" fillId="67" borderId="0" xfId="0" applyFill="1"/>
    <xf numFmtId="0" fontId="51" fillId="67" borderId="0" xfId="0" applyFont="1" applyFill="1" applyAlignment="1">
      <alignment horizontal="center"/>
    </xf>
    <xf numFmtId="0" fontId="21" fillId="67" borderId="0" xfId="0" applyFont="1" applyFill="1" applyAlignment="1">
      <alignment horizontal="center"/>
    </xf>
    <xf numFmtId="0" fontId="58" fillId="67" borderId="0" xfId="0" applyFont="1" applyFill="1" applyAlignment="1">
      <alignment horizontal="center"/>
    </xf>
    <xf numFmtId="0" fontId="58" fillId="67" borderId="40" xfId="0" applyFont="1" applyFill="1" applyBorder="1" applyAlignment="1">
      <alignment horizontal="center"/>
    </xf>
    <xf numFmtId="0" fontId="0" fillId="68" borderId="0" xfId="0" applyFill="1"/>
    <xf numFmtId="0" fontId="51" fillId="68" borderId="0" xfId="0" applyFont="1" applyFill="1" applyAlignment="1">
      <alignment horizontal="center"/>
    </xf>
    <xf numFmtId="0" fontId="21" fillId="68" borderId="0" xfId="0" applyFont="1" applyFill="1" applyAlignment="1">
      <alignment horizontal="center"/>
    </xf>
    <xf numFmtId="0" fontId="59" fillId="68" borderId="0" xfId="0" applyFont="1" applyFill="1" applyAlignment="1">
      <alignment horizontal="center"/>
    </xf>
    <xf numFmtId="0" fontId="59" fillId="68" borderId="41" xfId="0" applyFont="1" applyFill="1" applyBorder="1" applyAlignment="1">
      <alignment horizontal="center"/>
    </xf>
    <xf numFmtId="0" fontId="0" fillId="69" borderId="0" xfId="0" applyFill="1"/>
    <xf numFmtId="0" fontId="51" fillId="69" borderId="0" xfId="0" applyFont="1" applyFill="1" applyAlignment="1">
      <alignment horizontal="center"/>
    </xf>
    <xf numFmtId="0" fontId="21" fillId="69" borderId="0" xfId="0" applyFont="1" applyFill="1" applyAlignment="1">
      <alignment horizontal="center"/>
    </xf>
    <xf numFmtId="0" fontId="56" fillId="69" borderId="0" xfId="0" applyFont="1" applyFill="1" applyAlignment="1">
      <alignment horizontal="center"/>
    </xf>
    <xf numFmtId="0" fontId="56" fillId="69" borderId="42" xfId="0" applyFont="1" applyFill="1" applyBorder="1" applyAlignment="1">
      <alignment horizontal="center"/>
    </xf>
    <xf numFmtId="0" fontId="0" fillId="70" borderId="0" xfId="0" applyFill="1"/>
    <xf numFmtId="0" fontId="51" fillId="70" borderId="0" xfId="0" applyFont="1" applyFill="1" applyAlignment="1">
      <alignment horizontal="center"/>
    </xf>
    <xf numFmtId="0" fontId="21" fillId="70" borderId="0" xfId="0" applyFont="1" applyFill="1" applyAlignment="1">
      <alignment horizontal="center"/>
    </xf>
    <xf numFmtId="0" fontId="60" fillId="70" borderId="0" xfId="0" applyFont="1" applyFill="1" applyAlignment="1">
      <alignment horizontal="center"/>
    </xf>
    <xf numFmtId="0" fontId="60" fillId="70" borderId="43" xfId="0" applyFont="1" applyFill="1" applyBorder="1" applyAlignment="1">
      <alignment horizontal="center"/>
    </xf>
    <xf numFmtId="0" fontId="61" fillId="62" borderId="0" xfId="0" applyFont="1" applyFill="1"/>
    <xf numFmtId="0" fontId="0" fillId="71" borderId="0" xfId="0" applyFill="1"/>
    <xf numFmtId="0" fontId="62" fillId="71" borderId="0" xfId="0" applyFont="1" applyFill="1" applyAlignment="1">
      <alignment horizontal="center"/>
    </xf>
    <xf numFmtId="0" fontId="63" fillId="71" borderId="0" xfId="0" applyFont="1" applyFill="1" applyAlignment="1">
      <alignment horizontal="center"/>
    </xf>
    <xf numFmtId="0" fontId="48" fillId="61" borderId="0" xfId="0" applyFont="1" applyFill="1"/>
    <xf numFmtId="0" fontId="64" fillId="61" borderId="0" xfId="0" applyFont="1" applyFill="1" applyAlignment="1">
      <alignment horizontal="right"/>
    </xf>
    <xf numFmtId="0" fontId="74" fillId="62" borderId="0" xfId="0" applyFont="1" applyFill="1"/>
    <xf numFmtId="0" fontId="75" fillId="62" borderId="0" xfId="0" applyFont="1" applyFill="1"/>
    <xf numFmtId="0" fontId="76" fillId="62" borderId="0" xfId="0" applyFont="1" applyFill="1"/>
    <xf numFmtId="0" fontId="77" fillId="62" borderId="0" xfId="0" applyFont="1" applyFill="1"/>
    <xf numFmtId="0" fontId="78" fillId="62" borderId="0" xfId="0" applyFont="1" applyFill="1"/>
    <xf numFmtId="0" fontId="0" fillId="44" borderId="45" xfId="0" applyFill="1" applyBorder="1"/>
    <xf numFmtId="0" fontId="65" fillId="44" borderId="45" xfId="0" applyFont="1" applyFill="1" applyBorder="1"/>
    <xf numFmtId="0" fontId="66" fillId="44" borderId="45" xfId="0" applyFont="1" applyFill="1" applyBorder="1" applyAlignment="1">
      <alignment horizontal="center"/>
    </xf>
    <xf numFmtId="0" fontId="67" fillId="44" borderId="45" xfId="0" applyFont="1" applyFill="1" applyBorder="1" applyAlignment="1">
      <alignment horizontal="center"/>
    </xf>
    <xf numFmtId="0" fontId="68" fillId="44" borderId="45" xfId="0" applyFont="1" applyFill="1" applyBorder="1" applyAlignment="1">
      <alignment horizontal="center"/>
    </xf>
    <xf numFmtId="0" fontId="69" fillId="44" borderId="45" xfId="0" applyFont="1" applyFill="1" applyBorder="1" applyAlignment="1">
      <alignment horizontal="center"/>
    </xf>
    <xf numFmtId="0" fontId="70" fillId="44" borderId="45" xfId="0" applyFont="1" applyFill="1" applyBorder="1" applyAlignment="1">
      <alignment horizontal="center"/>
    </xf>
    <xf numFmtId="0" fontId="71" fillId="44" borderId="45" xfId="0" applyFont="1" applyFill="1" applyBorder="1" applyAlignment="1">
      <alignment horizontal="center"/>
    </xf>
    <xf numFmtId="0" fontId="0" fillId="44" borderId="46" xfId="0" applyFill="1" applyBorder="1"/>
    <xf numFmtId="0" fontId="72" fillId="44" borderId="47" xfId="0" applyFont="1" applyFill="1" applyBorder="1" applyAlignment="1">
      <alignment horizontal="center"/>
    </xf>
    <xf numFmtId="0" fontId="73" fillId="44" borderId="48" xfId="0" applyFont="1" applyFill="1" applyBorder="1" applyAlignment="1">
      <alignment horizontal="center"/>
    </xf>
    <xf numFmtId="0" fontId="0" fillId="44" borderId="49" xfId="0" applyFill="1" applyBorder="1"/>
    <xf numFmtId="0" fontId="80" fillId="62" borderId="0" xfId="0" applyFont="1" applyFill="1" applyAlignment="1">
      <alignment horizontal="center"/>
    </xf>
    <xf numFmtId="167" fontId="78" fillId="62" borderId="0" xfId="0" applyNumberFormat="1" applyFont="1" applyFill="1" applyAlignment="1">
      <alignment horizontal="center"/>
    </xf>
    <xf numFmtId="0" fontId="1" fillId="19" borderId="0" xfId="0" applyFont="1" applyFill="1"/>
    <xf numFmtId="0" fontId="1" fillId="73" borderId="0" xfId="0" applyFont="1" applyFill="1"/>
    <xf numFmtId="0" fontId="2" fillId="71" borderId="0" xfId="0" applyFont="1" applyFill="1"/>
    <xf numFmtId="0" fontId="82" fillId="0" borderId="0" xfId="0" applyFont="1"/>
    <xf numFmtId="0" fontId="83" fillId="0" borderId="0" xfId="0" applyFont="1"/>
    <xf numFmtId="0" fontId="84" fillId="0" borderId="0" xfId="0" applyFont="1"/>
    <xf numFmtId="0" fontId="85" fillId="0" borderId="0" xfId="0" applyFont="1"/>
    <xf numFmtId="0" fontId="4" fillId="6" borderId="0" xfId="0" applyFont="1" applyFill="1"/>
    <xf numFmtId="0" fontId="50" fillId="0" borderId="30" xfId="0" applyFont="1" applyBorder="1" applyAlignment="1">
      <alignment wrapText="1"/>
    </xf>
    <xf numFmtId="0" fontId="0" fillId="0" borderId="0" xfId="0"/>
    <xf numFmtId="0" fontId="23" fillId="53" borderId="30" xfId="0" applyFont="1" applyFill="1" applyBorder="1" applyAlignment="1">
      <alignment horizontal="center"/>
    </xf>
    <xf numFmtId="0" fontId="0" fillId="0" borderId="30" xfId="0" applyBorder="1"/>
    <xf numFmtId="0" fontId="23" fillId="44" borderId="45" xfId="0" applyFont="1" applyFill="1" applyBorder="1" applyAlignment="1">
      <alignment horizontal="center"/>
    </xf>
    <xf numFmtId="0" fontId="0" fillId="44" borderId="45" xfId="0" applyFill="1" applyBorder="1"/>
    <xf numFmtId="0" fontId="79" fillId="72" borderId="44" xfId="0" applyFont="1" applyFill="1" applyBorder="1" applyAlignment="1">
      <alignment horizontal="center"/>
    </xf>
    <xf numFmtId="0" fontId="0" fillId="0" borderId="28" xfId="0" applyBorder="1"/>
    <xf numFmtId="0" fontId="24" fillId="32" borderId="0" xfId="0" applyFont="1" applyFill="1" applyAlignment="1">
      <alignment horizontal="center"/>
    </xf>
    <xf numFmtId="0" fontId="0" fillId="32" borderId="0" xfId="0" applyFill="1"/>
    <xf numFmtId="0" fontId="4" fillId="2" borderId="19" xfId="0" applyFont="1" applyFill="1" applyBorder="1"/>
    <xf numFmtId="0" fontId="0" fillId="32" borderId="22" xfId="0" applyFill="1" applyBorder="1"/>
    <xf numFmtId="0" fontId="4" fillId="40" borderId="19" xfId="0" applyFont="1" applyFill="1" applyBorder="1"/>
    <xf numFmtId="0" fontId="4" fillId="41" borderId="19" xfId="0" applyFont="1" applyFill="1" applyBorder="1"/>
    <xf numFmtId="0" fontId="4" fillId="42" borderId="19" xfId="0" applyFont="1" applyFill="1" applyBorder="1"/>
    <xf numFmtId="0" fontId="4" fillId="10" borderId="19" xfId="0" applyFont="1" applyFill="1" applyBorder="1"/>
    <xf numFmtId="0" fontId="4" fillId="45" borderId="0" xfId="0" applyFont="1" applyFill="1" applyAlignment="1">
      <alignment horizontal="center"/>
    </xf>
    <xf numFmtId="0" fontId="4" fillId="46" borderId="0" xfId="0" applyFont="1" applyFill="1" applyAlignment="1">
      <alignment horizontal="center"/>
    </xf>
    <xf numFmtId="0" fontId="4" fillId="47" borderId="0" xfId="0" applyFont="1" applyFill="1" applyAlignment="1">
      <alignment horizontal="center"/>
    </xf>
    <xf numFmtId="0" fontId="0" fillId="0" borderId="0" xfId="0" applyAlignment="1">
      <alignment horizontal="center"/>
    </xf>
    <xf numFmtId="0" fontId="4" fillId="43" borderId="19" xfId="0" applyFont="1" applyFill="1" applyBorder="1"/>
    <xf numFmtId="0" fontId="4" fillId="15" borderId="19" xfId="0" applyFont="1" applyFill="1" applyBorder="1"/>
    <xf numFmtId="0" fontId="4" fillId="17" borderId="19" xfId="0" applyFont="1" applyFill="1" applyBorder="1"/>
    <xf numFmtId="0" fontId="4" fillId="32" borderId="22" xfId="0" applyFont="1" applyFill="1" applyBorder="1"/>
    <xf numFmtId="0" fontId="81" fillId="71" borderId="0" xfId="0" applyFont="1" applyFill="1" applyAlignment="1">
      <alignment horizontal="center"/>
    </xf>
    <xf numFmtId="0" fontId="3" fillId="37" borderId="0" xfId="0" applyFont="1" applyFill="1" applyAlignment="1">
      <alignment horizontal="center"/>
    </xf>
    <xf numFmtId="0" fontId="12" fillId="0" borderId="0" xfId="0" applyFont="1" applyAlignment="1">
      <alignment horizontal="center"/>
    </xf>
    <xf numFmtId="0" fontId="10" fillId="3" borderId="0" xfId="0" applyFont="1" applyFill="1"/>
    <xf numFmtId="0" fontId="4" fillId="45" borderId="0" xfId="0" applyFont="1" applyFill="1"/>
    <xf numFmtId="0" fontId="14" fillId="28" borderId="0" xfId="0" applyFont="1" applyFill="1"/>
    <xf numFmtId="0" fontId="13" fillId="0" borderId="0" xfId="0" applyFont="1"/>
    <xf numFmtId="0" fontId="2" fillId="2" borderId="0" xfId="0" applyFont="1" applyFill="1"/>
    <xf numFmtId="0" fontId="21" fillId="22" borderId="0" xfId="0" applyFont="1" applyFill="1"/>
    <xf numFmtId="0" fontId="6" fillId="0" borderId="0" xfId="0" applyFont="1"/>
    <xf numFmtId="0" fontId="1" fillId="36" borderId="8" xfId="0" applyFont="1" applyFill="1" applyBorder="1" applyAlignment="1">
      <alignment vertical="center"/>
    </xf>
    <xf numFmtId="0" fontId="1" fillId="36" borderId="7" xfId="0" applyFont="1" applyFill="1" applyBorder="1" applyAlignment="1">
      <alignment vertical="center"/>
    </xf>
    <xf numFmtId="0" fontId="1" fillId="34" borderId="8" xfId="0" applyFont="1" applyFill="1" applyBorder="1" applyAlignment="1">
      <alignment vertical="center"/>
    </xf>
    <xf numFmtId="0" fontId="1" fillId="34" borderId="6" xfId="0" applyFont="1" applyFill="1" applyBorder="1" applyAlignment="1">
      <alignment vertical="center"/>
    </xf>
    <xf numFmtId="0" fontId="1" fillId="34" borderId="7" xfId="0" applyFont="1" applyFill="1" applyBorder="1" applyAlignment="1">
      <alignment vertical="center"/>
    </xf>
    <xf numFmtId="0" fontId="1" fillId="21" borderId="8" xfId="0" applyFont="1" applyFill="1" applyBorder="1" applyAlignment="1">
      <alignment vertical="center"/>
    </xf>
    <xf numFmtId="0" fontId="1" fillId="21" borderId="7" xfId="0" applyFont="1" applyFill="1" applyBorder="1" applyAlignment="1">
      <alignment vertical="center"/>
    </xf>
    <xf numFmtId="0" fontId="2" fillId="6" borderId="4" xfId="0" applyFont="1" applyFill="1" applyBorder="1"/>
    <xf numFmtId="0" fontId="0" fillId="0" borderId="4" xfId="0" applyBorder="1"/>
    <xf numFmtId="0" fontId="1" fillId="20" borderId="8" xfId="0" applyFont="1" applyFill="1" applyBorder="1" applyAlignment="1">
      <alignment vertical="center"/>
    </xf>
    <xf numFmtId="0" fontId="1" fillId="20" borderId="6" xfId="0" applyFont="1" applyFill="1" applyBorder="1" applyAlignment="1">
      <alignment vertical="center"/>
    </xf>
    <xf numFmtId="0" fontId="1" fillId="20" borderId="7" xfId="0" applyFont="1" applyFill="1" applyBorder="1" applyAlignment="1">
      <alignment vertical="center"/>
    </xf>
    <xf numFmtId="0" fontId="21" fillId="59" borderId="0" xfId="0" applyFont="1" applyFill="1"/>
    <xf numFmtId="0" fontId="4" fillId="31" borderId="0" xfId="0" applyFont="1" applyFill="1"/>
    <xf numFmtId="0" fontId="12" fillId="0" borderId="0" xfId="0" applyFont="1" applyAlignment="1">
      <alignment wrapText="1"/>
    </xf>
    <xf numFmtId="0" fontId="1" fillId="20" borderId="0" xfId="0" applyFont="1" applyFill="1"/>
    <xf numFmtId="0" fontId="2" fillId="31" borderId="4" xfId="0" applyFont="1" applyFill="1" applyBorder="1"/>
    <xf numFmtId="0" fontId="1" fillId="0" borderId="4" xfId="0" applyFont="1" applyBorder="1"/>
    <xf numFmtId="0" fontId="14" fillId="15" borderId="0" xfId="0" applyFont="1" applyFill="1"/>
    <xf numFmtId="0" fontId="12" fillId="0" borderId="0" xfId="0" applyFont="1"/>
    <xf numFmtId="0" fontId="21" fillId="2" borderId="0" xfId="0" applyFont="1" applyFill="1"/>
    <xf numFmtId="0" fontId="14" fillId="2" borderId="0" xfId="0" applyFont="1" applyFill="1"/>
    <xf numFmtId="0" fontId="42" fillId="0" borderId="0" xfId="0" applyFont="1"/>
    <xf numFmtId="0" fontId="8" fillId="0" borderId="0" xfId="0" applyFont="1"/>
    <xf numFmtId="0" fontId="4" fillId="6" borderId="0" xfId="0" applyFont="1" applyFill="1"/>
    <xf numFmtId="0" fontId="4" fillId="8" borderId="0" xfId="0" applyFont="1" applyFill="1"/>
    <xf numFmtId="0" fontId="4" fillId="10" borderId="0" xfId="0" applyFont="1" applyFill="1"/>
    <xf numFmtId="0" fontId="4" fillId="12" borderId="0" xfId="0" applyFont="1" applyFill="1"/>
    <xf numFmtId="0" fontId="8" fillId="0" borderId="3" xfId="0" applyFont="1" applyBorder="1"/>
    <xf numFmtId="0" fontId="0" fillId="0" borderId="3" xfId="0" applyBorder="1"/>
    <xf numFmtId="0" fontId="4" fillId="15" borderId="0" xfId="0" applyFont="1" applyFill="1"/>
    <xf numFmtId="0" fontId="4" fillId="13" borderId="0" xfId="0" applyFont="1" applyFill="1"/>
    <xf numFmtId="0" fontId="14" fillId="31" borderId="0" xfId="0" applyFont="1" applyFill="1" applyAlignment="1">
      <alignment horizontal="center"/>
    </xf>
    <xf numFmtId="0" fontId="86" fillId="0" borderId="0" xfId="0" applyFont="1"/>
    <xf numFmtId="15" fontId="86" fillId="0" borderId="0" xfId="0" applyNumberFormat="1" applyFont="1"/>
    <xf numFmtId="0" fontId="0" fillId="0" borderId="0" xfId="0" quotePrefix="1"/>
    <xf numFmtId="0" fontId="1" fillId="52" borderId="0" xfId="0" applyFont="1" applyFill="1"/>
    <xf numFmtId="0" fontId="4" fillId="2" borderId="0" xfId="0" applyFont="1" applyFill="1"/>
    <xf numFmtId="0" fontId="14" fillId="31" borderId="0" xfId="0" applyFont="1" applyFill="1"/>
  </cellXfs>
  <cellStyles count="1">
    <cellStyle name="Normal" xfId="0" builtinId="0"/>
  </cellStyles>
  <dxfs count="80">
    <dxf>
      <font>
        <b/>
        <i val="0"/>
        <color rgb="FFFFFFFF"/>
      </font>
      <fill>
        <patternFill patternType="solid">
          <fgColor indexed="64"/>
          <bgColor rgb="FFFF0000"/>
        </patternFill>
      </fill>
    </dxf>
    <dxf>
      <font>
        <b/>
        <i val="0"/>
      </font>
      <fill>
        <patternFill patternType="solid">
          <fgColor indexed="64"/>
          <bgColor rgb="FFFFC7CE"/>
        </patternFill>
      </fill>
    </dxf>
    <dxf>
      <font>
        <color rgb="FFC0C0C0"/>
      </font>
      <fill>
        <patternFill patternType="solid">
          <fgColor indexed="64"/>
          <bgColor rgb="FFF5F5F5"/>
        </patternFill>
      </fill>
    </dxf>
    <dxf>
      <fill>
        <patternFill patternType="solid">
          <fgColor indexed="64"/>
          <bgColor rgb="FFFFC000"/>
        </patternFill>
      </fill>
    </dxf>
    <dxf>
      <font>
        <color rgb="FFFFFFFF"/>
      </font>
      <fill>
        <patternFill patternType="solid">
          <fgColor indexed="64"/>
          <bgColor rgb="FFFF6B6B"/>
        </patternFill>
      </fill>
    </dxf>
    <dxf>
      <fill>
        <patternFill patternType="solid">
          <fgColor indexed="64"/>
          <bgColor rgb="FFFFF2CC"/>
        </patternFill>
      </fill>
    </dxf>
    <dxf>
      <fill>
        <patternFill patternType="solid">
          <fgColor indexed="64"/>
          <bgColor rgb="FFC6EFCE"/>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color rgb="FFC0C0C0"/>
      </font>
      <fill>
        <patternFill patternType="solid">
          <fgColor indexed="64"/>
          <bgColor rgb="FFF5F5F5"/>
        </patternFill>
      </fill>
    </dxf>
    <dxf>
      <font>
        <b/>
        <i val="0"/>
        <color rgb="FFFFFFFF"/>
      </font>
      <fill>
        <patternFill patternType="solid">
          <fgColor indexed="64"/>
          <bgColor rgb="FFC00000"/>
        </patternFill>
      </fill>
    </dxf>
    <dxf>
      <font>
        <b/>
        <i val="0"/>
        <color rgb="FF833C0C"/>
      </font>
      <fill>
        <patternFill patternType="solid">
          <fgColor indexed="64"/>
          <bgColor rgb="FFF4B084"/>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006100"/>
      </font>
      <fill>
        <patternFill patternType="solid">
          <fgColor indexed="64"/>
          <bgColor rgb="FFC6EFCE"/>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b/>
        <i val="0"/>
        <color rgb="FF833C0C"/>
      </font>
      <fill>
        <patternFill patternType="solid">
          <fgColor indexed="64"/>
          <bgColor rgb="FFF4B084"/>
        </patternFill>
      </fill>
    </dxf>
    <dxf>
      <font>
        <b/>
        <i val="0"/>
        <color rgb="FFFFFFFF"/>
      </font>
      <fill>
        <patternFill patternType="solid">
          <fgColor indexed="64"/>
          <bgColor rgb="FFC00000"/>
        </patternFill>
      </fill>
    </dxf>
    <dxf>
      <font>
        <color rgb="FFC0C0C0"/>
      </font>
      <fill>
        <patternFill patternType="solid">
          <fgColor indexed="64"/>
          <bgColor rgb="FFF5F5F5"/>
        </patternFill>
      </fill>
    </dxf>
    <dxf>
      <fill>
        <patternFill patternType="solid">
          <fgColor indexed="64"/>
          <bgColor rgb="FFC6EFCE"/>
        </patternFill>
      </fill>
    </dxf>
    <dxf>
      <fill>
        <patternFill patternType="solid">
          <fgColor indexed="64"/>
          <bgColor rgb="FFDDEBF7"/>
        </patternFill>
      </fill>
    </dxf>
    <dxf>
      <fill>
        <patternFill patternType="solid">
          <fgColor indexed="64"/>
          <bgColor rgb="FFB4C6E7"/>
        </patternFill>
      </fill>
    </dxf>
    <dxf>
      <fill>
        <patternFill patternType="solid">
          <fgColor indexed="64"/>
          <bgColor rgb="FFFFE4C4"/>
        </patternFill>
      </fill>
    </dxf>
    <dxf>
      <fill>
        <patternFill patternType="solid">
          <fgColor indexed="64"/>
          <bgColor rgb="FFE6D5E8"/>
        </patternFill>
      </fill>
    </dxf>
    <dxf>
      <fill>
        <patternFill patternType="solid">
          <fgColor indexed="64"/>
          <bgColor rgb="FFFFCCCB"/>
        </patternFill>
      </fill>
    </dxf>
    <dxf>
      <font>
        <color rgb="FFC0C0C0"/>
      </font>
      <fill>
        <patternFill patternType="solid">
          <fgColor indexed="64"/>
          <bgColor rgb="FFF5F5F5"/>
        </patternFill>
      </fill>
    </dxf>
    <dxf>
      <font>
        <color rgb="FFFFFFFF"/>
      </font>
      <fill>
        <patternFill patternType="solid">
          <fgColor indexed="64"/>
          <bgColor rgb="FFFF6B6B"/>
        </patternFill>
      </fill>
    </dxf>
    <dxf>
      <fill>
        <patternFill patternType="solid">
          <fgColor indexed="64"/>
          <bgColor rgb="FFE0E0E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92D050"/>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4A7D6"/>
        </patternFill>
      </fill>
    </dxf>
    <dxf>
      <font>
        <b/>
        <i val="0"/>
      </font>
      <fill>
        <patternFill patternType="solid">
          <fgColor indexed="64"/>
          <bgColor rgb="FFFF6B6B"/>
        </patternFill>
      </fill>
    </dxf>
    <dxf>
      <fill>
        <patternFill patternType="solid">
          <fgColor indexed="64"/>
          <bgColor rgb="FFFFC000"/>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EB9C"/>
        </patternFill>
      </fill>
    </dxf>
    <dxf>
      <fill>
        <patternFill patternType="solid">
          <fgColor indexed="64"/>
          <bgColor rgb="FFFFC000"/>
        </patternFill>
      </fill>
    </dxf>
    <dxf>
      <font>
        <b/>
        <i val="0"/>
      </font>
      <fill>
        <patternFill patternType="solid">
          <fgColor indexed="64"/>
          <bgColor rgb="FFFF6B6B"/>
        </patternFill>
      </fill>
    </dxf>
    <dxf>
      <font>
        <b/>
        <i val="0"/>
        <color rgb="FF9C0006"/>
      </font>
      <fill>
        <patternFill patternType="solid">
          <fgColor indexed="64"/>
          <bgColor rgb="FFFFC7CE"/>
        </patternFill>
      </fill>
    </dxf>
    <dxf>
      <fill>
        <patternFill patternType="solid">
          <fgColor indexed="64"/>
          <bgColor rgb="FFB4C7E7"/>
        </patternFill>
      </fill>
    </dxf>
    <dxf>
      <fill>
        <patternFill patternType="solid">
          <fgColor indexed="64"/>
          <bgColor rgb="FFE0E0E0"/>
        </patternFill>
      </fill>
    </dxf>
    <dxf>
      <fill>
        <patternFill patternType="solid">
          <fgColor indexed="64"/>
          <bgColor rgb="FFBFBFBF"/>
        </patternFill>
      </fill>
    </dxf>
    <dxf>
      <font>
        <color rgb="FFFFFFFF"/>
      </font>
      <fill>
        <patternFill patternType="solid">
          <fgColor indexed="64"/>
          <bgColor rgb="FFFF6B6B"/>
        </patternFill>
      </fill>
    </dxf>
    <dxf>
      <fill>
        <patternFill patternType="solid">
          <fgColor indexed="64"/>
          <bgColor rgb="FFA9D08E"/>
        </patternFill>
      </fill>
    </dxf>
    <dxf>
      <fill>
        <patternFill patternType="solid">
          <fgColor indexed="64"/>
          <bgColor rgb="FFFFEB9C"/>
        </patternFill>
      </fill>
    </dxf>
    <dxf>
      <fill>
        <patternFill patternType="solid">
          <fgColor indexed="64"/>
          <bgColor rgb="FFC6EFCE"/>
        </patternFill>
      </fill>
    </dxf>
    <dxf>
      <fill>
        <patternFill patternType="solid">
          <fgColor indexed="64"/>
          <bgColor rgb="FFFCE4D6"/>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FFC7CE"/>
        </patternFill>
      </fill>
    </dxf>
    <dxf>
      <fill>
        <patternFill patternType="solid">
          <fgColor indexed="64"/>
          <bgColor rgb="FFFFF2CC"/>
        </patternFill>
      </fill>
    </dxf>
    <dxf>
      <fill>
        <patternFill patternType="solid">
          <fgColor indexed="64"/>
          <bgColor rgb="FFFBE5D6"/>
        </patternFill>
      </fill>
    </dxf>
    <dxf>
      <font>
        <b/>
        <i val="0"/>
      </font>
      <fill>
        <patternFill patternType="solid">
          <fgColor indexed="64"/>
          <bgColor rgb="FFD9E1F2"/>
        </patternFill>
      </fill>
    </dxf>
    <dxf>
      <font>
        <color rgb="FFC0C0C0"/>
      </font>
      <fill>
        <patternFill patternType="solid">
          <fgColor indexed="64"/>
          <bgColor rgb="FFF0F0F0"/>
        </patternFill>
      </fill>
    </dxf>
    <dxf>
      <fill>
        <patternFill patternType="solid">
          <fgColor indexed="64"/>
          <bgColor rgb="FFE8F6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uru Goddumuri" id="{C5EEF9C7-9F40-4448-9C11-8491B85FAD47}" userId="141426210af9d49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 dT="2026-06-28T10:34:56.67" personId="{C5EEF9C7-9F40-4448-9C11-8491B85FAD47}" id="{F0309006-7D79-4AE2-9D1B-1DBB0670F4B3}">
    <text>RELEASE DESK DASHBOARD: Enterprise Release Management Dashboard for real-time visibility.</text>
  </threadedComment>
  <threadedComment ref="J1" dT="2026-06-28T10:34:56.69" personId="{C5EEF9C7-9F40-4448-9C11-8491B85FAD47}" id="{AF14264F-8A43-4A05-97E8-6330C39C4F4A}">
    <text>Last Refresh: Auto-updates when workbook recalculates.</text>
  </threadedComment>
  <threadedComment ref="B2" dT="2026-06-28T10:34:56.58" personId="{C5EEF9C7-9F40-4448-9C11-8491B85FAD47}" id="{F46F6CDC-AE4B-4372-86C8-D74A8911ABD3}">
    <text>🔍 FILTERS: Use dropdowns to filter all dashboard metrics.</text>
  </threadedComment>
  <threadedComment ref="D2" dT="2026-06-28T10:34:56.60" personId="{C5EEF9C7-9F40-4448-9C11-8491B85FAD47}" id="{6152FCB9-F136-450D-B379-B82AB41E5D64}">
    <text>Time Period: All Time | Today | This Week | This Month | This Year</text>
  </threadedComment>
  <threadedComment ref="F2" dT="2026-06-28T10:34:56.62" personId="{C5EEF9C7-9F40-4448-9C11-8491B85FAD47}" id="{30B96B6A-00ED-4BB9-9394-A8C9F0439F1F}">
    <text>Department: Filter by department or select 'All'.</text>
  </threadedComment>
  <threadedComment ref="H2" dT="2026-06-28T10:34:56.65" personId="{C5EEF9C7-9F40-4448-9C11-8491B85FAD47}" id="{A307E1AC-8216-4B84-82BA-44DB488B0BA5}">
    <text>Application: Filter by application or select 'All'.</text>
  </threadedComment>
  <threadedComment ref="B4" dT="2026-06-28T10:33:52.69" personId="{C5EEF9C7-9F40-4448-9C11-8491B85FAD47}" id="{FFB6D561-FAFA-4A81-AF63-25A0D00A5B51}">
    <text>📦 RELEASE PIPELINE
Overview of all releases in the system, filtered by your selected time period, department, and application.</text>
  </threadedComment>
  <threadedComment ref="E4" dT="2026-06-28T10:34:02.09" personId="{C5EEF9C7-9F40-4448-9C11-8491B85FAD47}" id="{5A4B9B46-6794-4BE9-8F5A-3164F707A26E}">
    <text>⚠️ RELEASE CONFLICTS &amp; RISKS
Identifies scheduling conflicts and risk levels. High numbers indicate potential deployment issues.</text>
  </threadedComment>
  <threadedComment ref="H4" dT="2026-06-28T10:34:11.62" personId="{C5EEF9C7-9F40-4448-9C11-8491B85FAD47}" id="{32525F60-5CAC-490E-8120-EABFE758144D}">
    <text>🖥️ ENVIRONMENT BOOKINGS: Test and UAT environment utilization tracking.</text>
  </threadedComment>
  <threadedComment ref="B5" dT="2026-06-28T10:33:52.85" personId="{C5EEF9C7-9F40-4448-9C11-8491B85FAD47}" id="{C0902078-0E97-4F8E-8D00-F0627E7C16B9}">
    <text>Total Releases: The complete count of all releases matching your current filter criteria. Includes all statuses.</text>
  </threadedComment>
  <threadedComment ref="E5" dT="2026-06-28T10:34:02.09" personId="{C5EEF9C7-9F40-4448-9C11-8491B85FAD47}" id="{BD90B856-825D-4975-8BCA-2173B73EC775}">
    <text>Active Conflicts: Releases with scheduling or resource conflicts (overlapping windows, shared environments).</text>
  </threadedComment>
  <threadedComment ref="H5" dT="2026-06-28T10:34:11.63" personId="{C5EEF9C7-9F40-4448-9C11-8491B85FAD47}" id="{767383D6-4FAF-483B-9E9A-4C8E7661D4A4}">
    <text>Env Conflicts: Environment booking conflicts requiring scheduling resolution.</text>
  </threadedComment>
  <threadedComment ref="B6" dT="2026-06-28T10:33:52.86" personId="{C5EEF9C7-9F40-4448-9C11-8491B85FAD47}" id="{79ABF32F-276A-4E1B-996E-644F8484C74C}">
    <text>Blocked: Releases that are currently blocked and cannot proceed. Require immediate attention.</text>
  </threadedComment>
  <threadedComment ref="E6" dT="2026-06-28T10:34:02.10" personId="{C5EEF9C7-9F40-4448-9C11-8491B85FAD47}" id="{81E78845-92D0-4BF2-98D3-16574712F9FE}">
    <text>Critical Risk (20+): Requires executive attention and detailed mitigation plans.</text>
  </threadedComment>
  <threadedComment ref="H6" dT="2026-06-28T10:34:11.63" personId="{C5EEF9C7-9F40-4448-9C11-8491B85FAD47}" id="{5E23011D-5522-403E-B024-A3EB16E9CDF9}">
    <text>Env Bookings Active: Total active environment reservations.</text>
  </threadedComment>
  <threadedComment ref="B7" dT="2026-06-28T10:33:52.87" personId="{C5EEF9C7-9F40-4448-9C11-8491B85FAD47}" id="{87BA61F0-1CE0-42A9-A36F-7A9DB27AA739}">
    <text>Approved: Releases that have received all necessary approvals and are cleared for deployment.</text>
  </threadedComment>
  <threadedComment ref="E7" dT="2026-06-28T10:34:02.10" personId="{C5EEF9C7-9F40-4448-9C11-8491B85FAD47}" id="{2DF49844-D9DA-4AF0-B381-1A80502C0A47}">
    <text>High Risk (15-19): Elevated risk, requires additional review and contingency planning.</text>
  </threadedComment>
  <threadedComment ref="B8" dT="2026-06-28T10:33:52.88" personId="{C5EEF9C7-9F40-4448-9C11-8491B85FAD47}" id="{AA1C334C-7EA5-4137-9F6A-A08AD0608294}">
    <text>Testing: Releases currently in the testing phase (unit, integration, QA).</text>
  </threadedComment>
  <threadedComment ref="E8" dT="2026-06-28T10:34:02.11" personId="{C5EEF9C7-9F40-4448-9C11-8491B85FAD47}" id="{B1556484-DFBC-4B5E-93EE-8BB2752934DE}">
    <text>Medium Risk (10-14): Moderate risk, standard change management applies.</text>
  </threadedComment>
  <threadedComment ref="H8" dT="2026-06-28T10:34:11.64" personId="{C5EEF9C7-9F40-4448-9C11-8491B85FAD47}" id="{4E0D5270-AB34-4DB8-B21E-5058976ADE0A}">
    <text>🔗 DEPENDENCIES: Inter-release and system dependencies affecting scheduling.</text>
  </threadedComment>
  <threadedComment ref="B9" dT="2026-06-28T10:33:52.89" personId="{C5EEF9C7-9F40-4448-9C11-8491B85FAD47}" id="{713AE988-0C92-4A6D-83D5-206D690967F2}">
    <text>Planning: Releases in planning stage. Requirements and scheduling being finalized.</text>
  </threadedComment>
  <threadedComment ref="E9" dT="2026-06-28T10:34:02.11" personId="{C5EEF9C7-9F40-4448-9C11-8491B85FAD47}" id="{1FC090DC-58F3-4184-95CA-D409F72B605D}">
    <text>Low Risk (&lt;10): Minimal risk, routine changes with proven rollback.</text>
  </threadedComment>
  <threadedComment ref="H9" dT="2026-06-28T10:34:11.65" personId="{C5EEF9C7-9F40-4448-9C11-8491B85FAD47}" id="{5295111C-9134-4265-A22B-2118C2B900AB}">
    <text>Blocked Dependencies: Dependencies blocking release progress.</text>
  </threadedComment>
  <threadedComment ref="B10" dT="2026-06-28T10:33:52.90" personId="{C5EEF9C7-9F40-4448-9C11-8491B85FAD47}" id="{2547B8B1-6BDF-4F0A-AAF2-69B587145A44}">
    <text>Draft: Releases in draft status. Initial documentation being prepared.</text>
  </threadedComment>
  <threadedComment ref="H10" dT="2026-06-28T10:34:11.66" personId="{C5EEF9C7-9F40-4448-9C11-8491B85FAD47}" id="{E849D6E5-5956-4FEE-8133-32FAEFDD541D}">
    <text>Total Dependencies: All tracked upstream/downstream dependencies.</text>
  </threadedComment>
  <threadedComment ref="B11" dT="2026-06-28T10:33:52.90" personId="{C5EEF9C7-9F40-4448-9C11-8491B85FAD47}" id="{19BA223E-FDA1-445E-A520-52FDE4E9B389}">
    <text>Pending CAB: Releases awaiting Change Advisory Board review and approval.</text>
  </threadedComment>
  <threadedComment ref="E11" dT="2026-06-28T10:34:11.58" personId="{C5EEF9C7-9F40-4448-9C11-8491B85FAD47}" id="{C5CDE005-A69A-462D-80E8-8B3E599C44C6}">
    <text>📋 CAB &amp; APPROVALS: Change Advisory Board meeting schedule and approval pipeline.</text>
  </threadedComment>
  <threadedComment ref="B12" dT="2026-06-28T10:34:02.06" personId="{C5EEF9C7-9F40-4448-9C11-8491B85FAD47}" id="{C0986098-8AEB-466C-871B-435CFFFE5A07}">
    <text>P1 - Critical: Highest priority. Security patches, critical fixes. Target SLA: 24-48 hours.</text>
  </threadedComment>
  <threadedComment ref="E12" dT="2026-06-28T10:34:11.59" personId="{C5EEF9C7-9F40-4448-9C11-8491B85FAD47}" id="{D33112D8-4C2B-4C3F-9B09-716EBBA1D3A5}">
    <text>CAB Meetings: Number of CAB meetings scheduled within selected time period.</text>
  </threadedComment>
  <threadedComment ref="H12" dT="2026-06-28T10:34:11.66" personId="{C5EEF9C7-9F40-4448-9C11-8491B85FAD47}" id="{2EEDE5D7-0BB8-4A19-A456-E7D85B330D80}">
    <text>👥 RESOURCE AVAILABILITY: Staff availability for release activities.</text>
  </threadedComment>
  <threadedComment ref="B13" dT="2026-06-28T10:34:02.07" personId="{C5EEF9C7-9F40-4448-9C11-8491B85FAD47}" id="{436B59B1-B980-4094-A888-AACE92E25DBB}">
    <text>P2 - High: Significant business impact. Target SLA: 1-2 weeks.</text>
  </threadedComment>
  <threadedComment ref="E13" dT="2026-06-28T10:34:11.61" personId="{C5EEF9C7-9F40-4448-9C11-8491B85FAD47}" id="{31910DB3-C8CC-4D20-9CC1-7F4D200D2782}">
    <text>Pending Approvals: Releases awaiting approval (CAB review or sign-offs).</text>
  </threadedComment>
  <threadedComment ref="H13" dT="2026-06-28T10:34:11.67" personId="{C5EEF9C7-9F40-4448-9C11-8491B85FAD47}" id="{387EEBD1-B3C7-41D3-A02C-BEA5410C4403}">
    <text>Staff on Leave Today: Team members on leave today.</text>
  </threadedComment>
  <threadedComment ref="B14" dT="2026-06-28T10:34:02.08" personId="{C5EEF9C7-9F40-4448-9C11-8491B85FAD47}" id="{5648D2A4-2A93-45A9-930E-30B37F6F7FF5}">
    <text>P3 - Medium: Planned enhancements, non-critical fixes. Target SLA: 2-4 weeks.</text>
  </threadedComment>
  <threadedComment ref="H14" dT="2026-06-28T10:34:11.68" personId="{C5EEF9C7-9F40-4448-9C11-8491B85FAD47}" id="{70A36042-29AE-48F9-BDA1-3AFC9E0A7CE5}">
    <text>Staff on Leave (7 Days): Total leave days in next 7 days.</text>
  </threadedComment>
  <threadedComment ref="B15" dT="2026-06-28T10:34:02.08" personId="{C5EEF9C7-9F40-4448-9C11-8491B85FAD47}" id="{EDFACCF3-B8E4-4B44-B785-7D9D58D668EC}">
    <text>P4 - Low: Minor improvements, cosmetic changes. Target SLA: 4-8 weeks.</text>
  </threadedComment>
  <threadedComment ref="B17" dT="2026-06-28T10:34:18.02" personId="{C5EEF9C7-9F40-4448-9C11-8491B85FAD47}" id="{F1689D7A-5098-4796-BF1B-77A23947794D}">
    <text>🚨 MONITORING ALERTS: Real-time infrastructure and application alerts.</text>
  </threadedComment>
  <threadedComment ref="E17" dT="2026-06-28T10:34:27.13" personId="{C5EEF9C7-9F40-4448-9C11-8491B85FAD47}" id="{A605FFF5-E10E-4B07-A8DF-E6AE0ADE2781}">
    <text>🔥 INCIDENTS: Active incidents affecting production and non-production environments.</text>
  </threadedComment>
  <threadedComment ref="H17" dT="2026-06-28T10:34:27.20" personId="{C5EEF9C7-9F40-4448-9C11-8491B85FAD47}" id="{24E61E60-646E-4D33-BCEC-B1AAE265EDF9}">
    <text>📊 APPLICATION AVAILABILITY: Real-time health status across all environments.</text>
  </threadedComment>
  <threadedComment ref="B18" dT="2026-06-28T10:34:18.03" personId="{C5EEF9C7-9F40-4448-9C11-8491B85FAD47}" id="{31BB31E4-A635-4FB6-BB33-EF7B1DCBE443}">
    <text>Critical Alerts: CRITICAL severity. Requires immediate action (&lt;15 min response).</text>
  </threadedComment>
  <threadedComment ref="E18" dT="2026-06-28T10:34:27.14" personId="{C5EEF9C7-9F40-4448-9C11-8491B85FAD47}" id="{A0AC79AB-4546-4F69-8E8B-9E61CDC44965}">
    <text>P1 Incidents: Severity 1 - Critical. Major business impact. Target: &lt;4 hours.</text>
  </threadedComment>
  <threadedComment ref="H18" dT="2026-06-28T10:34:27.21" personId="{C5EEF9C7-9F40-4448-9C11-8491B85FAD47}" id="{D40B9CC0-EB78-4897-9615-C160FA2834D8}">
    <text>Apps Down - Production: 🔴 CRITICAL. Production apps unavailable. Immediate business impact.</text>
  </threadedComment>
  <threadedComment ref="B19" dT="2026-06-28T10:34:18.03" personId="{C5EEF9C7-9F40-4448-9C11-8491B85FAD47}" id="{420ED592-1242-427F-8301-BB43C8947473}">
    <text>Warning Alerts: WARNING severity. Potential issue developing (&lt;1 hour response).</text>
  </threadedComment>
  <threadedComment ref="E19" dT="2026-06-28T10:34:27.15" personId="{C5EEF9C7-9F40-4448-9C11-8491B85FAD47}" id="{C858CEE4-DAED-4473-93F0-F4DD290FF67E}">
    <text>P2 Incidents: Severity 2 - High. Significant impact. Target: &lt;8 hours.</text>
  </threadedComment>
  <threadedComment ref="H19" dT="2026-06-28T10:34:27.22" personId="{C5EEF9C7-9F40-4448-9C11-8491B85FAD47}" id="{D4714BEE-9843-420B-BDB4-9FCC58D8D866}">
    <text>Apps Degraded - Production: 🟡 WARNING. Reduced functionality or performance.</text>
  </threadedComment>
  <threadedComment ref="B20" dT="2026-06-28T10:34:18.04" personId="{C5EEF9C7-9F40-4448-9C11-8491B85FAD47}" id="{5FA26CE4-7540-41B4-9E75-2D5EEF086820}">
    <text>Info Alerts: INFO severity. Informational notifications.</text>
  </threadedComment>
  <threadedComment ref="E20" dT="2026-06-28T10:34:27.16" personId="{C5EEF9C7-9F40-4448-9C11-8491B85FAD47}" id="{C3978A0C-D002-4F94-89DE-2CA936E2CEE4}">
    <text>P3 Incidents: Severity 3 - Medium. Minor impact. Target: &lt;24 hours.</text>
  </threadedComment>
  <threadedComment ref="H20" dT="2026-06-28T10:34:27.23" personId="{C5EEF9C7-9F40-4448-9C11-8491B85FAD47}" id="{32867735-6567-4594-9104-1B7A6013920B}">
    <text>Apps Healthy - Production: 🟢 HEALTHY. Operating normally.</text>
  </threadedComment>
  <threadedComment ref="B21" dT="2026-06-28T10:34:18.05" personId="{C5EEF9C7-9F40-4448-9C11-8491B85FAD47}" id="{4C914ED0-CE26-468A-B313-048250DCAF2F}">
    <text>Acknowledged: Alerts acknowledged by ops team, under investigation.</text>
  </threadedComment>
  <threadedComment ref="E21" dT="2026-06-28T10:34:27.17" personId="{C5EEF9C7-9F40-4448-9C11-8491B85FAD47}" id="{139BA4B2-EA8C-49D3-9C4A-4ED015292ACF}">
    <text>Investigating: Incidents under active investigation.</text>
  </threadedComment>
  <threadedComment ref="H21" dT="2026-06-28T10:34:27.24" personId="{C5EEF9C7-9F40-4448-9C11-8491B85FAD47}" id="{B1BF2EC1-54A7-49C0-8DF8-72D3715335D3}">
    <text>Apps Down - Lower Env: Non-production apps unavailable. May block testing.</text>
  </threadedComment>
  <threadedComment ref="B22" dT="2026-06-28T10:34:18.06" personId="{C5EEF9C7-9F40-4448-9C11-8491B85FAD47}" id="{1C93BA73-4BC4-4846-A30D-35F4736818FC}">
    <text>Resolved (24h): Alerts resolved in past 24 hours.</text>
  </threadedComment>
  <threadedComment ref="E22" dT="2026-06-28T10:34:27.18" personId="{C5EEF9C7-9F40-4448-9C11-8491B85FAD47}" id="{08E674ED-34CA-4D9D-8CFF-FF0E442C580B}">
    <text>Resolved (24h): Incidents resolved in past 24 hours.</text>
  </threadedComment>
  <threadedComment ref="H22" dT="2026-06-28T10:34:27.25" personId="{C5EEF9C7-9F40-4448-9C11-8491B85FAD47}" id="{E8551B8F-2708-4708-AF56-5FD95382D668}">
    <text>Apps Degraded - Lower Env: Non-production apps with issues.</text>
  </threadedComment>
  <threadedComment ref="B23" dT="2026-06-28T10:34:18.07" personId="{C5EEF9C7-9F40-4448-9C11-8491B85FAD47}" id="{824EC9F1-D7EB-4ACF-A17A-F49390E08F1A}">
    <text>Total Active Alerts: Sum of all unresolved alerts. Key health indicator.</text>
  </threadedComment>
  <threadedComment ref="E23" dT="2026-06-28T10:34:27.19" personId="{C5EEF9C7-9F40-4448-9C11-8491B85FAD47}" id="{3D987C9B-DE9D-402B-968F-162B9ECE3047}">
    <text>Total Active Incidents: All unresolved incidents. Key operational health indicator.</text>
  </threadedComment>
  <threadedComment ref="H23" dT="2026-06-28T10:34:27.26" personId="{C5EEF9C7-9F40-4448-9C11-8491B85FAD47}" id="{84E317F3-3082-4317-A3F9-8336A2763696}">
    <text>Total App-Env Records: Total application-environment combinations monitored.</text>
  </threadedComment>
  <threadedComment ref="B26" dT="2026-06-28T10:34:36.49" personId="{C5EEF9C7-9F40-4448-9C11-8491B85FAD47}" id="{6E9E87B1-AA4B-4837-8D83-893630842809}">
    <text>🔧 PLANNED MAINTENANCE: Scheduled maintenance windows and infrastructure activities.</text>
  </threadedComment>
  <threadedComment ref="E26" dT="2026-06-28T10:34:36.56" personId="{C5EEF9C7-9F40-4448-9C11-8491B85FAD47}" id="{179CC6F0-3347-40E7-9F86-DF0440538CCE}">
    <text>❄️ CHANGE FREEZE: Releases affected by freeze periods. No deployments except emergencies.</text>
  </threadedComment>
  <threadedComment ref="H26" dT="2026-06-28T10:34:46.47" personId="{C5EEF9C7-9F40-4448-9C11-8491B85FAD47}" id="{5868391E-176F-4C30-8B7B-641320594301}">
    <text>📈 QUICK STATS: Key release metrics and readiness indicators for executive overview.</text>
  </threadedComment>
  <threadedComment ref="B27" dT="2026-06-28T10:34:36.50" personId="{C5EEF9C7-9F40-4448-9C11-8491B85FAD47}" id="{C2C1D4FE-43F4-4F26-98DB-C44548488C65}">
    <text>Scheduled Today: Maintenance activities scheduled for today.</text>
  </threadedComment>
  <threadedComment ref="E27" dT="2026-06-28T10:34:36.57" personId="{C5EEF9C7-9F40-4448-9C11-8491B85FAD47}" id="{B95B58D0-745F-40F6-8D1A-E7A9CB9EC5CE}">
    <text>Quarter-End Freeze: Releases during quarter-end (finance system lockdown).</text>
  </threadedComment>
  <threadedComment ref="H27" dT="2026-06-28T10:34:46.48" personId="{C5EEF9C7-9F40-4448-9C11-8491B85FAD47}" id="{1E4D48E3-C83D-4F4F-A93F-3F4F5CE37600}">
    <text>Releases This Week: Releases scheduled in next 7 days. Capacity planning metric.</text>
  </threadedComment>
  <threadedComment ref="B28" dT="2026-06-28T10:34:36.51" personId="{C5EEF9C7-9F40-4448-9C11-8491B85FAD47}" id="{BD7DEB45-92F3-4CB8-81E6-228BC961005F}">
    <text>DB Refreshes: Database refresh activities (copies prod data to lower envs).</text>
  </threadedComment>
  <threadedComment ref="E28" dT="2026-06-28T10:34:36.59" personId="{C5EEF9C7-9F40-4448-9C11-8491B85FAD47}" id="{799791C5-0FDD-4E6C-8C7E-4E9E40A080B8}">
    <text>Year-End Freeze: Releases during year-end (Dec-Jan annual close).</text>
  </threadedComment>
  <threadedComment ref="H28" dT="2026-06-28T10:34:46.51" personId="{C5EEF9C7-9F40-4448-9C11-8491B85FAD47}" id="{2B594DF5-8D2E-43E4-BB79-6072034B02DF}">
    <text>Releases This Month: Releases scheduled in next 30 days. Monthly planning metric.</text>
  </threadedComment>
  <threadedComment ref="B29" dT="2026-06-28T10:34:36.53" personId="{C5EEF9C7-9F40-4448-9C11-8491B85FAD47}" id="{8C906281-3D27-468E-AE61-E4F4D10DE777}">
    <text>Vendor Windows: Vendor-scheduled maintenance for SaaS/cloud apps.</text>
  </threadedComment>
  <threadedComment ref="E29" dT="2026-06-28T10:34:36.60" personId="{C5EEF9C7-9F40-4448-9C11-8491B85FAD47}" id="{59A624D6-149A-4B9E-B3C1-A302138B388D}">
    <text>Audit Freeze: Releases during audit periods (maintain audit trail).</text>
  </threadedComment>
  <threadedComment ref="H29" dT="2026-06-28T10:34:46.52" personId="{C5EEF9C7-9F40-4448-9C11-8491B85FAD47}" id="{650CA4AA-D67F-415A-8BCE-575F60C7BC38}">
    <text>Rollback Plan Ready: Releases with documented, tested rollback plans. Target: 100%.</text>
  </threadedComment>
  <threadedComment ref="B30" dT="2026-06-28T10:34:36.54" personId="{C5EEF9C7-9F40-4448-9C11-8491B85FAD47}" id="{50537D73-F7E1-43ED-91CB-3F2B117CA542}">
    <text>Full Outages: Activities causing complete service unavailability.</text>
  </threadedComment>
  <threadedComment ref="E30" dT="2026-06-28T10:34:36.61" personId="{C5EEF9C7-9F40-4448-9C11-8491B85FAD47}" id="{384B6A70-C780-4452-8299-9A9C3DEFF1AC}">
    <text>Holiday Freeze: Releases during holidays (reduced staffing).</text>
  </threadedComment>
  <threadedComment ref="H30" dT="2026-06-28T10:34:46.54" personId="{C5EEF9C7-9F40-4448-9C11-8491B85FAD47}" id="{B5C9F3A9-B07A-49E3-9F47-FE46508AEF77}">
    <text>Rollback At Risk: Releases with at-risk rollback plans. Need attention.</text>
  </threadedComment>
  <threadedComment ref="B31" dT="2026-06-28T10:34:36.55" personId="{C5EEF9C7-9F40-4448-9C11-8491B85FAD47}" id="{9E51EDBA-4746-4E5C-9BCF-F99C9A661D71}">
    <text>Total Maintenance: All scheduled maintenance in selected period.</text>
  </threadedComment>
  <threadedComment ref="E31" dT="2026-06-28T10:34:36.62" personId="{C5EEF9C7-9F40-4448-9C11-8491B85FAD47}" id="{B4C6D08F-B1FA-4E2A-A49A-8227BC68DA54}">
    <text>Total Frozen Releases: All releases needing reschedule or exception approval.</text>
  </threadedComment>
  <threadedComment ref="H31" dT="2026-06-28T10:34:46.56" personId="{C5EEF9C7-9F40-4448-9C11-8491B85FAD47}" id="{50A0CCB9-ADBB-4B0B-8840-16B41061E251}">
    <text>Avg Go-Live Checklist %: Average checklist completion. Target: &gt;90% before deploy.</text>
  </threadedComment>
  <threadedComment ref="B35" dT="2026-06-28T10:34:46.58" personId="{C5EEF9C7-9F40-4448-9C11-8491B85FAD47}" id="{0F694D4C-4440-4256-B6F3-8517958231FB}">
    <text>🚦 OVERALL HEALTH STATUS: RAG indicators showing system health at a glance.</text>
  </threadedComment>
  <threadedComment ref="B36" dT="2026-06-28T10:34:46.60" personId="{C5EEF9C7-9F40-4448-9C11-8491B85FAD47}" id="{1087A740-5AD1-4E3B-827C-470DE78855DC}">
    <text>Release Pipeline: 🟢=0 blocked | 🟡=1-2 blocked | 🔴=&gt;2 blocked</text>
  </threadedComment>
  <threadedComment ref="D36" dT="2026-06-28T10:34:46.62" personId="{C5EEF9C7-9F40-4448-9C11-8491B85FAD47}" id="{5D416B25-9E96-4D34-8449-73788F4565FA}">
    <text>Environment Health: 🟢=0 apps down | 🟡=1 down | 🔴=&gt;2 down</text>
  </threadedComment>
  <threadedComment ref="F36" dT="2026-06-28T10:34:46.64" personId="{C5EEF9C7-9F40-4448-9C11-8491B85FAD47}" id="{1D2333A6-3C51-42B1-9C86-46AE328F5009}">
    <text>Incident Status: 🟢=0 P1 | 🟡=1 P1 | 🔴=&gt;2 P1</text>
  </threadedComment>
  <threadedComment ref="H36" dT="2026-06-28T10:34:46.66" personId="{C5EEF9C7-9F40-4448-9C11-8491B85FAD47}" id="{8598B092-A1C4-4B41-855A-98B519D03A9C}">
    <text>Alert Status: 🟢=0 critical | 🟡=1-5 critical | 🔴=&gt;5 critical</text>
  </threadedComment>
  <threadedComment ref="B39" dT="2026-06-28T10:34:56.44" personId="{C5EEF9C7-9F40-4448-9C11-8491B85FAD47}" id="{981DC5F3-5E8E-43E6-8514-47C6CA897933}">
    <text>📊 SUMMARY TOTALS: Quick reference totals for executive overview.</text>
  </threadedComment>
  <threadedComment ref="B40" dT="2026-06-28T10:34:56.45" personId="{C5EEF9C7-9F40-4448-9C11-8491B85FAD47}" id="{F95E2B89-1821-4066-A3FC-398720D16920}">
    <text>Total Releases: Count of all releases matching current filters.</text>
  </threadedComment>
  <threadedComment ref="D40" dT="2026-06-28T10:34:56.47" personId="{C5EEF9C7-9F40-4448-9C11-8491B85FAD47}" id="{D50A12A9-F319-4D57-A49B-BBE3797A2E1D}">
    <text>Active Incidents: Total unresolved incidents (P1+P2+P3).</text>
  </threadedComment>
  <threadedComment ref="F40" dT="2026-06-28T10:34:56.49" personId="{C5EEF9C7-9F40-4448-9C11-8491B85FAD47}" id="{4D8CAB68-135D-4B1C-BC7C-1FE956A30EC0}">
    <text>Active Alerts: Total unresolved monitoring alerts.</text>
  </threadedComment>
  <threadedComment ref="H40" dT="2026-06-28T10:34:56.51" personId="{C5EEF9C7-9F40-4448-9C11-8491B85FAD47}" id="{FE443512-8ED2-4E16-8BBD-D405B4396667}">
    <text>Apps Down: Total unavailable apps (Production + Lower Environments).</text>
  </threadedComment>
  <threadedComment ref="B42" dT="2026-06-28T10:34:56.53" personId="{C5EEF9C7-9F40-4448-9C11-8491B85FAD47}" id="{A8A93EF8-D7E5-45B4-9AF3-7F867294EA5C}">
    <text>📈 RELEASE TREND: Visualization of release volume over next 4 weeks.</text>
  </threadedComment>
  <threadedComment ref="F44" dT="2026-06-28T10:34:56.54" personId="{C5EEF9C7-9F40-4448-9C11-8491B85FAD47}" id="{B713B935-A5D9-4EF4-87D6-D7736CC8A09B}">
    <text>Trend Direction: 📈=Increasing | 📉=Decreasing | ➡️=Stable</text>
  </threadedComment>
  <threadedComment ref="F47" dT="2026-06-28T10:34:56.56" personId="{C5EEF9C7-9F40-4448-9C11-8491B85FAD47}" id="{2079573F-A38F-4DD7-800D-FA66B822E63C}">
    <text>Incident Trend: 🔴=P1 Active | 🟠=Watch P2 | 🟢=Stable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96839-D99B-4E48-83AB-B3167CBD5EFE}">
  <sheetPr>
    <tabColor rgb="FF1F4E79"/>
  </sheetPr>
  <dimension ref="A1:H60"/>
  <sheetViews>
    <sheetView topLeftCell="A13" workbookViewId="0">
      <selection activeCell="B6" sqref="B6:F6"/>
    </sheetView>
  </sheetViews>
  <sheetFormatPr defaultRowHeight="14.4" x14ac:dyDescent="0.3"/>
  <cols>
    <col min="1" max="1" width="5.5546875" customWidth="1"/>
    <col min="2" max="2" width="22.21875" customWidth="1"/>
    <col min="3" max="3" width="24.33203125" customWidth="1"/>
    <col min="4" max="4" width="22.21875" customWidth="1"/>
    <col min="5" max="5" width="24.77734375" customWidth="1"/>
    <col min="6" max="6" width="22.21875" customWidth="1"/>
    <col min="7" max="7" width="27.77734375" customWidth="1"/>
    <col min="8" max="8" width="5.5546875" customWidth="1"/>
  </cols>
  <sheetData>
    <row r="1" spans="1:8" ht="22.05" customHeight="1" x14ac:dyDescent="0.3">
      <c r="A1" s="239"/>
      <c r="B1" s="239"/>
      <c r="C1" s="239"/>
      <c r="D1" s="239"/>
      <c r="E1" s="239"/>
      <c r="F1" s="239"/>
      <c r="G1" s="239"/>
      <c r="H1" s="239"/>
    </row>
    <row r="2" spans="1:8" ht="53.4" customHeight="1" x14ac:dyDescent="0.6">
      <c r="A2" s="239"/>
      <c r="B2" s="240" t="s">
        <v>4785</v>
      </c>
      <c r="C2" s="239"/>
      <c r="D2" s="241" t="s">
        <v>4786</v>
      </c>
      <c r="E2" s="239"/>
      <c r="F2" s="242" t="s">
        <v>4787</v>
      </c>
      <c r="G2" s="239"/>
      <c r="H2" s="239"/>
    </row>
    <row r="3" spans="1:8" ht="22.05" customHeight="1" x14ac:dyDescent="0.3">
      <c r="A3" s="239"/>
      <c r="B3" s="239"/>
      <c r="C3" s="239"/>
      <c r="D3" s="239"/>
      <c r="E3" s="239"/>
      <c r="F3" s="239"/>
      <c r="G3" s="239"/>
      <c r="H3" s="239"/>
    </row>
    <row r="4" spans="1:8" ht="22.05" customHeight="1" x14ac:dyDescent="0.3">
      <c r="A4" s="243"/>
      <c r="B4" s="244" t="s">
        <v>4788</v>
      </c>
      <c r="C4" s="244" t="s">
        <v>4789</v>
      </c>
      <c r="D4" s="244" t="s">
        <v>4790</v>
      </c>
      <c r="E4" s="244" t="s">
        <v>4791</v>
      </c>
      <c r="F4" s="245" t="s">
        <v>4792</v>
      </c>
      <c r="G4" s="243"/>
      <c r="H4" s="243"/>
    </row>
    <row r="5" spans="1:8" ht="22.05" customHeight="1" x14ac:dyDescent="0.3">
      <c r="A5" s="243"/>
      <c r="B5" s="243"/>
      <c r="C5" s="243"/>
      <c r="D5" s="243"/>
      <c r="E5" s="243"/>
      <c r="F5" s="243"/>
      <c r="G5" s="243"/>
      <c r="H5" s="243"/>
    </row>
    <row r="6" spans="1:8" ht="22.05" customHeight="1" x14ac:dyDescent="0.3">
      <c r="A6" s="246"/>
      <c r="B6" s="344" t="s">
        <v>4882</v>
      </c>
      <c r="C6" s="345"/>
      <c r="D6" s="345"/>
      <c r="E6" s="345"/>
      <c r="F6" s="345"/>
      <c r="G6" s="246"/>
    </row>
    <row r="7" spans="1:8" ht="22.05" customHeight="1" x14ac:dyDescent="0.3">
      <c r="A7" s="246"/>
      <c r="B7" s="249"/>
      <c r="C7" s="248"/>
      <c r="D7" s="248"/>
      <c r="E7" s="248"/>
      <c r="F7" s="251"/>
      <c r="G7" s="340" t="s">
        <v>4864</v>
      </c>
    </row>
    <row r="8" spans="1:8" ht="22.05" customHeight="1" x14ac:dyDescent="0.45">
      <c r="A8" s="246"/>
      <c r="B8" s="253" t="s">
        <v>4793</v>
      </c>
      <c r="C8" s="173"/>
      <c r="D8" s="173"/>
      <c r="E8" s="173"/>
      <c r="F8" s="252"/>
      <c r="G8" s="341"/>
    </row>
    <row r="9" spans="1:8" ht="49.2" customHeight="1" x14ac:dyDescent="0.3">
      <c r="A9" s="246"/>
      <c r="B9" s="338" t="s">
        <v>4794</v>
      </c>
      <c r="C9" s="339"/>
      <c r="D9" s="339"/>
      <c r="E9" s="339"/>
      <c r="F9" s="339"/>
      <c r="G9" s="327"/>
    </row>
    <row r="10" spans="1:8" ht="30" customHeight="1" x14ac:dyDescent="0.3">
      <c r="A10" s="246"/>
      <c r="B10" s="250"/>
      <c r="C10" s="247"/>
      <c r="D10" s="247"/>
      <c r="E10" s="247"/>
      <c r="F10" s="247"/>
      <c r="G10" s="317" t="s">
        <v>4865</v>
      </c>
    </row>
    <row r="11" spans="1:8" ht="22.05" customHeight="1" x14ac:dyDescent="0.5">
      <c r="A11" s="246"/>
      <c r="B11" s="246"/>
      <c r="C11" s="246"/>
      <c r="D11" s="246"/>
      <c r="E11" s="246"/>
      <c r="F11" s="246"/>
      <c r="G11" s="318">
        <f>COUNTA(Releases!A:A)-1</f>
        <v>83</v>
      </c>
    </row>
    <row r="12" spans="1:8" ht="22.05" customHeight="1" x14ac:dyDescent="0.35">
      <c r="A12" s="246"/>
      <c r="B12" s="254" t="s">
        <v>4795</v>
      </c>
      <c r="C12" s="246"/>
      <c r="D12" s="246"/>
      <c r="E12" s="246"/>
      <c r="F12" s="246"/>
      <c r="G12" s="316"/>
    </row>
    <row r="13" spans="1:8" ht="22.05" customHeight="1" x14ac:dyDescent="0.3">
      <c r="A13" s="246"/>
      <c r="B13" s="246"/>
      <c r="C13" s="246"/>
      <c r="D13" s="246"/>
      <c r="E13" s="246"/>
      <c r="F13" s="246"/>
      <c r="G13" s="317" t="s">
        <v>4866</v>
      </c>
    </row>
    <row r="14" spans="1:8" ht="22.05" customHeight="1" x14ac:dyDescent="0.6">
      <c r="A14" s="246"/>
      <c r="B14" s="256" t="s">
        <v>4796</v>
      </c>
      <c r="C14" s="246"/>
      <c r="D14" s="261" t="s">
        <v>4800</v>
      </c>
      <c r="E14" s="246"/>
      <c r="F14" s="261" t="s">
        <v>4804</v>
      </c>
      <c r="G14" s="319">
        <f>COUNTIF(Releases!O:O,"*CONFLICT*")</f>
        <v>27</v>
      </c>
    </row>
    <row r="15" spans="1:8" ht="22.05" customHeight="1" x14ac:dyDescent="0.3">
      <c r="A15" s="246"/>
      <c r="B15" s="257" t="s">
        <v>4797</v>
      </c>
      <c r="C15" s="246"/>
      <c r="D15" s="262" t="s">
        <v>4801</v>
      </c>
      <c r="E15" s="246"/>
      <c r="F15" s="262" t="s">
        <v>4805</v>
      </c>
      <c r="G15" s="316"/>
    </row>
    <row r="16" spans="1:8" ht="22.05" customHeight="1" x14ac:dyDescent="0.3">
      <c r="A16" s="246"/>
      <c r="B16" s="255"/>
      <c r="C16" s="246"/>
      <c r="D16" s="260"/>
      <c r="E16" s="246"/>
      <c r="F16" s="260"/>
      <c r="G16" s="317" t="s">
        <v>4867</v>
      </c>
    </row>
    <row r="17" spans="1:7" ht="22.05" customHeight="1" x14ac:dyDescent="0.5">
      <c r="A17" s="246"/>
      <c r="B17" s="258" t="s">
        <v>4798</v>
      </c>
      <c r="C17" s="246"/>
      <c r="D17" s="263" t="s">
        <v>4802</v>
      </c>
      <c r="E17" s="246"/>
      <c r="F17" s="263" t="s">
        <v>4806</v>
      </c>
      <c r="G17" s="320">
        <f>COUNTIF(Releases!N:N,"Blocked")</f>
        <v>1</v>
      </c>
    </row>
    <row r="18" spans="1:7" ht="22.05" customHeight="1" thickBot="1" x14ac:dyDescent="0.35">
      <c r="A18" s="246"/>
      <c r="B18" s="259" t="s">
        <v>4799</v>
      </c>
      <c r="C18" s="246"/>
      <c r="D18" s="264" t="s">
        <v>4803</v>
      </c>
      <c r="E18" s="246"/>
      <c r="F18" s="264" t="s">
        <v>4807</v>
      </c>
      <c r="G18" s="316"/>
    </row>
    <row r="19" spans="1:7" ht="22.05" customHeight="1" thickTop="1" x14ac:dyDescent="0.3">
      <c r="A19" s="246"/>
      <c r="B19" s="246"/>
      <c r="C19" s="246"/>
      <c r="D19" s="246"/>
      <c r="E19" s="246"/>
      <c r="F19" s="246"/>
      <c r="G19" s="317" t="s">
        <v>4868</v>
      </c>
    </row>
    <row r="20" spans="1:7" ht="22.05" customHeight="1" x14ac:dyDescent="0.6">
      <c r="A20" s="246"/>
      <c r="B20" s="261" t="s">
        <v>4808</v>
      </c>
      <c r="C20" s="246"/>
      <c r="D20" s="266" t="s">
        <v>4812</v>
      </c>
      <c r="E20" s="246"/>
      <c r="F20" s="261" t="s">
        <v>4815</v>
      </c>
      <c r="G20" s="321">
        <f>COUNTIF(Releases!H:H,"P1*")</f>
        <v>11</v>
      </c>
    </row>
    <row r="21" spans="1:7" ht="22.05" customHeight="1" x14ac:dyDescent="0.3">
      <c r="A21" s="246"/>
      <c r="B21" s="262" t="s">
        <v>4809</v>
      </c>
      <c r="C21" s="246"/>
      <c r="D21" s="267" t="s">
        <v>3194</v>
      </c>
      <c r="E21" s="246"/>
      <c r="F21" s="262" t="s">
        <v>4816</v>
      </c>
      <c r="G21" s="316"/>
    </row>
    <row r="22" spans="1:7" ht="22.05" customHeight="1" x14ac:dyDescent="0.3">
      <c r="A22" s="246"/>
      <c r="B22" s="260"/>
      <c r="C22" s="246"/>
      <c r="D22" s="265"/>
      <c r="E22" s="246"/>
      <c r="F22" s="260"/>
      <c r="G22" s="317" t="s">
        <v>4869</v>
      </c>
    </row>
    <row r="23" spans="1:7" ht="22.05" customHeight="1" x14ac:dyDescent="0.5">
      <c r="A23" s="246"/>
      <c r="B23" s="263" t="s">
        <v>4810</v>
      </c>
      <c r="C23" s="246"/>
      <c r="D23" s="268" t="s">
        <v>4813</v>
      </c>
      <c r="E23" s="246"/>
      <c r="F23" s="263" t="s">
        <v>4817</v>
      </c>
      <c r="G23" s="322">
        <f>COUNTIF(Releases!N:N,"Pending CAB")</f>
        <v>1</v>
      </c>
    </row>
    <row r="24" spans="1:7" ht="22.05" customHeight="1" thickBot="1" x14ac:dyDescent="0.35">
      <c r="A24" s="246"/>
      <c r="B24" s="264" t="s">
        <v>4811</v>
      </c>
      <c r="C24" s="246"/>
      <c r="D24" s="269" t="s">
        <v>4814</v>
      </c>
      <c r="E24" s="246"/>
      <c r="F24" s="264" t="s">
        <v>4818</v>
      </c>
      <c r="G24" s="316"/>
    </row>
    <row r="25" spans="1:7" ht="22.05" customHeight="1" thickTop="1" x14ac:dyDescent="0.3">
      <c r="A25" s="246"/>
      <c r="B25" s="246"/>
      <c r="C25" s="246"/>
      <c r="D25" s="246"/>
      <c r="E25" s="246"/>
      <c r="F25" s="246"/>
      <c r="G25" s="317" t="s">
        <v>4870</v>
      </c>
    </row>
    <row r="26" spans="1:7" ht="22.05" customHeight="1" x14ac:dyDescent="0.6">
      <c r="A26" s="246"/>
      <c r="B26" s="261" t="s">
        <v>4819</v>
      </c>
      <c r="C26" s="246"/>
      <c r="D26" s="271" t="s">
        <v>4823</v>
      </c>
      <c r="E26" s="246"/>
      <c r="F26" s="261" t="s">
        <v>4827</v>
      </c>
      <c r="G26" s="323">
        <f>COUNTIF(Releases!N:N,"Approved")</f>
        <v>4</v>
      </c>
    </row>
    <row r="27" spans="1:7" ht="22.05" customHeight="1" x14ac:dyDescent="0.3">
      <c r="A27" s="246"/>
      <c r="B27" s="262" t="s">
        <v>4820</v>
      </c>
      <c r="C27" s="246"/>
      <c r="D27" s="272" t="s">
        <v>4824</v>
      </c>
      <c r="E27" s="246"/>
      <c r="F27" s="262" t="s">
        <v>4828</v>
      </c>
      <c r="G27" s="316"/>
    </row>
    <row r="28" spans="1:7" ht="22.05" customHeight="1" x14ac:dyDescent="0.3">
      <c r="A28" s="246"/>
      <c r="B28" s="260"/>
      <c r="C28" s="246"/>
      <c r="D28" s="270"/>
      <c r="E28" s="246"/>
      <c r="F28" s="260"/>
      <c r="G28" s="324"/>
    </row>
    <row r="29" spans="1:7" ht="22.05" customHeight="1" x14ac:dyDescent="0.3">
      <c r="A29" s="246"/>
      <c r="B29" s="263" t="s">
        <v>4821</v>
      </c>
      <c r="C29" s="246"/>
      <c r="D29" s="273" t="s">
        <v>4825</v>
      </c>
      <c r="E29" s="246"/>
      <c r="F29" s="263" t="s">
        <v>4829</v>
      </c>
      <c r="G29" s="316"/>
    </row>
    <row r="30" spans="1:7" ht="22.05" customHeight="1" thickBot="1" x14ac:dyDescent="0.35">
      <c r="A30" s="246"/>
      <c r="B30" s="264" t="s">
        <v>4822</v>
      </c>
      <c r="C30" s="246"/>
      <c r="D30" s="274" t="s">
        <v>4826</v>
      </c>
      <c r="E30" s="246"/>
      <c r="F30" s="264" t="s">
        <v>4830</v>
      </c>
      <c r="G30" s="342" t="s">
        <v>4871</v>
      </c>
    </row>
    <row r="31" spans="1:7" ht="22.05" customHeight="1" thickTop="1" x14ac:dyDescent="0.3">
      <c r="A31" s="246"/>
      <c r="B31" s="246"/>
      <c r="C31" s="246"/>
      <c r="D31" s="246"/>
      <c r="E31" s="246"/>
      <c r="F31" s="246"/>
      <c r="G31" s="343"/>
    </row>
    <row r="32" spans="1:7" ht="22.05" customHeight="1" x14ac:dyDescent="0.35">
      <c r="A32" s="246"/>
      <c r="B32" s="254" t="s">
        <v>4831</v>
      </c>
      <c r="C32" s="246"/>
      <c r="D32" s="246"/>
      <c r="E32" s="246"/>
      <c r="F32" s="246"/>
      <c r="G32" s="316"/>
    </row>
    <row r="33" spans="1:7" ht="22.05" customHeight="1" x14ac:dyDescent="0.3">
      <c r="A33" s="246"/>
      <c r="B33" s="246"/>
      <c r="C33" s="246"/>
      <c r="D33" s="246"/>
      <c r="E33" s="246"/>
      <c r="F33" s="246"/>
      <c r="G33" s="325" t="s">
        <v>4872</v>
      </c>
    </row>
    <row r="34" spans="1:7" ht="22.05" customHeight="1" x14ac:dyDescent="0.6">
      <c r="A34" s="246"/>
      <c r="B34" s="276" t="s">
        <v>4832</v>
      </c>
      <c r="C34" s="246"/>
      <c r="D34" s="281" t="s">
        <v>4836</v>
      </c>
      <c r="E34" s="246"/>
      <c r="F34" s="286" t="s">
        <v>4808</v>
      </c>
      <c r="G34" s="316"/>
    </row>
    <row r="35" spans="1:7" ht="22.05" customHeight="1" x14ac:dyDescent="0.3">
      <c r="A35" s="246"/>
      <c r="B35" s="277" t="s">
        <v>4833</v>
      </c>
      <c r="C35" s="246"/>
      <c r="D35" s="282" t="s">
        <v>4837</v>
      </c>
      <c r="E35" s="246"/>
      <c r="F35" s="287" t="s">
        <v>4840</v>
      </c>
      <c r="G35" s="325" t="s">
        <v>4873</v>
      </c>
    </row>
    <row r="36" spans="1:7" ht="22.05" customHeight="1" x14ac:dyDescent="0.3">
      <c r="A36" s="246"/>
      <c r="B36" s="275"/>
      <c r="C36" s="246"/>
      <c r="D36" s="280"/>
      <c r="E36" s="246"/>
      <c r="F36" s="285"/>
      <c r="G36" s="316"/>
    </row>
    <row r="37" spans="1:7" ht="22.05" customHeight="1" x14ac:dyDescent="0.3">
      <c r="A37" s="246"/>
      <c r="B37" s="278" t="s">
        <v>4834</v>
      </c>
      <c r="C37" s="246"/>
      <c r="D37" s="283" t="s">
        <v>4838</v>
      </c>
      <c r="E37" s="246"/>
      <c r="F37" s="288" t="s">
        <v>4841</v>
      </c>
      <c r="G37" s="325" t="s">
        <v>4874</v>
      </c>
    </row>
    <row r="38" spans="1:7" ht="22.05" customHeight="1" thickBot="1" x14ac:dyDescent="0.35">
      <c r="A38" s="246"/>
      <c r="B38" s="279" t="s">
        <v>4835</v>
      </c>
      <c r="C38" s="246"/>
      <c r="D38" s="284" t="s">
        <v>4839</v>
      </c>
      <c r="E38" s="246"/>
      <c r="F38" s="289" t="s">
        <v>4842</v>
      </c>
      <c r="G38" s="316"/>
    </row>
    <row r="39" spans="1:7" ht="22.05" customHeight="1" thickTop="1" x14ac:dyDescent="0.3">
      <c r="A39" s="246"/>
      <c r="B39" s="246"/>
      <c r="C39" s="246"/>
      <c r="D39" s="246"/>
      <c r="E39" s="246"/>
      <c r="F39" s="246"/>
      <c r="G39" s="325" t="s">
        <v>4875</v>
      </c>
    </row>
    <row r="40" spans="1:7" ht="22.05" customHeight="1" x14ac:dyDescent="0.6">
      <c r="A40" s="246"/>
      <c r="B40" s="291" t="s">
        <v>4843</v>
      </c>
      <c r="C40" s="246"/>
      <c r="D40" s="296" t="s">
        <v>4847</v>
      </c>
      <c r="E40" s="246"/>
      <c r="F40" s="301" t="s">
        <v>4851</v>
      </c>
      <c r="G40" s="316"/>
    </row>
    <row r="41" spans="1:7" ht="22.05" customHeight="1" x14ac:dyDescent="0.3">
      <c r="A41" s="246"/>
      <c r="B41" s="292" t="s">
        <v>4844</v>
      </c>
      <c r="C41" s="246"/>
      <c r="D41" s="297" t="s">
        <v>4848</v>
      </c>
      <c r="E41" s="246"/>
      <c r="F41" s="302" t="s">
        <v>4852</v>
      </c>
      <c r="G41" s="326" t="s">
        <v>4876</v>
      </c>
    </row>
    <row r="42" spans="1:7" ht="22.05" customHeight="1" x14ac:dyDescent="0.3">
      <c r="A42" s="246"/>
      <c r="B42" s="290"/>
      <c r="C42" s="246"/>
      <c r="D42" s="295"/>
      <c r="E42" s="246"/>
      <c r="F42" s="300"/>
      <c r="G42" s="324"/>
    </row>
    <row r="43" spans="1:7" ht="22.05" customHeight="1" x14ac:dyDescent="0.3">
      <c r="A43" s="246"/>
      <c r="B43" s="293" t="s">
        <v>4845</v>
      </c>
      <c r="C43" s="246"/>
      <c r="D43" s="298" t="s">
        <v>4849</v>
      </c>
      <c r="E43" s="246"/>
      <c r="F43" s="303" t="s">
        <v>4853</v>
      </c>
      <c r="G43" s="328" t="s">
        <v>4883</v>
      </c>
    </row>
    <row r="44" spans="1:7" ht="22.05" customHeight="1" thickBot="1" x14ac:dyDescent="0.35">
      <c r="A44" s="246"/>
      <c r="B44" s="294" t="s">
        <v>4846</v>
      </c>
      <c r="C44" s="246"/>
      <c r="D44" s="299" t="s">
        <v>4850</v>
      </c>
      <c r="E44" s="246"/>
      <c r="F44" s="304" t="s">
        <v>4854</v>
      </c>
      <c r="G44" s="329">
        <f ca="1">NOW()</f>
        <v>46203.002463310186</v>
      </c>
    </row>
    <row r="45" spans="1:7" ht="22.05" customHeight="1" thickTop="1" x14ac:dyDescent="0.3">
      <c r="A45" s="246"/>
      <c r="B45" s="246"/>
      <c r="C45" s="246"/>
      <c r="D45" s="246"/>
      <c r="E45" s="246"/>
      <c r="F45" s="246"/>
      <c r="G45" s="246"/>
    </row>
    <row r="46" spans="1:7" ht="22.05" customHeight="1" x14ac:dyDescent="0.35">
      <c r="A46" s="246"/>
      <c r="B46" s="305" t="s">
        <v>4855</v>
      </c>
      <c r="C46" s="246"/>
      <c r="D46" s="246"/>
      <c r="E46" s="246"/>
      <c r="F46" s="246"/>
      <c r="G46" s="246"/>
    </row>
    <row r="47" spans="1:7" ht="22.05" customHeight="1" x14ac:dyDescent="0.3">
      <c r="A47" s="246"/>
      <c r="B47" s="246"/>
      <c r="C47" s="246"/>
      <c r="D47" s="246"/>
      <c r="E47" s="246"/>
      <c r="F47" s="246"/>
      <c r="G47" s="246"/>
    </row>
    <row r="48" spans="1:7" ht="22.05" customHeight="1" x14ac:dyDescent="0.3">
      <c r="A48" s="246"/>
      <c r="B48" s="307" t="s">
        <v>4856</v>
      </c>
      <c r="C48" s="246"/>
      <c r="D48" s="307" t="s">
        <v>4858</v>
      </c>
      <c r="E48" s="246"/>
      <c r="F48" s="307" t="s">
        <v>4860</v>
      </c>
      <c r="G48" s="246"/>
    </row>
    <row r="49" spans="1:8" ht="22.05" customHeight="1" x14ac:dyDescent="0.3">
      <c r="A49" s="246"/>
      <c r="B49" s="308" t="s">
        <v>4857</v>
      </c>
      <c r="C49" s="246"/>
      <c r="D49" s="308" t="s">
        <v>4859</v>
      </c>
      <c r="E49" s="246"/>
      <c r="F49" s="308" t="s">
        <v>4861</v>
      </c>
      <c r="G49" s="246"/>
    </row>
    <row r="50" spans="1:8" ht="22.05" customHeight="1" x14ac:dyDescent="0.3">
      <c r="A50" s="246"/>
      <c r="B50" s="306"/>
      <c r="C50" s="246"/>
      <c r="D50" s="306"/>
      <c r="E50" s="246"/>
      <c r="F50" s="306"/>
      <c r="G50" s="246"/>
    </row>
    <row r="51" spans="1:8" ht="22.05" customHeight="1" x14ac:dyDescent="0.3">
      <c r="A51" s="246"/>
      <c r="B51" s="311" t="s">
        <v>4877</v>
      </c>
      <c r="C51" s="312" t="s">
        <v>4878</v>
      </c>
      <c r="D51" s="313" t="s">
        <v>4879</v>
      </c>
      <c r="E51" s="314" t="s">
        <v>4880</v>
      </c>
      <c r="F51" s="315" t="s">
        <v>4881</v>
      </c>
      <c r="G51" s="246"/>
    </row>
    <row r="52" spans="1:8" ht="22.05" customHeight="1" x14ac:dyDescent="0.3">
      <c r="A52" s="246"/>
      <c r="B52" s="246"/>
      <c r="C52" s="246"/>
      <c r="D52" s="246"/>
      <c r="E52" s="246"/>
      <c r="F52" s="246"/>
      <c r="G52" s="246"/>
    </row>
    <row r="53" spans="1:8" ht="22.05" customHeight="1" x14ac:dyDescent="0.3">
      <c r="A53" s="243"/>
      <c r="B53" s="243"/>
      <c r="C53" s="243"/>
      <c r="D53" s="243"/>
      <c r="E53" s="243"/>
      <c r="F53" s="243"/>
      <c r="G53" s="246"/>
      <c r="H53" s="243"/>
    </row>
    <row r="54" spans="1:8" ht="22.05" customHeight="1" x14ac:dyDescent="0.3">
      <c r="A54" s="243"/>
      <c r="B54" s="309" t="s">
        <v>4862</v>
      </c>
      <c r="C54" s="243"/>
      <c r="D54" s="243"/>
      <c r="E54" s="243"/>
      <c r="F54" s="310" t="s">
        <v>4863</v>
      </c>
      <c r="G54" s="246"/>
      <c r="H54" s="243"/>
    </row>
    <row r="55" spans="1:8" ht="22.05" customHeight="1" x14ac:dyDescent="0.3">
      <c r="A55" s="243"/>
      <c r="B55" s="243"/>
      <c r="C55" s="243"/>
      <c r="D55" s="243"/>
      <c r="E55" s="243"/>
      <c r="F55" s="243"/>
      <c r="G55" s="246"/>
      <c r="H55" s="243"/>
    </row>
    <row r="56" spans="1:8" ht="22.05" customHeight="1" x14ac:dyDescent="0.3">
      <c r="A56" s="246"/>
      <c r="B56" s="246"/>
      <c r="C56" s="246"/>
      <c r="D56" s="246"/>
      <c r="E56" s="246"/>
      <c r="F56" s="246"/>
      <c r="G56" s="246"/>
    </row>
    <row r="57" spans="1:8" ht="22.05" customHeight="1" x14ac:dyDescent="0.3">
      <c r="A57" s="246"/>
      <c r="B57" s="246"/>
      <c r="C57" s="246"/>
      <c r="D57" s="246"/>
      <c r="E57" s="246"/>
      <c r="F57" s="246"/>
      <c r="G57" s="246"/>
    </row>
    <row r="58" spans="1:8" ht="22.05" customHeight="1" x14ac:dyDescent="0.3">
      <c r="A58" s="246"/>
      <c r="B58" s="246"/>
      <c r="C58" s="246"/>
      <c r="D58" s="246"/>
      <c r="E58" s="246"/>
      <c r="F58" s="246"/>
      <c r="G58" s="246"/>
    </row>
    <row r="59" spans="1:8" ht="22.05" customHeight="1" x14ac:dyDescent="0.3">
      <c r="A59" s="246"/>
      <c r="B59" s="246"/>
      <c r="C59" s="246"/>
      <c r="D59" s="246"/>
      <c r="E59" s="246"/>
      <c r="F59" s="246"/>
      <c r="G59" s="246"/>
    </row>
    <row r="60" spans="1:8" ht="22.05" customHeight="1" x14ac:dyDescent="0.3">
      <c r="A60" s="246"/>
      <c r="B60" s="246"/>
      <c r="C60" s="246"/>
      <c r="D60" s="246"/>
      <c r="E60" s="246"/>
      <c r="F60" s="246"/>
      <c r="G60" s="246"/>
    </row>
  </sheetData>
  <mergeCells count="4">
    <mergeCell ref="B9:F9"/>
    <mergeCell ref="G7:G8"/>
    <mergeCell ref="G30:G31"/>
    <mergeCell ref="B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750F5-0055-4071-9A89-3CFEE256DE2D}">
  <sheetPr>
    <tabColor theme="9"/>
  </sheetPr>
  <dimension ref="A1:J47"/>
  <sheetViews>
    <sheetView workbookViewId="0">
      <selection activeCell="J8" sqref="J8"/>
    </sheetView>
  </sheetViews>
  <sheetFormatPr defaultRowHeight="14.4" x14ac:dyDescent="0.3"/>
  <cols>
    <col min="1" max="1" width="0.88671875" customWidth="1"/>
    <col min="2" max="2" width="33.33203125" customWidth="1"/>
    <col min="3" max="3" width="14.77734375" customWidth="1"/>
    <col min="4" max="4" width="18.5546875" customWidth="1"/>
    <col min="5" max="5" width="33.33203125" customWidth="1"/>
    <col min="6" max="6" width="22.21875" customWidth="1"/>
    <col min="7" max="7" width="14.109375" customWidth="1"/>
    <col min="8" max="8" width="33.33203125" customWidth="1"/>
    <col min="9" max="9" width="14.77734375" customWidth="1"/>
    <col min="10" max="10" width="22" customWidth="1"/>
  </cols>
  <sheetData>
    <row r="1" spans="1:10" ht="31.2" x14ac:dyDescent="0.6">
      <c r="A1" s="171"/>
      <c r="B1" s="346" t="s">
        <v>4124</v>
      </c>
      <c r="C1" s="347"/>
      <c r="D1" s="347"/>
      <c r="E1" s="347"/>
      <c r="F1" s="347"/>
      <c r="G1" s="347"/>
      <c r="H1" s="347"/>
      <c r="I1" s="347"/>
      <c r="J1" s="186" t="s">
        <v>4180</v>
      </c>
    </row>
    <row r="2" spans="1:10" ht="15.6" x14ac:dyDescent="0.3">
      <c r="A2" s="171"/>
      <c r="B2" s="183" t="s">
        <v>4173</v>
      </c>
      <c r="C2" s="184" t="s">
        <v>4125</v>
      </c>
      <c r="D2" s="185" t="s">
        <v>4177</v>
      </c>
      <c r="E2" s="184" t="s">
        <v>4175</v>
      </c>
      <c r="F2" s="185" t="s">
        <v>4096</v>
      </c>
      <c r="G2" s="184" t="s">
        <v>4176</v>
      </c>
      <c r="H2" s="185" t="s">
        <v>4096</v>
      </c>
      <c r="I2" s="171"/>
      <c r="J2" s="188">
        <f ca="1">NOW()</f>
        <v>46203.002463310186</v>
      </c>
    </row>
    <row r="3" spans="1:10" ht="31.2" x14ac:dyDescent="0.6">
      <c r="A3" s="171"/>
      <c r="B3" s="172"/>
      <c r="C3" s="171"/>
      <c r="D3" s="171"/>
      <c r="E3" s="171"/>
      <c r="F3" s="171"/>
      <c r="G3" s="171"/>
      <c r="H3" s="171"/>
      <c r="I3" s="171"/>
      <c r="J3" s="171"/>
    </row>
    <row r="4" spans="1:10" ht="18" x14ac:dyDescent="0.35">
      <c r="A4" s="171"/>
      <c r="B4" s="348" t="s">
        <v>4126</v>
      </c>
      <c r="C4" s="349"/>
      <c r="D4" s="171"/>
      <c r="E4" s="350" t="s">
        <v>4178</v>
      </c>
      <c r="F4" s="349"/>
      <c r="G4" s="171"/>
      <c r="H4" s="352" t="s">
        <v>4179</v>
      </c>
      <c r="I4" s="349"/>
      <c r="J4" s="171"/>
    </row>
    <row r="5" spans="1:10" ht="21" x14ac:dyDescent="0.4">
      <c r="A5" s="171"/>
      <c r="B5" s="174" t="s">
        <v>1802</v>
      </c>
      <c r="C5" s="176" cm="1">
        <f t="array" aca="1" ref="C5" ca="1">SUMPRODUCT(
            (Releases!A5:A84&lt;&gt;"")*
            (IF($D$2="All Time",1,IF($D$2="Today",Releases!J5:J84=TODAY(),IF($D$2="This Week",(Releases!J5:J84&gt;=TODAY())*(Releases!J5:J84&lt;=TODAY()+7),IF($D$2="This Month",(Releases!J5:J84&gt;=TODAY())*(Releases!J5:J84&lt;=TODAY()+30),(Releases!J5:J84&gt;=DATE(YEAR(TODAY()),1,1))*(Releases!J5:J84&lt;=DATE(YEAR(TODAY()),12,31)))))))*
            (IF($F$2="All",1,Releases!C5:C84=$F$2))*
            (IF($H$2="All",1,Releases!D5:D84=$H$2))
        )</f>
        <v>9</v>
      </c>
      <c r="D5" s="171"/>
      <c r="E5" s="174" t="s">
        <v>4127</v>
      </c>
      <c r="F5" s="177" cm="1">
        <f t="array" aca="1" ref="F5" ca="1">SUMPRODUCT(
            (ISNUMBER(SEARCH("CONFLICT",Releases!O5:O84)))*
            (IF($D$2="All Time",1,IF($D$2="Today",Releases!J5:J84=TODAY(),IF($D$2="This Week",(Releases!J5:J84&gt;=TODAY())*(Releases!J5:J84&lt;=TODAY()+7),IF($D$2="This Month",(Releases!J5:J84&gt;=TODAY())*(Releases!J5:J84&lt;=TODAY()+30),(Releases!J5:J84&gt;=DATE(YEAR(TODAY()),1,1))*(Releases!J5:J84&lt;=DATE(YEAR(TODAY()),12,31)))))))*
            (IF($F$2="All",1,Releases!C5:C84=$F$2))*
            (IF($H$2="All",1,Releases!D5:D84=$H$2))
        )</f>
        <v>6</v>
      </c>
      <c r="G5" s="171"/>
      <c r="H5" s="174" t="s">
        <v>4135</v>
      </c>
      <c r="I5" s="177" cm="1">
        <f t="array" ref="I5">SUMPRODUCT(
            (ISNUMBER(SEARCH("CONFLICT",'Env booking'!U5:U115)))*
            (IF($F$2="All",1,'Env booking'!D5:D115=$F$2))
        )</f>
        <v>26</v>
      </c>
      <c r="J5" s="171"/>
    </row>
    <row r="6" spans="1:10" ht="21" x14ac:dyDescent="0.4">
      <c r="A6" s="171"/>
      <c r="B6" s="174" t="s">
        <v>2577</v>
      </c>
      <c r="C6" s="177" cm="1">
        <f t="array" aca="1" ref="C6" ca="1">SUMPRODUCT(
            (Releases!N5:N84="Blocked")*
            (IF($D$2="All Time",1,IF($D$2="Today",Releases!J5:J84=TODAY(),IF($D$2="This Week",(Releases!J5:J84&gt;=TODAY())*(Releases!J5:J84&lt;=TODAY()+7),IF($D$2="This Month",(Releases!J5:J84&gt;=TODAY())*(Releases!J5:J84&lt;=TODAY()+30),(Releases!J5:J84&gt;=DATE(YEAR(TODAY()),1,1))*(Releases!J5:J84&lt;=DATE(YEAR(TODAY()),12,31)))))))*
            (IF($F$2="All",1,Releases!C5:C84=$F$2))*
            (IF($H$2="All",1,Releases!D5:D84=$H$2))
        )</f>
        <v>1</v>
      </c>
      <c r="D6" s="171"/>
      <c r="E6" s="174" t="s">
        <v>4128</v>
      </c>
      <c r="F6" s="177" cm="1">
        <f t="array" ref="F6">SUMPRODUCT(
            (Risk!J5:J81&gt;=20)*
            (IF($F$2="All",1,Risk!C5:C81=$F$2))
        )</f>
        <v>2</v>
      </c>
      <c r="G6" s="171"/>
      <c r="H6" s="175" t="s">
        <v>4136</v>
      </c>
      <c r="I6" s="180" cm="1">
        <f t="array" ref="I6">SUMPRODUCT(
            ('Env booking'!A5:A115&lt;&gt;"")*
            (IF($F$2="All",1,'Env booking'!D5:D115=$F$2))
        )</f>
        <v>101</v>
      </c>
      <c r="J6" s="171"/>
    </row>
    <row r="7" spans="1:10" ht="21" x14ac:dyDescent="0.4">
      <c r="A7" s="171"/>
      <c r="B7" s="174" t="s">
        <v>2578</v>
      </c>
      <c r="C7" s="178" cm="1">
        <f t="array" aca="1" ref="C7" ca="1">SUMPRODUCT(
            (Releases!N5:N84="Approved")*
            (IF($D$2="All Time",1,IF($D$2="Today",Releases!J5:J84=TODAY(),IF($D$2="This Week",(Releases!J5:J84&gt;=TODAY())*(Releases!J5:J84&lt;=TODAY()+7),IF($D$2="This Month",(Releases!J5:J84&gt;=TODAY())*(Releases!J5:J84&lt;=TODAY()+30),(Releases!J5:J84&gt;=DATE(YEAR(TODAY()),1,1))*(Releases!J5:J84&lt;=DATE(YEAR(TODAY()),12,31)))))))*
            (IF($F$2="All",1,Releases!C5:C84=$F$2))*
            (IF($H$2="All",1,Releases!D5:D84=$H$2))
        )</f>
        <v>4</v>
      </c>
      <c r="D7" s="171"/>
      <c r="E7" s="174" t="s">
        <v>4129</v>
      </c>
      <c r="F7" s="179" cm="1">
        <f t="array" ref="F7">SUMPRODUCT(
            (Risk!J5:J81&gt;=15)*(Risk!J5:J81&lt;20)*
            (IF($F$2="All",1,Risk!C5:C81=$F$2))
        )</f>
        <v>3</v>
      </c>
      <c r="G7" s="171"/>
      <c r="H7" s="171"/>
      <c r="I7" s="171"/>
      <c r="J7" s="171"/>
    </row>
    <row r="8" spans="1:10" ht="21" x14ac:dyDescent="0.4">
      <c r="A8" s="171"/>
      <c r="B8" s="174" t="s">
        <v>2337</v>
      </c>
      <c r="C8" s="176" cm="1">
        <f t="array" aca="1" ref="C8" ca="1">SUMPRODUCT(
            (Releases!N5:N84="Testing")*
            (IF($D$2="All Time",1,IF($D$2="Today",Releases!J5:J84=TODAY(),IF($D$2="This Week",(Releases!J5:J84&gt;=TODAY())*(Releases!J5:J84&lt;=TODAY()+7),IF($D$2="This Month",(Releases!J5:J84&gt;=TODAY())*(Releases!J5:J84&lt;=TODAY()+30),(Releases!J5:J84&gt;=DATE(YEAR(TODAY()),1,1))*(Releases!J5:J84&lt;=DATE(YEAR(TODAY()),12,31)))))))*
            (IF($F$2="All",1,Releases!C5:C84=$F$2))*
            (IF($H$2="All",1,Releases!D5:D84=$H$2))
        )</f>
        <v>3</v>
      </c>
      <c r="D8" s="171"/>
      <c r="E8" s="174" t="s">
        <v>4130</v>
      </c>
      <c r="F8" s="176" cm="1">
        <f t="array" ref="F8">SUMPRODUCT(
            (Risk!J5:J81&gt;=10)*(Risk!J5:J81&lt;15)*
            (IF($F$2="All",1,Risk!C5:C81=$F$2))
        )</f>
        <v>12</v>
      </c>
      <c r="G8" s="171"/>
      <c r="H8" s="353" t="s">
        <v>4137</v>
      </c>
      <c r="I8" s="349"/>
      <c r="J8" s="171"/>
    </row>
    <row r="9" spans="1:10" ht="21" x14ac:dyDescent="0.4">
      <c r="A9" s="171"/>
      <c r="B9" s="174" t="s">
        <v>2565</v>
      </c>
      <c r="C9" s="176" cm="1">
        <f t="array" aca="1" ref="C9" ca="1">SUMPRODUCT(
            (Releases!N5:N84="Planning")*
            (IF($D$2="All Time",1,IF($D$2="Today",Releases!J5:J84=TODAY(),IF($D$2="This Week",(Releases!J5:J84&gt;=TODAY())*(Releases!J5:J84&lt;=TODAY()+7),IF($D$2="This Month",(Releases!J5:J84&gt;=TODAY())*(Releases!J5:J84&lt;=TODAY()+30),(Releases!J5:J84&gt;=DATE(YEAR(TODAY()),1,1))*(Releases!J5:J84&lt;=DATE(YEAR(TODAY()),12,31)))))))*
            (IF($F$2="All",1,Releases!C5:C84=$F$2))*
            (IF($H$2="All",1,Releases!D5:D84=$H$2))
        )</f>
        <v>0</v>
      </c>
      <c r="D9" s="171"/>
      <c r="E9" s="175" t="s">
        <v>4131</v>
      </c>
      <c r="F9" s="181" cm="1">
        <f t="array" ref="F9">SUMPRODUCT(
            (Risk!J5:J81&gt;0)*(Risk!J5:J81&lt;10)*
            (IF($F$2="All",1,Risk!C5:C81=$F$2))
        )</f>
        <v>14</v>
      </c>
      <c r="G9" s="171"/>
      <c r="H9" s="174" t="s">
        <v>4138</v>
      </c>
      <c r="I9" s="177" cm="1">
        <f t="array" ref="I9">SUMPRODUCT(
            (Dependencies!G4:G91="Blocked")*
            (IF($F$2="All",1,Dependencies!#REF!=$F$2))
        )</f>
        <v>5</v>
      </c>
      <c r="J9" s="171"/>
    </row>
    <row r="10" spans="1:10" ht="21" x14ac:dyDescent="0.4">
      <c r="A10" s="171"/>
      <c r="B10" s="174" t="s">
        <v>2568</v>
      </c>
      <c r="C10" s="176" cm="1">
        <f t="array" aca="1" ref="C10" ca="1">SUMPRODUCT(
            (Releases!N5:N84="Draft")*
            (IF($D$2="All Time",1,IF($D$2="Today",Releases!J5:J84=TODAY(),IF($D$2="This Week",(Releases!J5:J84&gt;=TODAY())*(Releases!J5:J84&lt;=TODAY()+7),IF($D$2="This Month",(Releases!J5:J84&gt;=TODAY())*(Releases!J5:J84&lt;=TODAY()+30),(Releases!J5:J84&gt;=DATE(YEAR(TODAY()),1,1))*(Releases!J5:J84&lt;=DATE(YEAR(TODAY()),12,31)))))))*
            (IF($F$2="All",1,Releases!C5:C84=$F$2))*
            (IF($H$2="All",1,Releases!D5:D84=$H$2))
        )</f>
        <v>0</v>
      </c>
      <c r="D10" s="171"/>
      <c r="E10" s="171"/>
      <c r="F10" s="171"/>
      <c r="G10" s="171"/>
      <c r="H10" s="175" t="s">
        <v>4139</v>
      </c>
      <c r="I10" s="180" cm="1">
        <f t="array" ref="I10">SUMPRODUCT(
            (Dependencies!A4:A91&lt;&gt;"")*
            (IF($F$2="All",1,Dependencies!#REF!=$F$2))
        )</f>
        <v>69</v>
      </c>
      <c r="J10" s="171"/>
    </row>
    <row r="11" spans="1:10" ht="21" x14ac:dyDescent="0.4">
      <c r="A11" s="171"/>
      <c r="B11" s="174" t="s">
        <v>2579</v>
      </c>
      <c r="C11" s="176" cm="1">
        <f t="array" aca="1" ref="C11" ca="1">SUMPRODUCT(
            (Releases!N5:N84="Pending CAB")*
            (IF($D$2="All Time",1,IF($D$2="Today",Releases!J5:J84=TODAY(),IF($D$2="This Week",(Releases!J5:J84&gt;=TODAY())*(Releases!J5:J84&lt;=TODAY()+7),IF($D$2="This Month",(Releases!J5:J84&gt;=TODAY())*(Releases!J5:J84&lt;=TODAY()+30),(Releases!J5:J84&gt;=DATE(YEAR(TODAY()),1,1))*(Releases!J5:J84&lt;=DATE(YEAR(TODAY()),12,31)))))))*
            (IF($F$2="All",1,Releases!C5:C84=$F$2))*
            (IF($H$2="All",1,Releases!D5:D84=$H$2))
        )</f>
        <v>1</v>
      </c>
      <c r="D11" s="171"/>
      <c r="E11" s="351" t="s">
        <v>4132</v>
      </c>
      <c r="F11" s="349"/>
      <c r="G11" s="171"/>
      <c r="H11" s="171"/>
      <c r="I11" s="171"/>
      <c r="J11" s="171"/>
    </row>
    <row r="12" spans="1:10" ht="21" x14ac:dyDescent="0.4">
      <c r="A12" s="171"/>
      <c r="B12" s="174" t="s">
        <v>129</v>
      </c>
      <c r="C12" s="177" cm="1">
        <f t="array" aca="1" ref="C12" ca="1">SUMPRODUCT(
            (Releases!H5:H84="P1 - Critical")*
            (IF($D$2="All Time",1,IF($D$2="Today",Releases!J5:J84=TODAY(),IF($D$2="This Week",(Releases!J5:J84&gt;=TODAY())*(Releases!J5:J84&lt;=TODAY()+7),IF($D$2="This Month",(Releases!J5:J84&gt;=TODAY())*(Releases!J5:J84&lt;=TODAY()+30),(Releases!J5:J84&gt;=DATE(YEAR(TODAY()),1,1))*(Releases!J5:J84&lt;=DATE(YEAR(TODAY()),12,31)))))))*
            (IF($F$2="All",1,Releases!C5:C84=$F$2))*
            (IF($H$2="All",1,Releases!D5:D84=$H$2))
        )</f>
        <v>2</v>
      </c>
      <c r="D12" s="171"/>
      <c r="E12" s="174" t="s">
        <v>4133</v>
      </c>
      <c r="F12" s="176" cm="1">
        <f t="array" aca="1" ref="F12" ca="1">SUMPRODUCT(
            (Calendar!E15:E180="CAB MEETING")*
            (IF($D$2="All Time",1,IF($D$2="Today",Calendar!C15:C180=TODAY(),IF($D$2="This Week",(Calendar!C15:C180&gt;=TODAY())*(Calendar!C15:C180&lt;=TODAY()+7),IF($D$2="This Month",(Calendar!C15:C180&gt;=TODAY())*(Calendar!C15:C180&lt;=TODAY()+30),(Calendar!C15:C180&gt;=DATE(YEAR(TODAY()),1,1))*(Calendar!C15:C180&lt;=DATE(YEAR(TODAY()),12,31)))))))
        )</f>
        <v>9</v>
      </c>
      <c r="G12" s="171"/>
      <c r="H12" s="358" t="s">
        <v>4140</v>
      </c>
      <c r="I12" s="349"/>
      <c r="J12" s="171"/>
    </row>
    <row r="13" spans="1:10" ht="21" x14ac:dyDescent="0.4">
      <c r="A13" s="171"/>
      <c r="B13" s="174" t="s">
        <v>142</v>
      </c>
      <c r="C13" s="179" cm="1">
        <f t="array" aca="1" ref="C13" ca="1">SUMPRODUCT(
            (Releases!H5:H84="P2 - High")*
            (IF($D$2="All Time",1,IF($D$2="Today",Releases!J5:J84=TODAY(),IF($D$2="This Week",(Releases!J5:J84&gt;=TODAY())*(Releases!J5:J84&lt;=TODAY()+7),IF($D$2="This Month",(Releases!J5:J84&gt;=TODAY())*(Releases!J5:J84&lt;=TODAY()+30),(Releases!J5:J84&gt;=DATE(YEAR(TODAY()),1,1))*(Releases!J5:J84&lt;=DATE(YEAR(TODAY()),12,31)))))))*
            (IF($F$2="All",1,Releases!C5:C84=$F$2))*
            (IF($H$2="All",1,Releases!D5:D84=$H$2))
        )</f>
        <v>4</v>
      </c>
      <c r="D13" s="171"/>
      <c r="E13" s="175" t="s">
        <v>4134</v>
      </c>
      <c r="F13" s="180" cm="1">
        <f t="array" aca="1" ref="F13" ca="1">SUMPRODUCT(
            ((Releases!W5:W84="CAB Submitted")+(Releases!W5:W84="On Hold"))*
            (IF($D$2="All Time",1,IF($D$2="Today",Releases!J5:J84=TODAY(),IF($D$2="This Week",(Releases!J5:J84&gt;=TODAY())*(Releases!J5:J84&lt;=TODAY()+7),IF($D$2="This Month",(Releases!J5:J84&gt;=TODAY())*(Releases!J5:J84&lt;=TODAY()+30),(Releases!J5:J84&gt;=DATE(YEAR(TODAY()),1,1))*(Releases!J5:J84&lt;=DATE(YEAR(TODAY()),12,31)))))))*
            (IF($F$2="All",1,Releases!C5:C84=$F$2))*
            (IF($H$2="All",1,Releases!D5:D84=$H$2))
        )</f>
        <v>2</v>
      </c>
      <c r="G13" s="171"/>
      <c r="H13" s="174" t="s">
        <v>4141</v>
      </c>
      <c r="I13" s="176">
        <f ca="1">COUNTIFS('Leave Calendar'!F4:F93,"&lt;="&amp;TODAY(),'Leave Calendar'!G4:G93,"&gt;="&amp;TODAY())</f>
        <v>1</v>
      </c>
      <c r="J13" s="171"/>
    </row>
    <row r="14" spans="1:10" ht="21" x14ac:dyDescent="0.4">
      <c r="A14" s="171"/>
      <c r="B14" s="174" t="s">
        <v>134</v>
      </c>
      <c r="C14" s="176" cm="1">
        <f t="array" aca="1" ref="C14" ca="1">SUMPRODUCT(
            (Releases!H5:H84="P3 - Medium")*
            (IF($D$2="All Time",1,IF($D$2="Today",Releases!J5:J84=TODAY(),IF($D$2="This Week",(Releases!J5:J84&gt;=TODAY())*(Releases!J5:J84&lt;=TODAY()+7),IF($D$2="This Month",(Releases!J5:J84&gt;=TODAY())*(Releases!J5:J84&lt;=TODAY()+30),(Releases!J5:J84&gt;=DATE(YEAR(TODAY()),1,1))*(Releases!J5:J84&lt;=DATE(YEAR(TODAY()),12,31)))))))*
            (IF($F$2="All",1,Releases!C5:C84=$F$2))*
            (IF($H$2="All",1,Releases!D5:D84=$H$2))
        )</f>
        <v>2</v>
      </c>
      <c r="D14" s="171"/>
      <c r="E14" s="171"/>
      <c r="F14" s="171"/>
      <c r="G14" s="171"/>
      <c r="H14" s="175" t="s">
        <v>4142</v>
      </c>
      <c r="I14" s="180" cm="1">
        <f t="array" aca="1" ref="I14" ca="1">SUMPRODUCT(
            ('Leave Calendar'!F4:F93&lt;=TODAY()+IF($D$2="Today",0,IF($D$2="This Week",7,IF($D$2="This Month",30,365))))*
            ('Leave Calendar'!G4:G93&gt;=TODAY())
        )</f>
        <v>4</v>
      </c>
      <c r="J14" s="171"/>
    </row>
    <row r="15" spans="1:10" ht="21" x14ac:dyDescent="0.4">
      <c r="A15" s="171"/>
      <c r="B15" s="175" t="s">
        <v>119</v>
      </c>
      <c r="C15" s="180" cm="1">
        <f t="array" aca="1" ref="C15" ca="1">SUMPRODUCT(
            (Releases!H5:H84="P4 - Low")*
            (IF($D$2="All Time",1,IF($D$2="Today",Releases!J5:J84=TODAY(),IF($D$2="This Week",(Releases!J5:J84&gt;=TODAY())*(Releases!J5:J84&lt;=TODAY()+7),IF($D$2="This Month",(Releases!J5:J84&gt;=TODAY())*(Releases!J5:J84&lt;=TODAY()+30),(Releases!J5:J84&gt;=DATE(YEAR(TODAY()),1,1))*(Releases!J5:J84&lt;=DATE(YEAR(TODAY()),12,31)))))))*
            (IF($F$2="All",1,Releases!C5:C84=$F$2))*
            (IF($H$2="All",1,Releases!D5:D84=$H$2))
        )</f>
        <v>1</v>
      </c>
      <c r="D15" s="171"/>
      <c r="E15" s="171"/>
      <c r="F15" s="171"/>
      <c r="G15" s="171"/>
      <c r="H15" s="171"/>
      <c r="I15" s="171"/>
      <c r="J15" s="171"/>
    </row>
    <row r="16" spans="1:10" ht="15" customHeight="1" x14ac:dyDescent="0.3">
      <c r="A16" s="171"/>
      <c r="B16" s="171"/>
      <c r="C16" s="171"/>
      <c r="D16" s="171"/>
      <c r="E16" s="171"/>
      <c r="F16" s="171"/>
      <c r="G16" s="171"/>
      <c r="H16" s="171"/>
      <c r="I16" s="171"/>
      <c r="J16" s="171"/>
    </row>
    <row r="17" spans="1:10" ht="18" x14ac:dyDescent="0.35">
      <c r="A17" s="171"/>
      <c r="B17" s="359" t="s">
        <v>4143</v>
      </c>
      <c r="C17" s="349"/>
      <c r="D17" s="171"/>
      <c r="E17" s="359" t="s">
        <v>4149</v>
      </c>
      <c r="F17" s="349"/>
      <c r="G17" s="171"/>
      <c r="H17" s="360" t="s">
        <v>4154</v>
      </c>
      <c r="I17" s="349"/>
      <c r="J17" s="171"/>
    </row>
    <row r="18" spans="1:10" ht="21" x14ac:dyDescent="0.4">
      <c r="A18" s="171"/>
      <c r="B18" s="174" t="s">
        <v>4144</v>
      </c>
      <c r="C18" s="177" cm="1">
        <f t="array" aca="1" ref="C18" ca="1">SUMPRODUCT(
            ('Monitoring Alerts'!F:F="Critical")*
            ('Monitoring Alerts'!J:J="Active")*
            (IF($D$2="All Time",1,IF($D$2="Today",'Monitoring Alerts'!B:B&gt;=TODAY(),IF($D$2="This Week",('Monitoring Alerts'!B:B&gt;=TODAY()-7),IF($D$2="This Month",('Monitoring Alerts'!B:B&gt;=TODAY()-30),('Monitoring Alerts'!B:B&gt;=DATE(YEAR(TODAY()),1,1)))))))*
            (IF($F$2="All",1,'Monitoring Alerts'!D:D=$F$2))*
            (IF($H$2="All",1,'Monitoring Alerts'!C:C=$H$2))
        )</f>
        <v>11</v>
      </c>
      <c r="D18" s="171"/>
      <c r="E18" s="174" t="s">
        <v>4150</v>
      </c>
      <c r="F18" s="177" cm="1">
        <f t="array" aca="1" ref="F18" ca="1">SUMPRODUCT(
            (Incidents!E:E="P1")*
            (Incidents!G:G&lt;&gt;"Resolved")*
            (IF($D$2="All Time",1,IF($D$2="Today",Incidents!B:B&gt;=TODAY(),IF($D$2="This Week",(Incidents!B:B&gt;=TODAY()-7),IF($D$2="This Month",(Incidents!B:B&gt;=TODAY()-30),(Incidents!B:B&gt;=DATE(YEAR(TODAY()),1,1)))))))*
            (IF($F$2="All",1,Incidents!D:D=$F$2))*
            (IF($H$2="All",1,Incidents!C:C=$H$2))
        )</f>
        <v>4</v>
      </c>
      <c r="G18" s="171"/>
      <c r="H18" s="174" t="s">
        <v>4155</v>
      </c>
      <c r="I18" s="177" cm="1">
        <f t="array" ref="I18">SUMPRODUCT(
            ('Application Status'!C:C="Prod")*
            ('Application Status'!D:D="Down")*
            (IF($F$2="All",1,'Application Status'!B:B=$F$2))*
            (IF($H$2="All",1,'Application Status'!A:A=$H$2))
        )</f>
        <v>4</v>
      </c>
      <c r="J18" s="171"/>
    </row>
    <row r="19" spans="1:10" ht="21" x14ac:dyDescent="0.4">
      <c r="A19" s="171"/>
      <c r="B19" s="174" t="s">
        <v>4145</v>
      </c>
      <c r="C19" s="179" cm="1">
        <f t="array" aca="1" ref="C19" ca="1">SUMPRODUCT(
            ('Monitoring Alerts'!F:F="Warning")*
            ('Monitoring Alerts'!J:J="Active")*
            (IF($D$2="All Time",1,IF($D$2="Today",'Monitoring Alerts'!B:B&gt;=TODAY(),IF($D$2="This Week",('Monitoring Alerts'!B:B&gt;=TODAY()-7),IF($D$2="This Month",('Monitoring Alerts'!B:B&gt;=TODAY()-30),('Monitoring Alerts'!B:B&gt;=DATE(YEAR(TODAY()),1,1)))))))*
            (IF($F$2="All",1,'Monitoring Alerts'!D:D=$F$2))*
            (IF($H$2="All",1,'Monitoring Alerts'!C:C=$H$2))
        )</f>
        <v>16</v>
      </c>
      <c r="D19" s="171"/>
      <c r="E19" s="174" t="s">
        <v>4151</v>
      </c>
      <c r="F19" s="179" cm="1">
        <f t="array" aca="1" ref="F19" ca="1">SUMPRODUCT(
            (Incidents!E:E="P2")*
            (Incidents!G:G&lt;&gt;"Resolved")*
            (IF($D$2="All Time",1,IF($D$2="Today",Incidents!B:B&gt;=TODAY(),IF($D$2="This Week",(Incidents!B:B&gt;=TODAY()-7),IF($D$2="This Month",(Incidents!B:B&gt;=TODAY()-30),(Incidents!B:B&gt;=DATE(YEAR(TODAY()),1,1)))))))*
            (IF($F$2="All",1,Incidents!D:D=$F$2))*
            (IF($H$2="All",1,Incidents!C:C=$H$2))
        )</f>
        <v>6</v>
      </c>
      <c r="G19" s="171"/>
      <c r="H19" s="174" t="s">
        <v>4156</v>
      </c>
      <c r="I19" s="179" cm="1">
        <f t="array" ref="I19">SUMPRODUCT(
            ('Application Status'!C:C="Prod")*
            ('Application Status'!D:D="Degraded")*
            (IF($F$2="All",1,'Application Status'!B:B=$F$2))*
            (IF($H$2="All",1,'Application Status'!A:A=$H$2))
        )</f>
        <v>5</v>
      </c>
      <c r="J19" s="171"/>
    </row>
    <row r="20" spans="1:10" ht="21" x14ac:dyDescent="0.4">
      <c r="A20" s="171"/>
      <c r="B20" s="174" t="s">
        <v>4146</v>
      </c>
      <c r="C20" s="176" cm="1">
        <f t="array" aca="1" ref="C20" ca="1">SUMPRODUCT(
            ('Monitoring Alerts'!F:F="Info")*
            ('Monitoring Alerts'!J:J="Active")*
            (IF($D$2="All Time",1,IF($D$2="Today",'Monitoring Alerts'!B:B&gt;=TODAY(),IF($D$2="This Week",('Monitoring Alerts'!B:B&gt;=TODAY()-7),IF($D$2="This Month",('Monitoring Alerts'!B:B&gt;=TODAY()-30),('Monitoring Alerts'!B:B&gt;=DATE(YEAR(TODAY()),1,1)))))))*
            (IF($F$2="All",1,'Monitoring Alerts'!D:D=$F$2))*
            (IF($H$2="All",1,'Monitoring Alerts'!C:C=$H$2))
        )</f>
        <v>2</v>
      </c>
      <c r="D20" s="171"/>
      <c r="E20" s="174" t="s">
        <v>4152</v>
      </c>
      <c r="F20" s="176" cm="1">
        <f t="array" aca="1" ref="F20" ca="1">SUMPRODUCT(
            (Incidents!E:E="P3")*
            (Incidents!G:G&lt;&gt;"Resolved")*
            (IF($D$2="All Time",1,IF($D$2="Today",Incidents!B:B&gt;=TODAY(),IF($D$2="This Week",(Incidents!B:B&gt;=TODAY()-7),IF($D$2="This Month",(Incidents!B:B&gt;=TODAY()-30),(Incidents!B:B&gt;=DATE(YEAR(TODAY()),1,1)))))))*
            (IF($F$2="All",1,Incidents!D:D=$F$2))*
            (IF($H$2="All",1,Incidents!C:C=$H$2))
        )</f>
        <v>3</v>
      </c>
      <c r="G20" s="171"/>
      <c r="H20" s="174" t="s">
        <v>4157</v>
      </c>
      <c r="I20" s="178" cm="1">
        <f t="array" ref="I20">SUMPRODUCT(
            ('Application Status'!C:C="Prod")*
            ('Application Status'!D:D="Healthy")*
            (IF($F$2="All",1,'Application Status'!B:B=$F$2))*
            (IF($H$2="All",1,'Application Status'!A:A=$H$2))
        )</f>
        <v>11</v>
      </c>
      <c r="J20" s="171"/>
    </row>
    <row r="21" spans="1:10" ht="21" x14ac:dyDescent="0.4">
      <c r="A21" s="171"/>
      <c r="B21" s="174" t="s">
        <v>3936</v>
      </c>
      <c r="C21" s="176" cm="1">
        <f t="array" aca="1" ref="C21" ca="1">SUMPRODUCT(
            ('Monitoring Alerts'!J:J="Acknowledged")*
            (IF($D$2="All Time",1,IF($D$2="Today",'Monitoring Alerts'!B:B&gt;=TODAY(),IF($D$2="This Week",('Monitoring Alerts'!B:B&gt;=TODAY()-7),IF($D$2="This Month",('Monitoring Alerts'!B:B&gt;=TODAY()-30),('Monitoring Alerts'!B:B&gt;=DATE(YEAR(TODAY()),1,1)))))))*
            (IF($F$2="All",1,'Monitoring Alerts'!D:D=$F$2))*
            (IF($H$2="All",1,'Monitoring Alerts'!C:C=$H$2))
        )</f>
        <v>5</v>
      </c>
      <c r="D21" s="171"/>
      <c r="E21" s="174" t="s">
        <v>4022</v>
      </c>
      <c r="F21" s="176" cm="1">
        <f t="array" aca="1" ref="F21" ca="1">SUMPRODUCT(
            (Incidents!G:G="Investigating")*
            (IF($D$2="All Time",1,IF($D$2="Today",Incidents!B:B&gt;=TODAY(),IF($D$2="This Week",(Incidents!B:B&gt;=TODAY()-7),IF($D$2="This Month",(Incidents!B:B&gt;=TODAY()-30),(Incidents!B:B&gt;=DATE(YEAR(TODAY()),1,1)))))))*
            (IF($F$2="All",1,Incidents!D:D=$F$2))*
            (IF($H$2="All",1,Incidents!C:C=$H$2))
        )</f>
        <v>4</v>
      </c>
      <c r="G21" s="171"/>
      <c r="H21" s="174" t="s">
        <v>4158</v>
      </c>
      <c r="I21" s="177" cm="1">
        <f t="array" ref="I21">SUMPRODUCT(
            ('Application Status'!C:C&lt;&gt;"Prod")*
            ('Application Status'!D:D="Down")*
            ('Application Status'!A:A&lt;&gt;"")*
            (IF($F$2="All",1,'Application Status'!B:B=$F$2))*
            (IF($H$2="All",1,'Application Status'!A:A=$H$2))
        )</f>
        <v>5</v>
      </c>
      <c r="J21" s="171"/>
    </row>
    <row r="22" spans="1:10" ht="21" x14ac:dyDescent="0.4">
      <c r="A22" s="171"/>
      <c r="B22" s="174" t="s">
        <v>4147</v>
      </c>
      <c r="C22" s="178" cm="1">
        <f t="array" aca="1" ref="C22" ca="1">SUMPRODUCT(
            ('Monitoring Alerts'!J:J="Resolved")*
            ('Monitoring Alerts'!B:B&gt;=TODAY()-1)*
            (IF($F$2="All",1,'Monitoring Alerts'!D:D=$F$2))*
            (IF($H$2="All",1,'Monitoring Alerts'!C:C=$H$2))
        )</f>
        <v>0</v>
      </c>
      <c r="D22" s="171"/>
      <c r="E22" s="174" t="s">
        <v>4147</v>
      </c>
      <c r="F22" s="178" cm="1">
        <f t="array" aca="1" ref="F22" ca="1">SUMPRODUCT(
            (Incidents!G:G="Resolved")*
            (Incidents!B:B&gt;=TODAY()-1)*
            (IF($F$2="All",1,Incidents!D:D=$F$2))*
            (IF($H$2="All",1,Incidents!C:C=$H$2))
        )</f>
        <v>0</v>
      </c>
      <c r="G22" s="171"/>
      <c r="H22" s="174" t="s">
        <v>4159</v>
      </c>
      <c r="I22" s="179" cm="1">
        <f t="array" ref="I22">SUMPRODUCT(
            ('Application Status'!C:C&lt;&gt;"Prod")*
            ('Application Status'!D:D="Degraded")*
            ('Application Status'!A:A&lt;&gt;"")*
            (IF($F$2="All",1,'Application Status'!B:B=$F$2))*
            (IF($H$2="All",1,'Application Status'!A:A=$H$2))
        )</f>
        <v>3</v>
      </c>
      <c r="J22" s="171"/>
    </row>
    <row r="23" spans="1:10" ht="21" x14ac:dyDescent="0.4">
      <c r="A23" s="171"/>
      <c r="B23" s="182" t="s">
        <v>4148</v>
      </c>
      <c r="C23" s="180" cm="1">
        <f t="array" aca="1" ref="C23" ca="1">SUMPRODUCT(
            (('Monitoring Alerts'!J:J="Active")+('Monitoring Alerts'!J:J="Acknowledged"))*
            (IF($D$2="All Time",1,IF($D$2="Today",'Monitoring Alerts'!B:B&gt;=TODAY(),IF($D$2="This Week",('Monitoring Alerts'!B:B&gt;=TODAY()-7),IF($D$2="This Month",('Monitoring Alerts'!B:B&gt;=TODAY()-30),('Monitoring Alerts'!B:B&gt;=DATE(YEAR(TODAY()),1,1)))))))*
            (IF($F$2="All",1,'Monitoring Alerts'!D:D=$F$2))*
            (IF($H$2="All",1,'Monitoring Alerts'!C:C=$H$2))
        )</f>
        <v>34</v>
      </c>
      <c r="D23" s="171"/>
      <c r="E23" s="182" t="s">
        <v>4153</v>
      </c>
      <c r="F23" s="180" cm="1">
        <f t="array" aca="1" ref="F23" ca="1">SUMPRODUCT(
            ((Incidents!G:G="Active")+(Incidents!G:G="Investigating")+(Incidents!G:G="Acknowledged"))*
            (IF($D$2="All Time",1,IF($D$2="Today",Incidents!B:B&gt;=TODAY(),IF($D$2="This Week",(Incidents!B:B&gt;=TODAY()-7),IF($D$2="This Month",(Incidents!B:B&gt;=TODAY()-30),(Incidents!B:B&gt;=DATE(YEAR(TODAY()),1,1)))))))*
            (IF($F$2="All",1,Incidents!D:D=$F$2))*
            (IF($H$2="All",1,Incidents!C:C=$H$2))
        )</f>
        <v>13</v>
      </c>
      <c r="G23" s="171"/>
      <c r="H23" s="182" t="s">
        <v>4160</v>
      </c>
      <c r="I23" s="180" cm="1">
        <f t="array" ref="I23">SUMPRODUCT(
            ('Application Status'!A:A&lt;&gt;"")*
            ('Application Status'!A:A&lt;&gt;"Application")*
            (IF($F$2="All",1,'Application Status'!B:B=$F$2))*
            (IF($H$2="All",1,'Application Status'!A:A=$H$2))
        )</f>
        <v>85</v>
      </c>
      <c r="J23" s="171"/>
    </row>
    <row r="24" spans="1:10" x14ac:dyDescent="0.3">
      <c r="A24" s="171"/>
      <c r="B24" s="171"/>
      <c r="C24" s="171"/>
      <c r="D24" s="171"/>
      <c r="E24" s="171"/>
      <c r="F24" s="171"/>
      <c r="G24" s="171"/>
      <c r="H24" s="171"/>
      <c r="I24" s="171"/>
      <c r="J24" s="171"/>
    </row>
    <row r="25" spans="1:10" ht="15" customHeight="1" x14ac:dyDescent="0.3">
      <c r="A25" s="171"/>
      <c r="B25" s="171"/>
      <c r="C25" s="171"/>
      <c r="D25" s="171"/>
      <c r="E25" s="171"/>
      <c r="F25" s="171"/>
      <c r="G25" s="171"/>
      <c r="H25" s="171"/>
      <c r="I25" s="171"/>
      <c r="J25" s="171"/>
    </row>
    <row r="26" spans="1:10" ht="18" x14ac:dyDescent="0.35">
      <c r="A26" s="171"/>
      <c r="B26" s="353" t="s">
        <v>4161</v>
      </c>
      <c r="C26" s="349"/>
      <c r="D26" s="171"/>
      <c r="E26" s="351" t="s">
        <v>4163</v>
      </c>
      <c r="F26" s="349"/>
      <c r="G26" s="171"/>
      <c r="H26" s="348" t="s">
        <v>4167</v>
      </c>
      <c r="I26" s="361"/>
      <c r="J26" s="171"/>
    </row>
    <row r="27" spans="1:10" ht="21" x14ac:dyDescent="0.4">
      <c r="A27" s="171"/>
      <c r="B27" s="174" t="s">
        <v>4162</v>
      </c>
      <c r="C27" s="177" cm="1">
        <f t="array" aca="1" ref="C27" ca="1">SUMPRODUCT(
            ('Planned Maintenance'!B:B=TODAY())*
            (IF($F$2="All",1,'Planned Maintenance'!H:H=$F$2))
        )</f>
        <v>2</v>
      </c>
      <c r="D27" s="171"/>
      <c r="E27" s="174" t="s">
        <v>1933</v>
      </c>
      <c r="F27" s="176" cm="1">
        <f t="array" aca="1" ref="F27" ca="1">SUMPRODUCT(
            (ISNUMBER(SEARCH("Quarter",Releases!T5:T84)))*
            (IF($D$2="All Time",1,IF($D$2="Today",Releases!J5:J84=TODAY(),IF($D$2="This Week",(Releases!J5:J84&gt;=TODAY())*(Releases!J5:J84&lt;=TODAY()+7),IF($D$2="This Month",(Releases!J5:J84&gt;=TODAY())*(Releases!J5:J84&lt;=TODAY()+30),(Releases!J5:J84&gt;=DATE(YEAR(TODAY()),1,1))*(Releases!J5:J84&lt;=DATE(YEAR(TODAY()),12,31)))))))*
            (IF($F$2="All",1,Releases!C5:C84=$F$2))*
            (IF($H$2="All",1,Releases!D5:D84=$H$2))
        )</f>
        <v>1</v>
      </c>
      <c r="G27" s="171"/>
      <c r="H27" s="174" t="s">
        <v>4168</v>
      </c>
      <c r="I27" s="176" cm="1">
        <f t="array" aca="1" ref="I27" ca="1">SUMPRODUCT(
            (Releases!A5:A84&lt;&gt;"")*
            (Releases!J5:J84&gt;=TODAY())*
            (Releases!J5:J84&lt;=TODAY()+7)*
            (IF($F$2="All",1,Releases!C5:C84=$F$2))*
            (IF($H$2="All",1,Releases!D5:D84=$H$2))
        )</f>
        <v>5</v>
      </c>
      <c r="J27" s="171"/>
    </row>
    <row r="28" spans="1:10" ht="21" x14ac:dyDescent="0.4">
      <c r="A28" s="171"/>
      <c r="B28" s="174" t="str">
        <f>"DB Refreshes ("&amp;IF($D$2="Today","Today",IF($D$2="This Week","7 Days",IF($D$2="This Month","30 Days",IF($D$2="This Year","Year","All"))))&amp;")"</f>
        <v>DB Refreshes (30 Days)</v>
      </c>
      <c r="C28" s="176" cm="1">
        <f t="array" aca="1" ref="C28" ca="1">SUMPRODUCT(
            ('Planned Maintenance'!E:E="DB Refresh")*
            ('Planned Maintenance'!B:B&gt;=TODAY())*
            ('Planned Maintenance'!B:B&lt;=TODAY()+IF($D$2="Today",0,IF($D$2="This Week",7,IF($D$2="This Month",30,365))))*
            (IF($F$2="All",1,'Planned Maintenance'!H:H=$F$2))
        )</f>
        <v>4</v>
      </c>
      <c r="D28" s="171"/>
      <c r="E28" s="174" t="s">
        <v>1934</v>
      </c>
      <c r="F28" s="176" cm="1">
        <f t="array" aca="1" ref="F28" ca="1">SUMPRODUCT(
            (ISNUMBER(SEARCH("Year",Releases!T5:T84)))*
            (IF($D$2="All Time",1,IF($D$2="Today",Releases!J5:J84=TODAY(),IF($D$2="This Week",(Releases!J5:J84&gt;=TODAY())*(Releases!J5:J84&lt;=TODAY()+7),IF($D$2="This Month",(Releases!J5:J84&gt;=TODAY())*(Releases!J5:J84&lt;=TODAY()+30),(Releases!J5:J84&gt;=DATE(YEAR(TODAY()),1,1))*(Releases!J5:J84&lt;=DATE(YEAR(TODAY()),12,31)))))))*
            (IF($F$2="All",1,Releases!C5:C84=$F$2))*
            (IF($H$2="All",1,Releases!D5:D84=$H$2))
        )</f>
        <v>0</v>
      </c>
      <c r="G28" s="171"/>
      <c r="H28" s="174" t="s">
        <v>4169</v>
      </c>
      <c r="I28" s="176" cm="1">
        <f t="array" aca="1" ref="I28" ca="1">SUMPRODUCT(
            (Releases!A5:A84&lt;&gt;"")*
            (Releases!J5:J84&gt;=TODAY())*
            (Releases!J5:J84&lt;=TODAY()+30)*
            (IF($F$2="All",1,Releases!C5:C84=$F$2))*
            (IF($H$2="All",1,Releases!D5:D84=$H$2))
        )</f>
        <v>9</v>
      </c>
      <c r="J28" s="171"/>
    </row>
    <row r="29" spans="1:10" ht="21" x14ac:dyDescent="0.4">
      <c r="A29" s="171"/>
      <c r="B29" s="174" t="str">
        <f>"Vendor Windows ("&amp;IF($D$2="Today","Today",IF($D$2="This Week","7 Days",IF($D$2="This Month","30 Days",IF($D$2="This Year","Year","All"))))&amp;")"</f>
        <v>Vendor Windows (30 Days)</v>
      </c>
      <c r="C29" s="176" cm="1">
        <f t="array" aca="1" ref="C29" ca="1">SUMPRODUCT(
            ('Planned Maintenance'!E:E="Vendor Maintenance")*
            ('Planned Maintenance'!B:B&gt;=TODAY())*
            ('Planned Maintenance'!B:B&lt;=TODAY()+IF($D$2="Today",0,IF($D$2="This Week",7,IF($D$2="This Month",30,365))))*
            (IF($F$2="All",1,'Planned Maintenance'!H:H=$F$2))
        )</f>
        <v>4</v>
      </c>
      <c r="D29" s="171"/>
      <c r="E29" s="174" t="s">
        <v>4164</v>
      </c>
      <c r="F29" s="176" cm="1">
        <f t="array" aca="1" ref="F29" ca="1">SUMPRODUCT(
            (ISNUMBER(SEARCH("Audit",Releases!T5:T84)))*
            (IF($D$2="All Time",1,IF($D$2="Today",Releases!J5:J84=TODAY(),IF($D$2="This Week",(Releases!J5:J84&gt;=TODAY())*(Releases!J5:J84&lt;=TODAY()+7),IF($D$2="This Month",(Releases!J5:J84&gt;=TODAY())*(Releases!J5:J84&lt;=TODAY()+30),(Releases!J5:J84&gt;=DATE(YEAR(TODAY()),1,1))*(Releases!J5:J84&lt;=DATE(YEAR(TODAY()),12,31)))))))*
            (IF($F$2="All",1,Releases!C5:C84=$F$2))*
            (IF($H$2="All",1,Releases!D5:D84=$H$2))
        )</f>
        <v>0</v>
      </c>
      <c r="G29" s="171"/>
      <c r="H29" s="174" t="s">
        <v>4170</v>
      </c>
      <c r="I29" s="178" cm="1">
        <f t="array" aca="1" ref="I29" ca="1">SUMPRODUCT(
            (Releases!Y5:Y84="Ready")*
            (IF($D$2="All Time",1,IF($D$2="Today",Releases!J5:J84=TODAY(),IF($D$2="This Week",(Releases!J5:J84&gt;=TODAY())*(Releases!J5:J84&lt;=TODAY()+7),IF($D$2="This Month",(Releases!J5:J84&gt;=TODAY())*(Releases!J5:J84&lt;=TODAY()+30),(Releases!J5:J84&gt;=DATE(YEAR(TODAY()),1,1))*(Releases!J5:J84&lt;=DATE(YEAR(TODAY()),12,31)))))))*
            (IF($F$2="All",1,Releases!C5:C84=$F$2))*
            (IF($H$2="All",1,Releases!D5:D84=$H$2))
        )</f>
        <v>4</v>
      </c>
      <c r="J29" s="171"/>
    </row>
    <row r="30" spans="1:10" ht="21" x14ac:dyDescent="0.4">
      <c r="A30" s="171"/>
      <c r="B30" s="174" t="str">
        <f>"Full Outages ("&amp;IF($D$2="Today","Today",IF($D$2="This Week","7 Days",IF($D$2="This Month","30 Days",IF($D$2="This Year","Year","All"))))&amp;")"</f>
        <v>Full Outages (30 Days)</v>
      </c>
      <c r="C30" s="179" cm="1">
        <f t="array" aca="1" ref="C30" ca="1">SUMPRODUCT(
            ('Planned Maintenance'!I:I="Full Outage")*
            ('Planned Maintenance'!B:B&gt;=TODAY())*
            ('Planned Maintenance'!B:B&lt;=TODAY()+IF($D$2="Today",0,IF($D$2="This Week",7,IF($D$2="This Month",30,365))))*
            (IF($F$2="All",1,'Planned Maintenance'!H:H=$F$2))
        )</f>
        <v>7</v>
      </c>
      <c r="D30" s="171"/>
      <c r="E30" s="174" t="s">
        <v>4165</v>
      </c>
      <c r="F30" s="176" cm="1">
        <f t="array" aca="1" ref="F30" ca="1">SUMPRODUCT(
            (ISNUMBER(SEARCH("Holiday",Releases!T5:T84)))*
            (IF($D$2="All Time",1,IF($D$2="Today",Releases!J5:J84=TODAY(),IF($D$2="This Week",(Releases!J5:J84&gt;=TODAY())*(Releases!J5:J84&lt;=TODAY()+7),IF($D$2="This Month",(Releases!J5:J84&gt;=TODAY())*(Releases!J5:J84&lt;=TODAY()+30),(Releases!J5:J84&gt;=DATE(YEAR(TODAY()),1,1))*(Releases!J5:J84&lt;=DATE(YEAR(TODAY()),12,31)))))))*
            (IF($F$2="All",1,Releases!C5:C84=$F$2))*
            (IF($H$2="All",1,Releases!D5:D84=$H$2))
        )</f>
        <v>0</v>
      </c>
      <c r="G30" s="171"/>
      <c r="H30" s="174" t="s">
        <v>4171</v>
      </c>
      <c r="I30" s="177" cm="1">
        <f t="array" aca="1" ref="I30" ca="1">SUMPRODUCT(
            (Releases!Y5:Y84="At Risk")*
            (IF($D$2="All Time",1,IF($D$2="Today",Releases!J5:J84=TODAY(),IF($D$2="This Week",(Releases!J5:J84&gt;=TODAY())*(Releases!J5:J84&lt;=TODAY()+7),IF($D$2="This Month",(Releases!J5:J84&gt;=TODAY())*(Releases!J5:J84&lt;=TODAY()+30),(Releases!J5:J84&gt;=DATE(YEAR(TODAY()),1,1))*(Releases!J5:J84&lt;=DATE(YEAR(TODAY()),12,31)))))))*
            (IF($F$2="All",1,Releases!C5:C84=$F$2))*
            (IF($H$2="All",1,Releases!D5:D84=$H$2))
        )</f>
        <v>1</v>
      </c>
      <c r="J30" s="171"/>
    </row>
    <row r="31" spans="1:10" ht="21" x14ac:dyDescent="0.4">
      <c r="A31" s="171"/>
      <c r="B31" s="182" t="str">
        <f>"Total Maintenance ("&amp;IF($D$2="Today","Today",IF($D$2="This Week","7 Days",IF($D$2="This Month","30 Days",IF($D$2="This Year","Year","All"))))&amp;")"</f>
        <v>Total Maintenance (30 Days)</v>
      </c>
      <c r="C31" s="180" cm="1">
        <f t="array" aca="1" ref="C31" ca="1">SUMPRODUCT(
            ('Planned Maintenance'!A:A&lt;&gt;"")*
            ('Planned Maintenance'!A:A&lt;&gt;"Maintenance ID")*
            ('Planned Maintenance'!B:B&gt;=TODAY())*
            ('Planned Maintenance'!B:B&lt;=TODAY()+IF($D$2="Today",0,IF($D$2="This Week",7,IF($D$2="This Month",30,365))))*
            (IF($F$2="All",1,'Planned Maintenance'!H:H=$F$2))
        )</f>
        <v>15</v>
      </c>
      <c r="D31" s="171"/>
      <c r="E31" s="182" t="s">
        <v>4166</v>
      </c>
      <c r="F31" s="180" cm="1">
        <f t="array" aca="1" ref="F31" ca="1">SUMPRODUCT(
            (Releases!T5:T84&lt;&gt;"")*
            (IF($D$2="All Time",1,IF($D$2="Today",Releases!J5:J84=TODAY(),IF($D$2="This Week",(Releases!J5:J84&gt;=TODAY())*(Releases!J5:J84&lt;=TODAY()+7),IF($D$2="This Month",(Releases!J5:J84&gt;=TODAY())*(Releases!J5:J84&lt;=TODAY()+30),(Releases!J5:J84&gt;=DATE(YEAR(TODAY()),1,1))*(Releases!J5:J84&lt;=DATE(YEAR(TODAY()),12,31)))))))*
            (IF($F$2="All",1,Releases!C5:C84=$F$2))*
            (IF($H$2="All",1,Releases!D5:D84=$H$2))
        )</f>
        <v>1</v>
      </c>
      <c r="G31" s="171"/>
      <c r="H31" s="175" t="s">
        <v>4172</v>
      </c>
      <c r="I31" s="180" t="str">
        <f>IFERROR(TEXT(AVERAGEIF(Releases!Z5:Z84,"&lt;&gt;",Releases!Z5:Z84),"0%"),"N/A")</f>
        <v>18%</v>
      </c>
      <c r="J31" s="171"/>
    </row>
    <row r="32" spans="1:10" x14ac:dyDescent="0.3">
      <c r="A32" s="171"/>
      <c r="B32" s="171"/>
      <c r="C32" s="171"/>
      <c r="D32" s="171"/>
      <c r="E32" s="171"/>
      <c r="F32" s="171"/>
      <c r="G32" s="171"/>
      <c r="H32" s="171"/>
      <c r="I32" s="171"/>
      <c r="J32" s="171"/>
    </row>
    <row r="33" spans="1:10" x14ac:dyDescent="0.3">
      <c r="A33" s="171"/>
      <c r="B33" s="171"/>
      <c r="C33" s="171"/>
      <c r="D33" s="171"/>
      <c r="E33" s="171"/>
      <c r="F33" s="171"/>
      <c r="G33" s="171"/>
      <c r="H33" s="171"/>
      <c r="I33" s="171"/>
      <c r="J33" s="171"/>
    </row>
    <row r="35" spans="1:10" ht="18" x14ac:dyDescent="0.35">
      <c r="B35" s="354" t="s">
        <v>4181</v>
      </c>
      <c r="C35" s="339"/>
      <c r="D35" s="339"/>
      <c r="E35" s="339"/>
      <c r="F35" s="339"/>
      <c r="G35" s="339"/>
      <c r="H35" s="339"/>
      <c r="I35" s="339"/>
    </row>
    <row r="36" spans="1:10" x14ac:dyDescent="0.3">
      <c r="B36" s="68" t="s">
        <v>4182</v>
      </c>
      <c r="C36" s="68"/>
      <c r="D36" s="68" t="s">
        <v>4183</v>
      </c>
      <c r="E36" s="68"/>
      <c r="F36" s="68" t="s">
        <v>4184</v>
      </c>
      <c r="G36" s="68"/>
      <c r="H36" s="68" t="s">
        <v>4185</v>
      </c>
      <c r="I36" s="68"/>
    </row>
    <row r="37" spans="1:10" ht="15.6" x14ac:dyDescent="0.3">
      <c r="B37" s="189" t="str">
        <f ca="1">IF(C6&gt;2,"🔴 Critical",IF(C6&gt;=1,"🟡 Warning","🟢 Healthy"))</f>
        <v>🟡 Warning</v>
      </c>
      <c r="C37" s="190"/>
      <c r="D37" s="189" t="str">
        <f>IF(I18&gt;2,"🔴 Critical",IF(I18&gt;=1,"🟡 Warning","🟢 Healthy"))</f>
        <v>🔴 Critical</v>
      </c>
      <c r="E37" s="190"/>
      <c r="F37" s="189" t="str">
        <f ca="1">IF(F18&gt;2,"🔴 Critical",IF(F18&gt;=1,"🟡 Warning","🟢 Healthy"))</f>
        <v>🔴 Critical</v>
      </c>
      <c r="G37" s="190"/>
      <c r="H37" s="189" t="str">
        <f ca="1">IF(C18&gt;5,"🔴 Critical",IF(C18&gt;=1,"🟡 Warning","🟢 Healthy"))</f>
        <v>🔴 Critical</v>
      </c>
      <c r="I37" s="191"/>
    </row>
    <row r="39" spans="1:10" ht="18" x14ac:dyDescent="0.35">
      <c r="B39" s="355" t="s">
        <v>4186</v>
      </c>
      <c r="C39" s="339"/>
      <c r="D39" s="339"/>
      <c r="E39" s="339"/>
      <c r="F39" s="339"/>
      <c r="G39" s="339"/>
      <c r="H39" s="339"/>
      <c r="I39" s="339"/>
    </row>
    <row r="40" spans="1:10" ht="18" x14ac:dyDescent="0.35">
      <c r="B40" s="192" t="s">
        <v>1802</v>
      </c>
      <c r="C40" s="193">
        <f ca="1">C5</f>
        <v>9</v>
      </c>
      <c r="D40" s="192" t="s">
        <v>4187</v>
      </c>
      <c r="E40" s="194">
        <f ca="1">F23</f>
        <v>13</v>
      </c>
      <c r="F40" s="192" t="s">
        <v>4188</v>
      </c>
      <c r="G40" s="195">
        <f ca="1">C23</f>
        <v>34</v>
      </c>
      <c r="H40" s="192" t="s">
        <v>4189</v>
      </c>
      <c r="I40" s="196">
        <f>I18+I21</f>
        <v>9</v>
      </c>
    </row>
    <row r="42" spans="1:10" ht="18" x14ac:dyDescent="0.35">
      <c r="B42" s="356" t="s">
        <v>4190</v>
      </c>
      <c r="C42" s="339"/>
      <c r="D42" s="339"/>
      <c r="E42" s="339"/>
      <c r="F42" s="339"/>
      <c r="G42" s="339"/>
      <c r="H42" s="339"/>
      <c r="I42" s="339"/>
    </row>
    <row r="43" spans="1:10" x14ac:dyDescent="0.3">
      <c r="B43" s="68" t="s">
        <v>4191</v>
      </c>
      <c r="C43" s="68" t="s">
        <v>4192</v>
      </c>
      <c r="D43" s="68" t="s">
        <v>4193</v>
      </c>
      <c r="E43" s="68" t="s">
        <v>4194</v>
      </c>
      <c r="F43" s="68" t="s">
        <v>4195</v>
      </c>
    </row>
    <row r="44" spans="1:10" ht="21" x14ac:dyDescent="0.4">
      <c r="A44" s="197" t="s">
        <v>1921</v>
      </c>
      <c r="B44" s="198" cm="1">
        <f t="array" aca="1" ref="B44" ca="1">SUMPRODUCT((Releases!J5:J84&gt;=TODAY())*(Releases!J5:J84&lt;TODAY()+7)*(IF($F$2="All",1,Releases!C5:C84=$F$2))*(IF($H$2="All",1,Releases!D5:D84=$H$2)))</f>
        <v>5</v>
      </c>
      <c r="C44" s="198" cm="1">
        <f t="array" aca="1" ref="C44" ca="1">SUMPRODUCT((Releases!J5:J84&gt;=TODAY()+7)*(Releases!J5:J84&lt;TODAY()+14)*(IF($F$2="All",1,Releases!C5:C84=$F$2))*(IF($H$2="All",1,Releases!D5:D84=$H$2)))</f>
        <v>1</v>
      </c>
      <c r="D44" s="198" cm="1">
        <f t="array" aca="1" ref="D44" ca="1">SUMPRODUCT((Releases!J5:J84&gt;=TODAY()+14)*(Releases!J5:J84&lt;TODAY()+21)*(IF($F$2="All",1,Releases!C5:C84=$F$2))*(IF($H$2="All",1,Releases!D5:D84=$H$2)))</f>
        <v>3</v>
      </c>
      <c r="E44" s="198" cm="1">
        <f t="array" aca="1" ref="E44" ca="1">SUMPRODUCT((Releases!J5:J84&gt;=TODAY()+21)*(Releases!J5:J84&lt;TODAY()+28)*(IF($F$2="All",1,Releases!C5:C84=$F$2))*(IF($H$2="All",1,Releases!D5:D84=$H$2)))</f>
        <v>0</v>
      </c>
      <c r="F44" s="357" t="str">
        <f ca="1">IF(E44&gt;B44,"📈 ↑ Increasing",IF(E44&lt;B44,"📉 ↓ Decreasing","➡️ Stable"))</f>
        <v>📉 ↓ Decreasing</v>
      </c>
      <c r="G44" s="339"/>
    </row>
    <row r="45" spans="1:10" x14ac:dyDescent="0.3">
      <c r="B45" s="201" t="str">
        <f ca="1">REPT("█",B44)</f>
        <v>█████</v>
      </c>
      <c r="C45" s="201" t="str">
        <f ca="1">REPT("█",C44)</f>
        <v>█</v>
      </c>
      <c r="D45" s="201" t="str">
        <f ca="1">REPT("█",D44)</f>
        <v>███</v>
      </c>
      <c r="E45" s="201" t="str">
        <f ca="1">REPT("█",E44)</f>
        <v/>
      </c>
    </row>
    <row r="46" spans="1:10" x14ac:dyDescent="0.3">
      <c r="A46" s="197" t="s">
        <v>4196</v>
      </c>
      <c r="B46" s="199" t="s">
        <v>3101</v>
      </c>
      <c r="C46" s="199" t="s">
        <v>3105</v>
      </c>
      <c r="D46" s="199" t="s">
        <v>3109</v>
      </c>
      <c r="E46" s="199" t="s">
        <v>4197</v>
      </c>
      <c r="F46" s="199" t="s">
        <v>4195</v>
      </c>
    </row>
    <row r="47" spans="1:10" ht="18" x14ac:dyDescent="0.35">
      <c r="A47" s="191"/>
      <c r="B47" s="202">
        <f ca="1">F18</f>
        <v>4</v>
      </c>
      <c r="C47" s="203">
        <f ca="1">F19</f>
        <v>6</v>
      </c>
      <c r="D47" s="204">
        <f ca="1">F20</f>
        <v>3</v>
      </c>
      <c r="E47" s="205">
        <f ca="1">F23</f>
        <v>13</v>
      </c>
      <c r="F47" s="200" t="str">
        <f ca="1">IF(F18&gt;0,"🔴 P1 Active!",IF(F19&gt;2,"🟠 Watch P2","🟢 Stable"))</f>
        <v>🔴 P1 Active!</v>
      </c>
    </row>
  </sheetData>
  <mergeCells count="17">
    <mergeCell ref="B35:I35"/>
    <mergeCell ref="B39:I39"/>
    <mergeCell ref="B42:I42"/>
    <mergeCell ref="F44:G44"/>
    <mergeCell ref="H12:I12"/>
    <mergeCell ref="B17:C17"/>
    <mergeCell ref="E17:F17"/>
    <mergeCell ref="H17:I17"/>
    <mergeCell ref="B26:C26"/>
    <mergeCell ref="E26:F26"/>
    <mergeCell ref="H26:I26"/>
    <mergeCell ref="B1:I1"/>
    <mergeCell ref="B4:C4"/>
    <mergeCell ref="E4:F4"/>
    <mergeCell ref="E11:F11"/>
    <mergeCell ref="H4:I4"/>
    <mergeCell ref="H8:I8"/>
  </mergeCells>
  <dataValidations count="3">
    <dataValidation type="list" allowBlank="1" showInputMessage="1" showErrorMessage="1" sqref="D2" xr:uid="{AEB70600-790F-469A-98E0-7137323A900E}">
      <formula1>"All Time,Today,This Week,This Month,This Year"</formula1>
    </dataValidation>
    <dataValidation type="list" allowBlank="1" showInputMessage="1" showErrorMessage="1" sqref="F2" xr:uid="{75E24930-D9D7-472D-B68E-7FB469273FCC}">
      <formula1>"All,Finance,Logistics,CRM,Manufacturing,IT,HR,Legal,Security"</formula1>
    </dataValidation>
    <dataValidation type="list" allowBlank="1" showInputMessage="1" showErrorMessage="1" sqref="H2" xr:uid="{33637E10-5797-4361-94DA-FE95E19122C7}">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64A2-C25F-4C0C-BCEC-A92D8BF84358}">
  <sheetPr>
    <tabColor theme="4"/>
  </sheetPr>
  <dimension ref="A1:F490"/>
  <sheetViews>
    <sheetView workbookViewId="0">
      <pane ySplit="3" topLeftCell="A214" activePane="bottomLeft" state="frozen"/>
      <selection activeCell="H3" sqref="H3"/>
      <selection pane="bottomLeft" activeCell="C176" sqref="C176"/>
    </sheetView>
  </sheetViews>
  <sheetFormatPr defaultRowHeight="14.4" x14ac:dyDescent="0.3"/>
  <cols>
    <col min="1" max="1" width="37" customWidth="1"/>
    <col min="2" max="4" width="33.33203125" customWidth="1"/>
    <col min="5" max="5" width="45.44140625" customWidth="1"/>
    <col min="6" max="6" width="33.33203125" customWidth="1"/>
  </cols>
  <sheetData>
    <row r="1" spans="1:1" x14ac:dyDescent="0.3">
      <c r="A1" s="1" t="s">
        <v>3538</v>
      </c>
    </row>
    <row r="2" spans="1:1" ht="25.05" customHeight="1" x14ac:dyDescent="0.4">
      <c r="A2" s="59" t="s">
        <v>3539</v>
      </c>
    </row>
    <row r="3" spans="1:1" x14ac:dyDescent="0.3">
      <c r="A3" s="1" t="s">
        <v>3538</v>
      </c>
    </row>
    <row r="5" spans="1:1" x14ac:dyDescent="0.3">
      <c r="A5" s="1" t="s">
        <v>3540</v>
      </c>
    </row>
    <row r="6" spans="1:1" x14ac:dyDescent="0.3">
      <c r="A6" t="s">
        <v>3541</v>
      </c>
    </row>
    <row r="7" spans="1:1" x14ac:dyDescent="0.3">
      <c r="A7" t="s">
        <v>3542</v>
      </c>
    </row>
    <row r="8" spans="1:1" x14ac:dyDescent="0.3">
      <c r="A8" t="s">
        <v>3543</v>
      </c>
    </row>
    <row r="10" spans="1:1" x14ac:dyDescent="0.3">
      <c r="A10" s="1" t="s">
        <v>3544</v>
      </c>
    </row>
    <row r="11" spans="1:1" x14ac:dyDescent="0.3">
      <c r="A11" t="s">
        <v>3545</v>
      </c>
    </row>
    <row r="12" spans="1:1" x14ac:dyDescent="0.3">
      <c r="A12" t="s">
        <v>3546</v>
      </c>
    </row>
    <row r="13" spans="1:1" x14ac:dyDescent="0.3">
      <c r="A13" t="s">
        <v>3547</v>
      </c>
    </row>
    <row r="14" spans="1:1" x14ac:dyDescent="0.3">
      <c r="A14" t="s">
        <v>3548</v>
      </c>
    </row>
    <row r="15" spans="1:1" x14ac:dyDescent="0.3">
      <c r="A15" t="s">
        <v>3549</v>
      </c>
    </row>
    <row r="16" spans="1:1" x14ac:dyDescent="0.3">
      <c r="A16" s="1" t="s">
        <v>5225</v>
      </c>
    </row>
    <row r="17" spans="1:4" x14ac:dyDescent="0.3">
      <c r="A17" t="s">
        <v>5226</v>
      </c>
    </row>
    <row r="18" spans="1:4" x14ac:dyDescent="0.3">
      <c r="A18" s="335" t="s">
        <v>5227</v>
      </c>
    </row>
    <row r="19" spans="1:4" x14ac:dyDescent="0.3">
      <c r="A19" s="336" t="s">
        <v>5228</v>
      </c>
    </row>
    <row r="20" spans="1:4" x14ac:dyDescent="0.3">
      <c r="A20" t="s">
        <v>5229</v>
      </c>
    </row>
    <row r="21" spans="1:4" x14ac:dyDescent="0.3">
      <c r="A21" t="s">
        <v>5230</v>
      </c>
    </row>
    <row r="22" spans="1:4" x14ac:dyDescent="0.3">
      <c r="A22" s="1" t="s">
        <v>3538</v>
      </c>
    </row>
    <row r="23" spans="1:4" x14ac:dyDescent="0.3">
      <c r="A23" s="1" t="s">
        <v>3550</v>
      </c>
    </row>
    <row r="24" spans="1:4" x14ac:dyDescent="0.3">
      <c r="A24" s="1" t="s">
        <v>3538</v>
      </c>
    </row>
    <row r="26" spans="1:4" x14ac:dyDescent="0.3">
      <c r="A26" s="1" t="s">
        <v>3551</v>
      </c>
    </row>
    <row r="27" spans="1:4" x14ac:dyDescent="0.3">
      <c r="A27" s="61" t="s">
        <v>3552</v>
      </c>
      <c r="B27" s="61" t="s">
        <v>2754</v>
      </c>
      <c r="C27" s="61" t="s">
        <v>3553</v>
      </c>
      <c r="D27" s="61" t="s">
        <v>3554</v>
      </c>
    </row>
    <row r="28" spans="1:4" x14ac:dyDescent="0.3">
      <c r="A28" t="s">
        <v>0</v>
      </c>
      <c r="B28">
        <v>8</v>
      </c>
      <c r="C28" t="s">
        <v>3555</v>
      </c>
      <c r="D28" t="s">
        <v>3556</v>
      </c>
    </row>
    <row r="29" spans="1:4" x14ac:dyDescent="0.3">
      <c r="A29" t="s">
        <v>1920</v>
      </c>
      <c r="B29">
        <v>84</v>
      </c>
      <c r="C29" t="s">
        <v>3557</v>
      </c>
      <c r="D29" t="s">
        <v>1920</v>
      </c>
    </row>
    <row r="30" spans="1:4" x14ac:dyDescent="0.3">
      <c r="A30" t="s">
        <v>3558</v>
      </c>
      <c r="B30">
        <v>504</v>
      </c>
      <c r="C30" t="s">
        <v>3559</v>
      </c>
      <c r="D30" t="s">
        <v>3560</v>
      </c>
    </row>
    <row r="31" spans="1:4" x14ac:dyDescent="0.3">
      <c r="A31" t="s">
        <v>1925</v>
      </c>
      <c r="B31">
        <v>100</v>
      </c>
      <c r="C31" t="s">
        <v>3561</v>
      </c>
      <c r="D31" t="s">
        <v>1925</v>
      </c>
    </row>
    <row r="32" spans="1:4" x14ac:dyDescent="0.3">
      <c r="A32" t="s">
        <v>3562</v>
      </c>
      <c r="B32">
        <v>12</v>
      </c>
      <c r="C32" t="s">
        <v>3563</v>
      </c>
      <c r="D32" t="s">
        <v>1924</v>
      </c>
    </row>
    <row r="33" spans="1:4" x14ac:dyDescent="0.3">
      <c r="A33" t="s">
        <v>1927</v>
      </c>
      <c r="B33">
        <v>12</v>
      </c>
      <c r="C33" t="s">
        <v>3564</v>
      </c>
      <c r="D33" t="s">
        <v>1927</v>
      </c>
    </row>
    <row r="34" spans="1:4" x14ac:dyDescent="0.3">
      <c r="A34" t="s">
        <v>1921</v>
      </c>
      <c r="B34">
        <v>80</v>
      </c>
      <c r="C34" t="s">
        <v>3565</v>
      </c>
      <c r="D34" t="s">
        <v>1921</v>
      </c>
    </row>
    <row r="35" spans="1:4" x14ac:dyDescent="0.3">
      <c r="A35" t="s">
        <v>3566</v>
      </c>
      <c r="B35" t="s">
        <v>3567</v>
      </c>
      <c r="C35" t="s">
        <v>3568</v>
      </c>
      <c r="D35" t="s">
        <v>1922</v>
      </c>
    </row>
    <row r="36" spans="1:4" x14ac:dyDescent="0.3">
      <c r="A36" t="s">
        <v>3569</v>
      </c>
      <c r="B36">
        <v>166</v>
      </c>
      <c r="C36" t="s">
        <v>3570</v>
      </c>
      <c r="D36" t="s">
        <v>2268</v>
      </c>
    </row>
    <row r="37" spans="1:4" x14ac:dyDescent="0.3">
      <c r="A37" t="s">
        <v>3571</v>
      </c>
      <c r="B37">
        <v>31</v>
      </c>
      <c r="C37" t="s">
        <v>3572</v>
      </c>
      <c r="D37" t="s">
        <v>2542</v>
      </c>
    </row>
    <row r="38" spans="1:4" x14ac:dyDescent="0.3">
      <c r="A38" t="s">
        <v>2728</v>
      </c>
      <c r="B38">
        <v>7</v>
      </c>
      <c r="C38" t="s">
        <v>3573</v>
      </c>
      <c r="D38" t="s">
        <v>2402</v>
      </c>
    </row>
    <row r="39" spans="1:4" x14ac:dyDescent="0.3">
      <c r="A39" t="s">
        <v>2696</v>
      </c>
      <c r="B39">
        <v>26</v>
      </c>
      <c r="C39" t="s">
        <v>3574</v>
      </c>
      <c r="D39" t="s">
        <v>2696</v>
      </c>
    </row>
    <row r="40" spans="1:4" x14ac:dyDescent="0.3">
      <c r="A40" t="s">
        <v>2697</v>
      </c>
      <c r="B40">
        <v>27</v>
      </c>
      <c r="C40" t="s">
        <v>3575</v>
      </c>
      <c r="D40" t="s">
        <v>2697</v>
      </c>
    </row>
    <row r="41" spans="1:4" x14ac:dyDescent="0.3">
      <c r="A41" t="s">
        <v>3576</v>
      </c>
      <c r="B41">
        <v>30</v>
      </c>
      <c r="C41" t="s">
        <v>3577</v>
      </c>
      <c r="D41" t="s">
        <v>2267</v>
      </c>
    </row>
    <row r="42" spans="1:4" x14ac:dyDescent="0.3">
      <c r="A42" t="s">
        <v>3578</v>
      </c>
      <c r="B42">
        <v>180</v>
      </c>
      <c r="C42" t="s">
        <v>3579</v>
      </c>
      <c r="D42" t="s">
        <v>1926</v>
      </c>
    </row>
    <row r="43" spans="1:4" x14ac:dyDescent="0.3">
      <c r="A43" t="s">
        <v>2764</v>
      </c>
      <c r="B43" t="s">
        <v>3515</v>
      </c>
      <c r="C43" t="s">
        <v>3580</v>
      </c>
      <c r="D43" t="s">
        <v>2764</v>
      </c>
    </row>
    <row r="45" spans="1:4" x14ac:dyDescent="0.3">
      <c r="A45" s="1" t="s">
        <v>3581</v>
      </c>
    </row>
    <row r="46" spans="1:4" x14ac:dyDescent="0.3">
      <c r="A46" t="s">
        <v>3582</v>
      </c>
    </row>
    <row r="47" spans="1:4" x14ac:dyDescent="0.3">
      <c r="A47" t="s">
        <v>3583</v>
      </c>
    </row>
    <row r="49" spans="1:6" x14ac:dyDescent="0.3">
      <c r="A49" s="1" t="s">
        <v>3584</v>
      </c>
    </row>
    <row r="50" spans="1:6" x14ac:dyDescent="0.3">
      <c r="A50" t="s">
        <v>3585</v>
      </c>
    </row>
    <row r="51" spans="1:6" x14ac:dyDescent="0.3">
      <c r="A51" t="s">
        <v>3586</v>
      </c>
    </row>
    <row r="52" spans="1:6" x14ac:dyDescent="0.3">
      <c r="A52" t="s">
        <v>3587</v>
      </c>
    </row>
    <row r="53" spans="1:6" x14ac:dyDescent="0.3">
      <c r="A53" t="s">
        <v>3588</v>
      </c>
    </row>
    <row r="55" spans="1:6" x14ac:dyDescent="0.3">
      <c r="A55" s="1" t="s">
        <v>3538</v>
      </c>
      <c r="F55" s="61"/>
    </row>
    <row r="56" spans="1:6" x14ac:dyDescent="0.3">
      <c r="A56" s="1" t="s">
        <v>3589</v>
      </c>
      <c r="F56" s="61"/>
    </row>
    <row r="57" spans="1:6" x14ac:dyDescent="0.3">
      <c r="A57" s="1" t="s">
        <v>3538</v>
      </c>
    </row>
    <row r="59" spans="1:6" x14ac:dyDescent="0.3">
      <c r="A59" s="1" t="s">
        <v>3590</v>
      </c>
    </row>
    <row r="60" spans="1:6" x14ac:dyDescent="0.3">
      <c r="A60" s="61" t="s">
        <v>2781</v>
      </c>
      <c r="B60" s="61" t="s">
        <v>1918</v>
      </c>
      <c r="C60" s="61" t="s">
        <v>3591</v>
      </c>
      <c r="D60" s="61" t="s">
        <v>3592</v>
      </c>
      <c r="E60" s="61" t="s">
        <v>2266</v>
      </c>
      <c r="F60" t="s">
        <v>3593</v>
      </c>
    </row>
    <row r="61" spans="1:6" x14ac:dyDescent="0.3">
      <c r="A61" s="61">
        <v>0</v>
      </c>
      <c r="B61" s="61" t="s">
        <v>4884</v>
      </c>
      <c r="C61" s="61" t="s">
        <v>5241</v>
      </c>
      <c r="D61" s="61">
        <v>60</v>
      </c>
      <c r="E61" s="61" t="s">
        <v>4885</v>
      </c>
      <c r="F61" t="s">
        <v>5242</v>
      </c>
    </row>
    <row r="62" spans="1:6" x14ac:dyDescent="0.3">
      <c r="A62">
        <v>1</v>
      </c>
      <c r="B62" t="s">
        <v>5243</v>
      </c>
      <c r="C62" t="s">
        <v>5244</v>
      </c>
      <c r="D62">
        <v>47</v>
      </c>
      <c r="E62" t="s">
        <v>5245</v>
      </c>
      <c r="F62" t="s">
        <v>5246</v>
      </c>
    </row>
    <row r="63" spans="1:6" x14ac:dyDescent="0.3">
      <c r="A63" s="58">
        <v>2</v>
      </c>
      <c r="B63" s="334" t="s">
        <v>3594</v>
      </c>
      <c r="C63" t="s">
        <v>5247</v>
      </c>
      <c r="D63">
        <v>489</v>
      </c>
      <c r="E63" t="s">
        <v>5248</v>
      </c>
      <c r="F63" t="s">
        <v>5249</v>
      </c>
    </row>
    <row r="64" spans="1:6" x14ac:dyDescent="0.3">
      <c r="A64">
        <v>3</v>
      </c>
      <c r="B64" t="s">
        <v>5224</v>
      </c>
      <c r="C64" t="s">
        <v>5250</v>
      </c>
      <c r="D64">
        <v>309</v>
      </c>
      <c r="E64" t="s">
        <v>5251</v>
      </c>
      <c r="F64" t="s">
        <v>5231</v>
      </c>
    </row>
    <row r="65" spans="1:6" x14ac:dyDescent="0.3">
      <c r="A65">
        <v>4</v>
      </c>
      <c r="B65" t="s">
        <v>3595</v>
      </c>
      <c r="C65" t="s">
        <v>5252</v>
      </c>
      <c r="D65">
        <v>244</v>
      </c>
      <c r="E65" t="s">
        <v>3596</v>
      </c>
      <c r="F65" t="s">
        <v>3597</v>
      </c>
    </row>
    <row r="66" spans="1:6" x14ac:dyDescent="0.3">
      <c r="A66">
        <v>5</v>
      </c>
      <c r="B66" t="s">
        <v>1920</v>
      </c>
      <c r="C66" t="s">
        <v>3598</v>
      </c>
      <c r="D66">
        <v>505</v>
      </c>
      <c r="E66" t="s">
        <v>3599</v>
      </c>
      <c r="F66" t="s">
        <v>3796</v>
      </c>
    </row>
    <row r="67" spans="1:6" x14ac:dyDescent="0.3">
      <c r="A67">
        <v>6</v>
      </c>
      <c r="B67" t="s">
        <v>1925</v>
      </c>
      <c r="C67" t="s">
        <v>3600</v>
      </c>
      <c r="D67">
        <v>101</v>
      </c>
      <c r="E67" t="s">
        <v>3601</v>
      </c>
      <c r="F67" t="s">
        <v>3602</v>
      </c>
    </row>
    <row r="68" spans="1:6" x14ac:dyDescent="0.3">
      <c r="A68">
        <v>7</v>
      </c>
      <c r="B68" t="s">
        <v>1924</v>
      </c>
      <c r="C68" t="s">
        <v>3603</v>
      </c>
      <c r="D68">
        <v>13</v>
      </c>
      <c r="E68" t="s">
        <v>3604</v>
      </c>
      <c r="F68" t="s">
        <v>5253</v>
      </c>
    </row>
    <row r="69" spans="1:6" x14ac:dyDescent="0.3">
      <c r="A69">
        <v>8</v>
      </c>
      <c r="B69" t="s">
        <v>1927</v>
      </c>
      <c r="C69" t="s">
        <v>3605</v>
      </c>
      <c r="D69">
        <v>15</v>
      </c>
      <c r="E69" t="s">
        <v>3606</v>
      </c>
      <c r="F69" t="s">
        <v>3607</v>
      </c>
    </row>
    <row r="70" spans="1:6" x14ac:dyDescent="0.3">
      <c r="A70">
        <v>9</v>
      </c>
      <c r="B70" t="s">
        <v>1921</v>
      </c>
      <c r="C70" t="s">
        <v>5254</v>
      </c>
      <c r="D70">
        <v>84</v>
      </c>
      <c r="E70" t="s">
        <v>3608</v>
      </c>
      <c r="F70" t="s">
        <v>5255</v>
      </c>
    </row>
    <row r="71" spans="1:6" x14ac:dyDescent="0.3">
      <c r="A71">
        <v>10</v>
      </c>
      <c r="B71" t="s">
        <v>2268</v>
      </c>
      <c r="C71" t="s">
        <v>5256</v>
      </c>
      <c r="D71">
        <v>180</v>
      </c>
      <c r="E71" t="s">
        <v>5257</v>
      </c>
      <c r="F71" t="s">
        <v>3609</v>
      </c>
    </row>
    <row r="72" spans="1:6" x14ac:dyDescent="0.3">
      <c r="A72">
        <v>11</v>
      </c>
      <c r="B72" t="s">
        <v>1922</v>
      </c>
      <c r="C72" t="s">
        <v>5258</v>
      </c>
      <c r="D72">
        <v>115</v>
      </c>
      <c r="E72" t="s">
        <v>3610</v>
      </c>
      <c r="F72" t="s">
        <v>3611</v>
      </c>
    </row>
    <row r="73" spans="1:6" x14ac:dyDescent="0.3">
      <c r="A73">
        <v>12</v>
      </c>
      <c r="B73" t="s">
        <v>2764</v>
      </c>
      <c r="C73" t="s">
        <v>5259</v>
      </c>
      <c r="D73">
        <v>227</v>
      </c>
      <c r="E73" t="s">
        <v>5260</v>
      </c>
      <c r="F73" t="s">
        <v>5261</v>
      </c>
    </row>
    <row r="74" spans="1:6" x14ac:dyDescent="0.3">
      <c r="A74">
        <v>13</v>
      </c>
      <c r="B74" t="s">
        <v>2542</v>
      </c>
      <c r="C74" t="s">
        <v>5262</v>
      </c>
      <c r="D74">
        <v>118</v>
      </c>
      <c r="E74" t="s">
        <v>5263</v>
      </c>
      <c r="F74" t="s">
        <v>3612</v>
      </c>
    </row>
    <row r="75" spans="1:6" x14ac:dyDescent="0.3">
      <c r="A75">
        <v>14</v>
      </c>
      <c r="B75" t="s">
        <v>2402</v>
      </c>
      <c r="C75" t="s">
        <v>5264</v>
      </c>
      <c r="D75">
        <v>74</v>
      </c>
      <c r="E75" t="s">
        <v>5265</v>
      </c>
      <c r="F75" t="s">
        <v>3779</v>
      </c>
    </row>
    <row r="76" spans="1:6" x14ac:dyDescent="0.3">
      <c r="A76">
        <v>15</v>
      </c>
      <c r="B76" t="s">
        <v>2696</v>
      </c>
      <c r="C76" t="s">
        <v>5266</v>
      </c>
      <c r="D76">
        <v>95</v>
      </c>
      <c r="E76" t="s">
        <v>5267</v>
      </c>
      <c r="F76" t="s">
        <v>3826</v>
      </c>
    </row>
    <row r="77" spans="1:6" x14ac:dyDescent="0.3">
      <c r="A77">
        <v>16</v>
      </c>
      <c r="B77" t="s">
        <v>2697</v>
      </c>
      <c r="C77" t="s">
        <v>5268</v>
      </c>
      <c r="D77">
        <v>95</v>
      </c>
      <c r="E77" t="s">
        <v>5269</v>
      </c>
      <c r="F77" t="s">
        <v>5270</v>
      </c>
    </row>
    <row r="78" spans="1:6" x14ac:dyDescent="0.3">
      <c r="A78">
        <v>17</v>
      </c>
      <c r="B78" t="s">
        <v>2267</v>
      </c>
      <c r="C78" t="s">
        <v>5271</v>
      </c>
      <c r="D78">
        <v>92</v>
      </c>
      <c r="E78" t="s">
        <v>5272</v>
      </c>
      <c r="F78" t="s">
        <v>5273</v>
      </c>
    </row>
    <row r="79" spans="1:6" x14ac:dyDescent="0.3">
      <c r="A79">
        <v>18</v>
      </c>
      <c r="B79" t="s">
        <v>1926</v>
      </c>
      <c r="C79" t="s">
        <v>5274</v>
      </c>
      <c r="D79">
        <v>242</v>
      </c>
      <c r="E79" t="s">
        <v>5275</v>
      </c>
      <c r="F79" t="s">
        <v>3815</v>
      </c>
    </row>
    <row r="80" spans="1:6" x14ac:dyDescent="0.3">
      <c r="A80" s="1">
        <v>19</v>
      </c>
      <c r="B80" t="s">
        <v>1923</v>
      </c>
      <c r="C80" t="s">
        <v>5276</v>
      </c>
      <c r="D80">
        <v>195</v>
      </c>
      <c r="E80" t="s">
        <v>3613</v>
      </c>
      <c r="F80" t="s">
        <v>5277</v>
      </c>
    </row>
    <row r="81" spans="1:6" x14ac:dyDescent="0.3">
      <c r="A81" s="1">
        <v>20</v>
      </c>
      <c r="B81" t="s">
        <v>4948</v>
      </c>
      <c r="C81" t="s">
        <v>5278</v>
      </c>
      <c r="D81">
        <v>122</v>
      </c>
      <c r="E81" t="s">
        <v>5279</v>
      </c>
      <c r="F81" t="s">
        <v>5280</v>
      </c>
    </row>
    <row r="82" spans="1:6" x14ac:dyDescent="0.3">
      <c r="A82">
        <v>21</v>
      </c>
      <c r="B82" t="s">
        <v>4196</v>
      </c>
      <c r="C82" t="s">
        <v>5281</v>
      </c>
      <c r="D82">
        <v>86</v>
      </c>
      <c r="E82" t="s">
        <v>4954</v>
      </c>
      <c r="F82" t="s">
        <v>5282</v>
      </c>
    </row>
    <row r="83" spans="1:6" x14ac:dyDescent="0.3">
      <c r="A83" s="1">
        <v>22</v>
      </c>
      <c r="B83" t="s">
        <v>4955</v>
      </c>
      <c r="C83" t="s">
        <v>5283</v>
      </c>
      <c r="D83">
        <v>105</v>
      </c>
      <c r="E83" t="s">
        <v>5284</v>
      </c>
      <c r="F83" t="s">
        <v>5285</v>
      </c>
    </row>
    <row r="84" spans="1:6" x14ac:dyDescent="0.3">
      <c r="A84">
        <v>23</v>
      </c>
      <c r="B84" t="s">
        <v>4959</v>
      </c>
      <c r="C84" t="s">
        <v>5286</v>
      </c>
      <c r="D84">
        <v>89</v>
      </c>
      <c r="E84" t="s">
        <v>5287</v>
      </c>
      <c r="F84" t="s">
        <v>5288</v>
      </c>
    </row>
    <row r="85" spans="1:6" x14ac:dyDescent="0.3">
      <c r="A85" s="12" t="s">
        <v>3538</v>
      </c>
    </row>
    <row r="86" spans="1:6" x14ac:dyDescent="0.3">
      <c r="A86" s="12" t="s">
        <v>5232</v>
      </c>
    </row>
    <row r="87" spans="1:6" x14ac:dyDescent="0.3">
      <c r="A87" s="12" t="s">
        <v>3538</v>
      </c>
    </row>
    <row r="88" spans="1:6" x14ac:dyDescent="0.3">
      <c r="A88" s="12"/>
    </row>
    <row r="89" spans="1:6" x14ac:dyDescent="0.3">
      <c r="A89" s="12" t="s">
        <v>5233</v>
      </c>
    </row>
    <row r="90" spans="1:6" x14ac:dyDescent="0.3">
      <c r="A90" s="12" t="s">
        <v>5289</v>
      </c>
    </row>
    <row r="91" spans="1:6" x14ac:dyDescent="0.3">
      <c r="A91" s="12"/>
    </row>
    <row r="92" spans="1:6" x14ac:dyDescent="0.3">
      <c r="A92" s="12" t="s">
        <v>5234</v>
      </c>
    </row>
    <row r="93" spans="1:6" x14ac:dyDescent="0.3">
      <c r="A93" s="12" t="s">
        <v>5235</v>
      </c>
    </row>
    <row r="94" spans="1:6" x14ac:dyDescent="0.3">
      <c r="A94" s="12" t="s">
        <v>5290</v>
      </c>
    </row>
    <row r="95" spans="1:6" x14ac:dyDescent="0.3">
      <c r="A95" s="12" t="s">
        <v>5291</v>
      </c>
    </row>
    <row r="96" spans="1:6" x14ac:dyDescent="0.3">
      <c r="A96" s="12" t="s">
        <v>5292</v>
      </c>
    </row>
    <row r="97" spans="1:1" x14ac:dyDescent="0.3">
      <c r="A97" s="12"/>
    </row>
    <row r="98" spans="1:1" x14ac:dyDescent="0.3">
      <c r="A98" s="12" t="s">
        <v>3538</v>
      </c>
    </row>
    <row r="99" spans="1:1" x14ac:dyDescent="0.3">
      <c r="A99" s="12" t="s">
        <v>5236</v>
      </c>
    </row>
    <row r="100" spans="1:1" x14ac:dyDescent="0.3">
      <c r="A100" s="12" t="s">
        <v>3538</v>
      </c>
    </row>
    <row r="101" spans="1:1" x14ac:dyDescent="0.3">
      <c r="A101" s="12"/>
    </row>
    <row r="102" spans="1:1" x14ac:dyDescent="0.3">
      <c r="A102" s="12" t="s">
        <v>3689</v>
      </c>
    </row>
    <row r="103" spans="1:1" x14ac:dyDescent="0.3">
      <c r="A103" s="12" t="s">
        <v>3690</v>
      </c>
    </row>
    <row r="104" spans="1:1" x14ac:dyDescent="0.3">
      <c r="A104" s="12"/>
    </row>
    <row r="105" spans="1:1" x14ac:dyDescent="0.3">
      <c r="A105" s="12" t="s">
        <v>3691</v>
      </c>
    </row>
    <row r="106" spans="1:1" x14ac:dyDescent="0.3">
      <c r="A106" s="12" t="s">
        <v>3692</v>
      </c>
    </row>
    <row r="107" spans="1:1" x14ac:dyDescent="0.3">
      <c r="A107" s="12" t="s">
        <v>3693</v>
      </c>
    </row>
    <row r="108" spans="1:1" x14ac:dyDescent="0.3">
      <c r="A108" s="12"/>
    </row>
    <row r="109" spans="1:1" x14ac:dyDescent="0.3">
      <c r="A109" s="12" t="s">
        <v>3694</v>
      </c>
    </row>
    <row r="110" spans="1:1" x14ac:dyDescent="0.3">
      <c r="A110" s="12" t="s">
        <v>3695</v>
      </c>
    </row>
    <row r="111" spans="1:1" x14ac:dyDescent="0.3">
      <c r="A111" s="12" t="s">
        <v>3696</v>
      </c>
    </row>
    <row r="112" spans="1:1" x14ac:dyDescent="0.3">
      <c r="A112" s="12"/>
    </row>
    <row r="113" spans="1:6" x14ac:dyDescent="0.3">
      <c r="A113" s="12" t="s">
        <v>3697</v>
      </c>
    </row>
    <row r="114" spans="1:6" x14ac:dyDescent="0.3">
      <c r="A114" s="12" t="s">
        <v>3690</v>
      </c>
    </row>
    <row r="115" spans="1:6" x14ac:dyDescent="0.3">
      <c r="A115" s="12"/>
    </row>
    <row r="116" spans="1:6" x14ac:dyDescent="0.3">
      <c r="A116" s="12" t="s">
        <v>2259</v>
      </c>
      <c r="B116" t="s">
        <v>3698</v>
      </c>
      <c r="C116" t="s">
        <v>3699</v>
      </c>
    </row>
    <row r="117" spans="1:6" x14ac:dyDescent="0.3">
      <c r="A117" s="12" t="s">
        <v>1934</v>
      </c>
      <c r="B117" t="s">
        <v>2270</v>
      </c>
      <c r="C117" t="s">
        <v>3700</v>
      </c>
    </row>
    <row r="118" spans="1:6" x14ac:dyDescent="0.3">
      <c r="A118" s="12" t="s">
        <v>3248</v>
      </c>
      <c r="B118" t="s">
        <v>2271</v>
      </c>
      <c r="C118" t="s">
        <v>3701</v>
      </c>
    </row>
    <row r="119" spans="1:6" x14ac:dyDescent="0.3">
      <c r="A119" s="12" t="s">
        <v>3251</v>
      </c>
      <c r="B119" t="s">
        <v>2272</v>
      </c>
      <c r="C119" t="s">
        <v>3701</v>
      </c>
    </row>
    <row r="120" spans="1:6" x14ac:dyDescent="0.3">
      <c r="A120" s="12"/>
    </row>
    <row r="121" spans="1:6" x14ac:dyDescent="0.3">
      <c r="A121" s="12" t="s">
        <v>3702</v>
      </c>
      <c r="F121" s="61"/>
    </row>
    <row r="122" spans="1:6" x14ac:dyDescent="0.3">
      <c r="A122" s="12" t="s">
        <v>3703</v>
      </c>
    </row>
    <row r="124" spans="1:6" x14ac:dyDescent="0.3">
      <c r="A124" t="s">
        <v>3704</v>
      </c>
    </row>
    <row r="125" spans="1:6" x14ac:dyDescent="0.3">
      <c r="A125" s="1" t="s">
        <v>3690</v>
      </c>
    </row>
    <row r="127" spans="1:6" x14ac:dyDescent="0.3">
      <c r="A127" s="61" t="s">
        <v>3705</v>
      </c>
      <c r="B127" s="61"/>
      <c r="C127" s="61"/>
      <c r="D127" s="61"/>
      <c r="E127" s="61"/>
    </row>
    <row r="128" spans="1:6" x14ac:dyDescent="0.3">
      <c r="A128" t="s">
        <v>3119</v>
      </c>
      <c r="B128" t="s">
        <v>1919</v>
      </c>
      <c r="C128" t="s">
        <v>3706</v>
      </c>
    </row>
    <row r="129" spans="1:5" x14ac:dyDescent="0.3">
      <c r="A129" t="s">
        <v>3707</v>
      </c>
      <c r="B129" t="s">
        <v>3708</v>
      </c>
      <c r="C129" t="s">
        <v>3709</v>
      </c>
    </row>
    <row r="130" spans="1:5" x14ac:dyDescent="0.3">
      <c r="A130" t="s">
        <v>3710</v>
      </c>
      <c r="B130" t="s">
        <v>3711</v>
      </c>
      <c r="C130" t="s">
        <v>3712</v>
      </c>
    </row>
    <row r="131" spans="1:5" x14ac:dyDescent="0.3">
      <c r="A131" t="s">
        <v>3713</v>
      </c>
      <c r="B131" t="s">
        <v>3714</v>
      </c>
      <c r="C131" t="s">
        <v>3715</v>
      </c>
    </row>
    <row r="132" spans="1:5" x14ac:dyDescent="0.3">
      <c r="A132" t="s">
        <v>3716</v>
      </c>
      <c r="B132" t="s">
        <v>3717</v>
      </c>
      <c r="C132" t="s">
        <v>3718</v>
      </c>
    </row>
    <row r="133" spans="1:5" x14ac:dyDescent="0.3">
      <c r="A133" t="s">
        <v>3719</v>
      </c>
      <c r="B133" t="s">
        <v>3720</v>
      </c>
      <c r="C133" t="s">
        <v>3721</v>
      </c>
    </row>
    <row r="134" spans="1:5" x14ac:dyDescent="0.3">
      <c r="A134" t="s">
        <v>3722</v>
      </c>
      <c r="B134" t="s">
        <v>3723</v>
      </c>
      <c r="C134" t="s">
        <v>3724</v>
      </c>
    </row>
    <row r="135" spans="1:5" x14ac:dyDescent="0.3">
      <c r="A135" t="s">
        <v>3725</v>
      </c>
      <c r="B135" t="s">
        <v>3726</v>
      </c>
      <c r="C135" t="s">
        <v>3727</v>
      </c>
      <c r="E135" s="157"/>
    </row>
    <row r="136" spans="1:5" x14ac:dyDescent="0.3">
      <c r="A136" t="s">
        <v>3728</v>
      </c>
      <c r="B136" t="s">
        <v>3729</v>
      </c>
      <c r="C136" t="s">
        <v>3730</v>
      </c>
    </row>
    <row r="137" spans="1:5" x14ac:dyDescent="0.3">
      <c r="A137" t="s">
        <v>3731</v>
      </c>
      <c r="B137" t="s">
        <v>3732</v>
      </c>
      <c r="C137" t="s">
        <v>3733</v>
      </c>
    </row>
    <row r="139" spans="1:5" x14ac:dyDescent="0.3">
      <c r="A139" t="s">
        <v>3734</v>
      </c>
    </row>
    <row r="140" spans="1:5" x14ac:dyDescent="0.3">
      <c r="A140" t="s">
        <v>3735</v>
      </c>
    </row>
    <row r="141" spans="1:5" x14ac:dyDescent="0.3">
      <c r="A141" t="s">
        <v>3736</v>
      </c>
    </row>
    <row r="143" spans="1:5" x14ac:dyDescent="0.3">
      <c r="A143" t="s">
        <v>3737</v>
      </c>
    </row>
    <row r="144" spans="1:5" x14ac:dyDescent="0.3">
      <c r="A144" t="s">
        <v>3690</v>
      </c>
    </row>
    <row r="146" spans="1:6" x14ac:dyDescent="0.3">
      <c r="A146" t="s">
        <v>3738</v>
      </c>
    </row>
    <row r="147" spans="1:6" x14ac:dyDescent="0.3">
      <c r="A147" t="s">
        <v>3739</v>
      </c>
    </row>
    <row r="149" spans="1:6" x14ac:dyDescent="0.3">
      <c r="A149" t="s">
        <v>3740</v>
      </c>
    </row>
    <row r="150" spans="1:6" x14ac:dyDescent="0.3">
      <c r="A150" t="s">
        <v>3741</v>
      </c>
    </row>
    <row r="151" spans="1:6" x14ac:dyDescent="0.3">
      <c r="A151" t="s">
        <v>3742</v>
      </c>
    </row>
    <row r="152" spans="1:6" x14ac:dyDescent="0.3">
      <c r="A152" s="1" t="s">
        <v>3743</v>
      </c>
    </row>
    <row r="153" spans="1:6" x14ac:dyDescent="0.3">
      <c r="A153" s="1"/>
    </row>
    <row r="154" spans="1:6" x14ac:dyDescent="0.3">
      <c r="A154" s="1" t="s">
        <v>3744</v>
      </c>
    </row>
    <row r="155" spans="1:6" x14ac:dyDescent="0.3">
      <c r="A155" t="s">
        <v>3745</v>
      </c>
      <c r="B155" t="s">
        <v>3746</v>
      </c>
      <c r="C155" t="s">
        <v>3042</v>
      </c>
      <c r="D155" t="s">
        <v>3747</v>
      </c>
    </row>
    <row r="156" spans="1:6" x14ac:dyDescent="0.3">
      <c r="A156" s="333">
        <v>46027</v>
      </c>
      <c r="B156" t="s">
        <v>3748</v>
      </c>
      <c r="C156" t="s">
        <v>118</v>
      </c>
      <c r="D156" t="s">
        <v>3749</v>
      </c>
    </row>
    <row r="157" spans="1:6" x14ac:dyDescent="0.3">
      <c r="A157">
        <v>46184</v>
      </c>
      <c r="B157" t="s">
        <v>3750</v>
      </c>
      <c r="C157" t="s">
        <v>127</v>
      </c>
      <c r="D157" t="s">
        <v>3751</v>
      </c>
      <c r="F157" s="124"/>
    </row>
    <row r="158" spans="1:6" x14ac:dyDescent="0.3">
      <c r="A158">
        <v>46375</v>
      </c>
      <c r="B158" t="s">
        <v>3752</v>
      </c>
      <c r="C158" t="s">
        <v>128</v>
      </c>
      <c r="D158" t="s">
        <v>3753</v>
      </c>
    </row>
    <row r="159" spans="1:6" x14ac:dyDescent="0.3">
      <c r="A159" s="334" t="s">
        <v>2531</v>
      </c>
      <c r="B159" t="s">
        <v>3754</v>
      </c>
      <c r="C159" t="s">
        <v>2166</v>
      </c>
      <c r="D159" t="s">
        <v>3755</v>
      </c>
    </row>
    <row r="160" spans="1:6" x14ac:dyDescent="0.3">
      <c r="A160" s="1"/>
    </row>
    <row r="162" spans="1:6" x14ac:dyDescent="0.3">
      <c r="A162" t="s">
        <v>3538</v>
      </c>
    </row>
    <row r="163" spans="1:6" x14ac:dyDescent="0.3">
      <c r="A163" s="124" t="s">
        <v>5237</v>
      </c>
      <c r="B163" s="124"/>
      <c r="C163" s="124"/>
      <c r="D163" s="124"/>
      <c r="E163" s="124"/>
    </row>
    <row r="164" spans="1:6" x14ac:dyDescent="0.3">
      <c r="A164" t="s">
        <v>3538</v>
      </c>
    </row>
    <row r="166" spans="1:6" x14ac:dyDescent="0.3">
      <c r="A166" t="s">
        <v>3756</v>
      </c>
    </row>
    <row r="168" spans="1:6" x14ac:dyDescent="0.3">
      <c r="A168" t="s">
        <v>3757</v>
      </c>
    </row>
    <row r="169" spans="1:6" x14ac:dyDescent="0.3">
      <c r="A169" t="s">
        <v>3690</v>
      </c>
    </row>
    <row r="171" spans="1:6" x14ac:dyDescent="0.3">
      <c r="A171" s="1" t="s">
        <v>3758</v>
      </c>
      <c r="B171" t="s">
        <v>3759</v>
      </c>
      <c r="C171" t="s">
        <v>3760</v>
      </c>
      <c r="D171" t="s">
        <v>3761</v>
      </c>
    </row>
    <row r="172" spans="1:6" x14ac:dyDescent="0.3">
      <c r="A172" t="s">
        <v>3762</v>
      </c>
      <c r="B172" t="s">
        <v>3511</v>
      </c>
      <c r="C172" t="s">
        <v>3763</v>
      </c>
      <c r="D172" t="s">
        <v>3764</v>
      </c>
    </row>
    <row r="173" spans="1:6" x14ac:dyDescent="0.3">
      <c r="A173" t="s">
        <v>3765</v>
      </c>
      <c r="B173" t="s">
        <v>3766</v>
      </c>
      <c r="C173" t="s">
        <v>3767</v>
      </c>
      <c r="D173" t="s">
        <v>1057</v>
      </c>
    </row>
    <row r="174" spans="1:6" x14ac:dyDescent="0.3">
      <c r="A174" t="s">
        <v>3768</v>
      </c>
      <c r="B174" t="s">
        <v>3769</v>
      </c>
      <c r="C174" t="s">
        <v>3770</v>
      </c>
      <c r="D174" t="s">
        <v>1057</v>
      </c>
    </row>
    <row r="175" spans="1:6" x14ac:dyDescent="0.3">
      <c r="A175" t="s">
        <v>3771</v>
      </c>
      <c r="B175" t="s">
        <v>3772</v>
      </c>
      <c r="C175" t="s">
        <v>3773</v>
      </c>
      <c r="D175" t="s">
        <v>3774</v>
      </c>
    </row>
    <row r="176" spans="1:6" x14ac:dyDescent="0.3">
      <c r="A176" t="s">
        <v>3775</v>
      </c>
      <c r="B176" t="s">
        <v>3776</v>
      </c>
      <c r="C176" t="s">
        <v>3777</v>
      </c>
      <c r="D176" t="s">
        <v>3778</v>
      </c>
      <c r="F176" s="124"/>
    </row>
    <row r="177" spans="1:5" x14ac:dyDescent="0.3">
      <c r="A177" t="s">
        <v>3779</v>
      </c>
      <c r="B177" t="s">
        <v>3780</v>
      </c>
      <c r="C177" t="s">
        <v>3781</v>
      </c>
      <c r="D177" t="s">
        <v>3782</v>
      </c>
    </row>
    <row r="178" spans="1:5" x14ac:dyDescent="0.3">
      <c r="A178" s="1"/>
    </row>
    <row r="179" spans="1:5" x14ac:dyDescent="0.3">
      <c r="A179" s="1" t="s">
        <v>3783</v>
      </c>
    </row>
    <row r="180" spans="1:5" x14ac:dyDescent="0.3">
      <c r="A180" s="1" t="s">
        <v>3690</v>
      </c>
    </row>
    <row r="182" spans="1:5" x14ac:dyDescent="0.3">
      <c r="A182" s="124" t="s">
        <v>3758</v>
      </c>
      <c r="B182" s="124" t="s">
        <v>3759</v>
      </c>
      <c r="C182" s="124" t="s">
        <v>3760</v>
      </c>
      <c r="D182" s="124" t="s">
        <v>3761</v>
      </c>
      <c r="E182" s="124"/>
    </row>
    <row r="183" spans="1:5" x14ac:dyDescent="0.3">
      <c r="A183" t="s">
        <v>3784</v>
      </c>
      <c r="B183" t="s">
        <v>3785</v>
      </c>
      <c r="C183" t="s">
        <v>3786</v>
      </c>
      <c r="D183" t="s">
        <v>3787</v>
      </c>
    </row>
    <row r="184" spans="1:5" x14ac:dyDescent="0.3">
      <c r="A184" t="s">
        <v>3788</v>
      </c>
      <c r="B184" t="s">
        <v>3789</v>
      </c>
      <c r="C184" t="s">
        <v>3790</v>
      </c>
      <c r="D184" t="s">
        <v>3791</v>
      </c>
    </row>
    <row r="185" spans="1:5" x14ac:dyDescent="0.3">
      <c r="A185" t="s">
        <v>3792</v>
      </c>
      <c r="B185" t="s">
        <v>3793</v>
      </c>
      <c r="C185" t="s">
        <v>3794</v>
      </c>
      <c r="D185" t="s">
        <v>1057</v>
      </c>
    </row>
    <row r="187" spans="1:5" x14ac:dyDescent="0.3">
      <c r="A187" t="s">
        <v>3795</v>
      </c>
    </row>
    <row r="188" spans="1:5" x14ac:dyDescent="0.3">
      <c r="A188" t="s">
        <v>3690</v>
      </c>
    </row>
    <row r="190" spans="1:5" x14ac:dyDescent="0.3">
      <c r="A190" t="s">
        <v>3758</v>
      </c>
      <c r="B190" t="s">
        <v>3759</v>
      </c>
      <c r="C190" t="s">
        <v>3760</v>
      </c>
      <c r="D190" t="s">
        <v>3761</v>
      </c>
    </row>
    <row r="191" spans="1:5" x14ac:dyDescent="0.3">
      <c r="A191" t="s">
        <v>3796</v>
      </c>
      <c r="B191" t="s">
        <v>3509</v>
      </c>
      <c r="C191" t="s">
        <v>3797</v>
      </c>
      <c r="D191" t="s">
        <v>3774</v>
      </c>
    </row>
    <row r="192" spans="1:5" x14ac:dyDescent="0.3">
      <c r="A192" t="s">
        <v>3798</v>
      </c>
      <c r="B192" t="s">
        <v>3799</v>
      </c>
      <c r="C192" t="s">
        <v>3800</v>
      </c>
      <c r="D192" t="s">
        <v>945</v>
      </c>
    </row>
    <row r="193" spans="1:6" x14ac:dyDescent="0.3">
      <c r="A193" s="1" t="s">
        <v>3801</v>
      </c>
      <c r="B193" t="s">
        <v>3802</v>
      </c>
      <c r="C193" t="s">
        <v>3803</v>
      </c>
      <c r="D193" t="s">
        <v>3804</v>
      </c>
    </row>
    <row r="194" spans="1:6" x14ac:dyDescent="0.3">
      <c r="A194" t="s">
        <v>3805</v>
      </c>
      <c r="B194" t="s">
        <v>3806</v>
      </c>
      <c r="C194" t="s">
        <v>3807</v>
      </c>
      <c r="D194" t="s">
        <v>3217</v>
      </c>
    </row>
    <row r="195" spans="1:6" x14ac:dyDescent="0.3">
      <c r="A195" t="s">
        <v>3808</v>
      </c>
      <c r="B195" t="s">
        <v>3516</v>
      </c>
      <c r="C195" t="s">
        <v>3809</v>
      </c>
      <c r="D195" t="s">
        <v>3810</v>
      </c>
    </row>
    <row r="196" spans="1:6" x14ac:dyDescent="0.3">
      <c r="A196" t="s">
        <v>3811</v>
      </c>
      <c r="B196" t="s">
        <v>3812</v>
      </c>
      <c r="C196" t="s">
        <v>3813</v>
      </c>
      <c r="D196" t="s">
        <v>945</v>
      </c>
      <c r="F196" s="158"/>
    </row>
    <row r="198" spans="1:6" x14ac:dyDescent="0.3">
      <c r="A198" s="1" t="s">
        <v>3814</v>
      </c>
    </row>
    <row r="199" spans="1:6" x14ac:dyDescent="0.3">
      <c r="A199" s="1" t="s">
        <v>3690</v>
      </c>
    </row>
    <row r="200" spans="1:6" x14ac:dyDescent="0.3">
      <c r="A200" s="1"/>
    </row>
    <row r="201" spans="1:6" x14ac:dyDescent="0.3">
      <c r="A201" t="s">
        <v>3758</v>
      </c>
      <c r="B201" t="s">
        <v>3759</v>
      </c>
      <c r="C201" t="s">
        <v>3760</v>
      </c>
      <c r="D201" t="s">
        <v>3761</v>
      </c>
    </row>
    <row r="202" spans="1:6" x14ac:dyDescent="0.3">
      <c r="A202" s="158" t="s">
        <v>3815</v>
      </c>
      <c r="B202" s="158" t="s">
        <v>3816</v>
      </c>
      <c r="C202" s="158" t="s">
        <v>3817</v>
      </c>
      <c r="D202" s="158" t="s">
        <v>3818</v>
      </c>
      <c r="E202" s="158"/>
    </row>
    <row r="203" spans="1:6" x14ac:dyDescent="0.3">
      <c r="A203" t="s">
        <v>3819</v>
      </c>
      <c r="B203" t="s">
        <v>3820</v>
      </c>
      <c r="C203" t="s">
        <v>3821</v>
      </c>
      <c r="D203" t="s">
        <v>3822</v>
      </c>
    </row>
    <row r="204" spans="1:6" x14ac:dyDescent="0.3">
      <c r="A204" t="s">
        <v>3823</v>
      </c>
      <c r="B204" t="s">
        <v>3824</v>
      </c>
      <c r="C204" t="s">
        <v>3825</v>
      </c>
      <c r="D204" t="s">
        <v>1057</v>
      </c>
    </row>
    <row r="205" spans="1:6" x14ac:dyDescent="0.3">
      <c r="A205" t="s">
        <v>3826</v>
      </c>
      <c r="B205" t="s">
        <v>3827</v>
      </c>
      <c r="C205" t="s">
        <v>3828</v>
      </c>
      <c r="D205" t="s">
        <v>1057</v>
      </c>
    </row>
    <row r="206" spans="1:6" x14ac:dyDescent="0.3">
      <c r="A206" t="s">
        <v>3829</v>
      </c>
      <c r="B206" t="s">
        <v>3830</v>
      </c>
      <c r="C206" t="s">
        <v>3831</v>
      </c>
      <c r="D206" t="s">
        <v>1057</v>
      </c>
    </row>
    <row r="208" spans="1:6" x14ac:dyDescent="0.3">
      <c r="A208" t="s">
        <v>3832</v>
      </c>
    </row>
    <row r="209" spans="1:4" x14ac:dyDescent="0.3">
      <c r="A209" t="s">
        <v>3690</v>
      </c>
    </row>
    <row r="211" spans="1:4" x14ac:dyDescent="0.3">
      <c r="A211" t="s">
        <v>3758</v>
      </c>
      <c r="B211" t="s">
        <v>3759</v>
      </c>
      <c r="C211" t="s">
        <v>3760</v>
      </c>
      <c r="D211" t="s">
        <v>3761</v>
      </c>
    </row>
    <row r="212" spans="1:4" x14ac:dyDescent="0.3">
      <c r="A212" t="s">
        <v>3833</v>
      </c>
      <c r="B212" t="s">
        <v>3834</v>
      </c>
      <c r="C212" t="s">
        <v>3835</v>
      </c>
      <c r="D212" t="s">
        <v>3836</v>
      </c>
    </row>
    <row r="213" spans="1:4" x14ac:dyDescent="0.3">
      <c r="A213" t="s">
        <v>3837</v>
      </c>
      <c r="B213" t="s">
        <v>3838</v>
      </c>
      <c r="C213" t="s">
        <v>3839</v>
      </c>
      <c r="D213" t="s">
        <v>3774</v>
      </c>
    </row>
    <row r="214" spans="1:4" x14ac:dyDescent="0.3">
      <c r="A214" t="s">
        <v>3840</v>
      </c>
      <c r="B214" t="s">
        <v>3841</v>
      </c>
      <c r="C214" t="s">
        <v>3842</v>
      </c>
      <c r="D214" t="s">
        <v>3791</v>
      </c>
    </row>
    <row r="215" spans="1:4" x14ac:dyDescent="0.3">
      <c r="A215" t="s">
        <v>3843</v>
      </c>
      <c r="B215" t="s">
        <v>3844</v>
      </c>
      <c r="C215" t="s">
        <v>3845</v>
      </c>
      <c r="D215" t="s">
        <v>3778</v>
      </c>
    </row>
    <row r="217" spans="1:4" x14ac:dyDescent="0.3">
      <c r="A217" t="s">
        <v>3538</v>
      </c>
    </row>
    <row r="218" spans="1:4" x14ac:dyDescent="0.3">
      <c r="A218" t="s">
        <v>5238</v>
      </c>
    </row>
    <row r="219" spans="1:4" x14ac:dyDescent="0.3">
      <c r="A219" t="s">
        <v>3538</v>
      </c>
    </row>
    <row r="221" spans="1:4" x14ac:dyDescent="0.3">
      <c r="A221" t="s">
        <v>3846</v>
      </c>
    </row>
    <row r="222" spans="1:4" x14ac:dyDescent="0.3">
      <c r="A222" t="s">
        <v>3847</v>
      </c>
    </row>
    <row r="224" spans="1:4" x14ac:dyDescent="0.3">
      <c r="A224" t="s">
        <v>3848</v>
      </c>
    </row>
    <row r="225" spans="1:6" x14ac:dyDescent="0.3">
      <c r="A225" t="s">
        <v>3690</v>
      </c>
    </row>
    <row r="226" spans="1:6" x14ac:dyDescent="0.3">
      <c r="A226" t="s">
        <v>3849</v>
      </c>
    </row>
    <row r="227" spans="1:6" x14ac:dyDescent="0.3">
      <c r="A227" t="s">
        <v>3850</v>
      </c>
    </row>
    <row r="228" spans="1:6" x14ac:dyDescent="0.3">
      <c r="A228" t="s">
        <v>3851</v>
      </c>
    </row>
    <row r="229" spans="1:6" x14ac:dyDescent="0.3">
      <c r="A229" t="s">
        <v>3852</v>
      </c>
    </row>
    <row r="230" spans="1:6" x14ac:dyDescent="0.3">
      <c r="A230" s="1"/>
    </row>
    <row r="231" spans="1:6" x14ac:dyDescent="0.3">
      <c r="A231" t="s">
        <v>3853</v>
      </c>
    </row>
    <row r="232" spans="1:6" x14ac:dyDescent="0.3">
      <c r="A232" t="s">
        <v>3690</v>
      </c>
    </row>
    <row r="233" spans="1:6" x14ac:dyDescent="0.3">
      <c r="A233" t="s">
        <v>3854</v>
      </c>
    </row>
    <row r="234" spans="1:6" x14ac:dyDescent="0.3">
      <c r="A234" t="s">
        <v>3855</v>
      </c>
    </row>
    <row r="235" spans="1:6" x14ac:dyDescent="0.3">
      <c r="A235" t="s">
        <v>3856</v>
      </c>
      <c r="F235" s="158"/>
    </row>
    <row r="236" spans="1:6" x14ac:dyDescent="0.3">
      <c r="A236" t="s">
        <v>3857</v>
      </c>
    </row>
    <row r="237" spans="1:6" x14ac:dyDescent="0.3">
      <c r="A237" s="1"/>
    </row>
    <row r="238" spans="1:6" x14ac:dyDescent="0.3">
      <c r="A238" s="1" t="s">
        <v>3858</v>
      </c>
    </row>
    <row r="239" spans="1:6" x14ac:dyDescent="0.3">
      <c r="A239" s="1" t="s">
        <v>3690</v>
      </c>
    </row>
    <row r="240" spans="1:6" x14ac:dyDescent="0.3">
      <c r="A240" t="s">
        <v>3859</v>
      </c>
    </row>
    <row r="241" spans="1:5" x14ac:dyDescent="0.3">
      <c r="A241" s="158" t="s">
        <v>3860</v>
      </c>
      <c r="B241" s="158"/>
      <c r="C241" s="158"/>
      <c r="D241" s="158"/>
      <c r="E241" s="158"/>
    </row>
    <row r="242" spans="1:5" x14ac:dyDescent="0.3">
      <c r="A242" t="s">
        <v>3861</v>
      </c>
    </row>
    <row r="243" spans="1:5" x14ac:dyDescent="0.3">
      <c r="A243" t="s">
        <v>3862</v>
      </c>
    </row>
    <row r="245" spans="1:5" x14ac:dyDescent="0.3">
      <c r="A245" t="s">
        <v>3863</v>
      </c>
    </row>
    <row r="246" spans="1:5" x14ac:dyDescent="0.3">
      <c r="A246" t="s">
        <v>3690</v>
      </c>
    </row>
    <row r="247" spans="1:5" x14ac:dyDescent="0.3">
      <c r="A247" t="s">
        <v>3864</v>
      </c>
    </row>
    <row r="248" spans="1:5" x14ac:dyDescent="0.3">
      <c r="A248" t="s">
        <v>3865</v>
      </c>
    </row>
    <row r="249" spans="1:5" x14ac:dyDescent="0.3">
      <c r="A249" t="s">
        <v>3866</v>
      </c>
    </row>
    <row r="250" spans="1:5" x14ac:dyDescent="0.3">
      <c r="A250" t="s">
        <v>3867</v>
      </c>
    </row>
    <row r="252" spans="1:5" x14ac:dyDescent="0.3">
      <c r="A252" t="s">
        <v>3868</v>
      </c>
    </row>
    <row r="253" spans="1:5" x14ac:dyDescent="0.3">
      <c r="A253" t="s">
        <v>3690</v>
      </c>
    </row>
    <row r="254" spans="1:5" x14ac:dyDescent="0.3">
      <c r="A254" t="s">
        <v>3869</v>
      </c>
    </row>
    <row r="255" spans="1:5" x14ac:dyDescent="0.3">
      <c r="A255" t="s">
        <v>3870</v>
      </c>
    </row>
    <row r="256" spans="1:5" x14ac:dyDescent="0.3">
      <c r="A256" t="s">
        <v>3871</v>
      </c>
    </row>
    <row r="257" spans="1:5" x14ac:dyDescent="0.3">
      <c r="A257" t="s">
        <v>3872</v>
      </c>
    </row>
    <row r="259" spans="1:5" x14ac:dyDescent="0.3">
      <c r="A259" t="s">
        <v>3873</v>
      </c>
    </row>
    <row r="260" spans="1:5" x14ac:dyDescent="0.3">
      <c r="A260" t="s">
        <v>3690</v>
      </c>
    </row>
    <row r="261" spans="1:5" x14ac:dyDescent="0.3">
      <c r="A261" t="s">
        <v>3874</v>
      </c>
    </row>
    <row r="262" spans="1:5" x14ac:dyDescent="0.3">
      <c r="A262" t="s">
        <v>3875</v>
      </c>
    </row>
    <row r="263" spans="1:5" x14ac:dyDescent="0.3">
      <c r="A263" t="s">
        <v>3876</v>
      </c>
    </row>
    <row r="264" spans="1:5" x14ac:dyDescent="0.3">
      <c r="A264" s="1" t="s">
        <v>3877</v>
      </c>
    </row>
    <row r="265" spans="1:5" x14ac:dyDescent="0.3">
      <c r="A265" s="159"/>
      <c r="B265" s="159"/>
      <c r="C265" s="159"/>
      <c r="D265" s="159"/>
      <c r="E265" s="159"/>
    </row>
    <row r="266" spans="1:5" x14ac:dyDescent="0.3">
      <c r="A266" t="s">
        <v>3878</v>
      </c>
    </row>
    <row r="267" spans="1:5" x14ac:dyDescent="0.3">
      <c r="A267" t="s">
        <v>3690</v>
      </c>
    </row>
    <row r="268" spans="1:5" x14ac:dyDescent="0.3">
      <c r="A268" t="s">
        <v>3879</v>
      </c>
    </row>
    <row r="269" spans="1:5" x14ac:dyDescent="0.3">
      <c r="A269" t="s">
        <v>3880</v>
      </c>
    </row>
    <row r="270" spans="1:5" x14ac:dyDescent="0.3">
      <c r="A270" s="1" t="s">
        <v>3881</v>
      </c>
    </row>
    <row r="271" spans="1:5" x14ac:dyDescent="0.3">
      <c r="A271" t="s">
        <v>3882</v>
      </c>
    </row>
    <row r="273" spans="1:6" x14ac:dyDescent="0.3">
      <c r="A273" t="s">
        <v>3883</v>
      </c>
      <c r="F273" s="160"/>
    </row>
    <row r="274" spans="1:6" x14ac:dyDescent="0.3">
      <c r="A274" t="s">
        <v>3690</v>
      </c>
    </row>
    <row r="275" spans="1:6" x14ac:dyDescent="0.3">
      <c r="A275" s="1" t="s">
        <v>3884</v>
      </c>
    </row>
    <row r="276" spans="1:6" x14ac:dyDescent="0.3">
      <c r="A276" s="1" t="s">
        <v>3885</v>
      </c>
    </row>
    <row r="277" spans="1:6" x14ac:dyDescent="0.3">
      <c r="A277" s="1" t="s">
        <v>3886</v>
      </c>
    </row>
    <row r="279" spans="1:6" x14ac:dyDescent="0.3">
      <c r="A279" s="160" t="s">
        <v>3887</v>
      </c>
      <c r="B279" s="160"/>
      <c r="C279" s="160"/>
      <c r="D279" s="160"/>
      <c r="E279" s="160"/>
    </row>
    <row r="280" spans="1:6" x14ac:dyDescent="0.3">
      <c r="A280" t="s">
        <v>3690</v>
      </c>
    </row>
    <row r="281" spans="1:6" x14ac:dyDescent="0.3">
      <c r="A281" t="s">
        <v>3888</v>
      </c>
    </row>
    <row r="282" spans="1:6" x14ac:dyDescent="0.3">
      <c r="A282" t="s">
        <v>3889</v>
      </c>
    </row>
    <row r="283" spans="1:6" x14ac:dyDescent="0.3">
      <c r="A283" t="s">
        <v>3890</v>
      </c>
    </row>
    <row r="285" spans="1:6" x14ac:dyDescent="0.3">
      <c r="A285" t="s">
        <v>3891</v>
      </c>
    </row>
    <row r="286" spans="1:6" x14ac:dyDescent="0.3">
      <c r="A286" t="s">
        <v>3690</v>
      </c>
    </row>
    <row r="287" spans="1:6" x14ac:dyDescent="0.3">
      <c r="A287" t="s">
        <v>3892</v>
      </c>
    </row>
    <row r="288" spans="1:6" x14ac:dyDescent="0.3">
      <c r="A288" t="s">
        <v>3893</v>
      </c>
    </row>
    <row r="289" spans="1:6" x14ac:dyDescent="0.3">
      <c r="A289" t="s">
        <v>3894</v>
      </c>
    </row>
    <row r="292" spans="1:6" x14ac:dyDescent="0.3">
      <c r="A292" t="s">
        <v>3538</v>
      </c>
    </row>
    <row r="296" spans="1:6" x14ac:dyDescent="0.3">
      <c r="A296" s="1"/>
    </row>
    <row r="297" spans="1:6" x14ac:dyDescent="0.3">
      <c r="A297" s="159"/>
      <c r="B297" s="159"/>
      <c r="C297" s="159"/>
    </row>
    <row r="299" spans="1:6" x14ac:dyDescent="0.3">
      <c r="A299" s="63"/>
    </row>
    <row r="300" spans="1:6" x14ac:dyDescent="0.3">
      <c r="A300" s="63"/>
    </row>
    <row r="301" spans="1:6" x14ac:dyDescent="0.3">
      <c r="A301" s="63"/>
      <c r="F301" s="160"/>
    </row>
    <row r="303" spans="1:6" x14ac:dyDescent="0.3">
      <c r="A303" s="1"/>
    </row>
    <row r="304" spans="1:6" x14ac:dyDescent="0.3">
      <c r="A304" s="1"/>
    </row>
    <row r="305" spans="1:5" x14ac:dyDescent="0.3">
      <c r="A305" s="1"/>
    </row>
    <row r="307" spans="1:5" x14ac:dyDescent="0.3">
      <c r="A307" s="160"/>
      <c r="B307" s="160"/>
      <c r="C307" s="160"/>
      <c r="D307" s="160"/>
      <c r="E307" s="160"/>
    </row>
    <row r="322" spans="1:6" x14ac:dyDescent="0.3">
      <c r="F322" s="160"/>
    </row>
    <row r="324" spans="1:6" x14ac:dyDescent="0.3">
      <c r="A324" s="1"/>
    </row>
    <row r="325" spans="1:6" x14ac:dyDescent="0.3">
      <c r="A325" s="1"/>
    </row>
    <row r="326" spans="1:6" x14ac:dyDescent="0.3">
      <c r="A326" s="1"/>
    </row>
    <row r="328" spans="1:6" x14ac:dyDescent="0.3">
      <c r="A328" s="160"/>
      <c r="B328" s="160"/>
      <c r="C328" s="160"/>
      <c r="D328" s="160"/>
      <c r="E328" s="160"/>
    </row>
    <row r="332" spans="1:6" x14ac:dyDescent="0.3">
      <c r="A332" t="s">
        <v>5239</v>
      </c>
    </row>
    <row r="333" spans="1:6" x14ac:dyDescent="0.3">
      <c r="A333" t="s">
        <v>3538</v>
      </c>
    </row>
    <row r="335" spans="1:6" x14ac:dyDescent="0.3">
      <c r="A335" t="s">
        <v>3895</v>
      </c>
      <c r="B335" t="s">
        <v>1800</v>
      </c>
    </row>
    <row r="336" spans="1:6" x14ac:dyDescent="0.3">
      <c r="A336" t="s">
        <v>3896</v>
      </c>
      <c r="B336" t="s">
        <v>3897</v>
      </c>
    </row>
    <row r="337" spans="1:6" x14ac:dyDescent="0.3">
      <c r="A337" t="s">
        <v>1236</v>
      </c>
      <c r="B337">
        <v>2</v>
      </c>
    </row>
    <row r="338" spans="1:6" x14ac:dyDescent="0.3">
      <c r="A338" t="s">
        <v>3898</v>
      </c>
      <c r="B338">
        <v>46198</v>
      </c>
    </row>
    <row r="339" spans="1:6" x14ac:dyDescent="0.3">
      <c r="A339" t="s">
        <v>2266</v>
      </c>
      <c r="B339" t="s">
        <v>3899</v>
      </c>
    </row>
    <row r="340" spans="1:6" x14ac:dyDescent="0.3">
      <c r="A340" t="s">
        <v>3900</v>
      </c>
      <c r="B340" t="s">
        <v>3901</v>
      </c>
      <c r="F340" s="124"/>
    </row>
    <row r="341" spans="1:6" x14ac:dyDescent="0.3">
      <c r="A341" t="s">
        <v>3902</v>
      </c>
      <c r="B341">
        <v>17</v>
      </c>
    </row>
    <row r="342" spans="1:6" x14ac:dyDescent="0.3">
      <c r="A342" s="1" t="s">
        <v>3903</v>
      </c>
      <c r="B342" t="s">
        <v>3904</v>
      </c>
    </row>
    <row r="343" spans="1:6" x14ac:dyDescent="0.3">
      <c r="A343" s="1"/>
    </row>
    <row r="344" spans="1:6" x14ac:dyDescent="0.3">
      <c r="A344" s="1" t="s">
        <v>3905</v>
      </c>
    </row>
    <row r="345" spans="1:6" x14ac:dyDescent="0.3">
      <c r="A345" t="s">
        <v>3690</v>
      </c>
    </row>
    <row r="346" spans="1:6" x14ac:dyDescent="0.3">
      <c r="A346" s="124" t="s">
        <v>3906</v>
      </c>
      <c r="B346" s="124"/>
      <c r="C346" s="124"/>
      <c r="D346" s="124"/>
      <c r="E346" s="124"/>
    </row>
    <row r="347" spans="1:6" x14ac:dyDescent="0.3">
      <c r="A347" t="s">
        <v>3907</v>
      </c>
    </row>
    <row r="348" spans="1:6" x14ac:dyDescent="0.3">
      <c r="A348" t="s">
        <v>3908</v>
      </c>
    </row>
    <row r="349" spans="1:6" x14ac:dyDescent="0.3">
      <c r="A349" t="s">
        <v>3909</v>
      </c>
    </row>
    <row r="350" spans="1:6" x14ac:dyDescent="0.3">
      <c r="A350" t="s">
        <v>3910</v>
      </c>
    </row>
    <row r="351" spans="1:6" x14ac:dyDescent="0.3">
      <c r="A351" t="s">
        <v>3911</v>
      </c>
    </row>
    <row r="352" spans="1:6" x14ac:dyDescent="0.3">
      <c r="A352" t="s">
        <v>3912</v>
      </c>
    </row>
    <row r="353" spans="1:6" x14ac:dyDescent="0.3">
      <c r="A353" t="s">
        <v>3913</v>
      </c>
    </row>
    <row r="356" spans="1:6" x14ac:dyDescent="0.3">
      <c r="A356" t="s">
        <v>3538</v>
      </c>
    </row>
    <row r="357" spans="1:6" x14ac:dyDescent="0.3">
      <c r="A357" t="s">
        <v>5240</v>
      </c>
    </row>
    <row r="358" spans="1:6" x14ac:dyDescent="0.3">
      <c r="A358" t="s">
        <v>3538</v>
      </c>
    </row>
    <row r="359" spans="1:6" x14ac:dyDescent="0.3">
      <c r="A359" s="1"/>
    </row>
    <row r="360" spans="1:6" x14ac:dyDescent="0.3">
      <c r="A360" t="s">
        <v>4886</v>
      </c>
    </row>
    <row r="361" spans="1:6" x14ac:dyDescent="0.3">
      <c r="F361" s="124"/>
    </row>
    <row r="362" spans="1:6" x14ac:dyDescent="0.3">
      <c r="A362" s="1" t="s">
        <v>3634</v>
      </c>
    </row>
    <row r="363" spans="1:6" x14ac:dyDescent="0.3">
      <c r="A363" s="1" t="s">
        <v>4887</v>
      </c>
    </row>
    <row r="364" spans="1:6" x14ac:dyDescent="0.3">
      <c r="A364" s="1" t="s">
        <v>3634</v>
      </c>
    </row>
    <row r="366" spans="1:6" x14ac:dyDescent="0.3">
      <c r="A366" t="s">
        <v>4888</v>
      </c>
    </row>
    <row r="367" spans="1:6" x14ac:dyDescent="0.3">
      <c r="A367" s="124"/>
      <c r="B367" s="124"/>
      <c r="C367" s="124"/>
      <c r="D367" s="124"/>
      <c r="E367" s="124"/>
    </row>
    <row r="368" spans="1:6" x14ac:dyDescent="0.3">
      <c r="A368" t="s">
        <v>4889</v>
      </c>
    </row>
    <row r="369" spans="1:6" x14ac:dyDescent="0.3">
      <c r="A369" t="s">
        <v>4890</v>
      </c>
    </row>
    <row r="370" spans="1:6" x14ac:dyDescent="0.3">
      <c r="A370" t="s">
        <v>4891</v>
      </c>
    </row>
    <row r="371" spans="1:6" x14ac:dyDescent="0.3">
      <c r="A371" t="s">
        <v>4892</v>
      </c>
    </row>
    <row r="372" spans="1:6" x14ac:dyDescent="0.3">
      <c r="A372" t="s">
        <v>4893</v>
      </c>
    </row>
    <row r="373" spans="1:6" x14ac:dyDescent="0.3">
      <c r="A373" t="s">
        <v>4894</v>
      </c>
    </row>
    <row r="374" spans="1:6" x14ac:dyDescent="0.3">
      <c r="A374" t="s">
        <v>4895</v>
      </c>
    </row>
    <row r="375" spans="1:6" x14ac:dyDescent="0.3">
      <c r="A375" t="s">
        <v>4896</v>
      </c>
    </row>
    <row r="376" spans="1:6" x14ac:dyDescent="0.3">
      <c r="A376" t="s">
        <v>4897</v>
      </c>
    </row>
    <row r="377" spans="1:6" x14ac:dyDescent="0.3">
      <c r="A377" t="s">
        <v>4898</v>
      </c>
    </row>
    <row r="378" spans="1:6" x14ac:dyDescent="0.3">
      <c r="A378" t="s">
        <v>4899</v>
      </c>
    </row>
    <row r="379" spans="1:6" x14ac:dyDescent="0.3">
      <c r="A379" t="s">
        <v>4900</v>
      </c>
    </row>
    <row r="380" spans="1:6" x14ac:dyDescent="0.3">
      <c r="A380" s="1" t="s">
        <v>4901</v>
      </c>
    </row>
    <row r="381" spans="1:6" x14ac:dyDescent="0.3">
      <c r="A381" t="s">
        <v>4902</v>
      </c>
    </row>
    <row r="382" spans="1:6" x14ac:dyDescent="0.3">
      <c r="A382" t="s">
        <v>4903</v>
      </c>
    </row>
    <row r="383" spans="1:6" x14ac:dyDescent="0.3">
      <c r="A383" t="s">
        <v>4904</v>
      </c>
    </row>
    <row r="384" spans="1:6" x14ac:dyDescent="0.3">
      <c r="A384" t="s">
        <v>4905</v>
      </c>
      <c r="F384" s="124"/>
    </row>
    <row r="385" spans="1:5" x14ac:dyDescent="0.3">
      <c r="A385" t="s">
        <v>4906</v>
      </c>
    </row>
    <row r="386" spans="1:5" x14ac:dyDescent="0.3">
      <c r="A386" s="1" t="s">
        <v>4907</v>
      </c>
    </row>
    <row r="387" spans="1:5" x14ac:dyDescent="0.3">
      <c r="A387" s="1" t="s">
        <v>3634</v>
      </c>
    </row>
    <row r="388" spans="1:5" x14ac:dyDescent="0.3">
      <c r="A388" s="1" t="s">
        <v>4908</v>
      </c>
    </row>
    <row r="389" spans="1:5" x14ac:dyDescent="0.3">
      <c r="A389" t="s">
        <v>3634</v>
      </c>
    </row>
    <row r="390" spans="1:5" x14ac:dyDescent="0.3">
      <c r="A390" s="124"/>
      <c r="B390" s="124"/>
      <c r="C390" s="124"/>
      <c r="D390" s="124"/>
      <c r="E390" s="124"/>
    </row>
    <row r="391" spans="1:5" x14ac:dyDescent="0.3">
      <c r="A391" t="s">
        <v>4909</v>
      </c>
    </row>
    <row r="393" spans="1:5" x14ac:dyDescent="0.3">
      <c r="A393" t="s">
        <v>4910</v>
      </c>
    </row>
    <row r="394" spans="1:5" x14ac:dyDescent="0.3">
      <c r="A394" t="s">
        <v>4911</v>
      </c>
    </row>
    <row r="395" spans="1:5" x14ac:dyDescent="0.3">
      <c r="A395" t="s">
        <v>4912</v>
      </c>
    </row>
    <row r="396" spans="1:5" x14ac:dyDescent="0.3">
      <c r="A396" t="s">
        <v>4913</v>
      </c>
    </row>
    <row r="397" spans="1:5" x14ac:dyDescent="0.3">
      <c r="A397" t="s">
        <v>4914</v>
      </c>
    </row>
    <row r="399" spans="1:5" x14ac:dyDescent="0.3">
      <c r="A399" t="s">
        <v>4915</v>
      </c>
    </row>
    <row r="400" spans="1:5" x14ac:dyDescent="0.3">
      <c r="A400" t="s">
        <v>4916</v>
      </c>
    </row>
    <row r="401" spans="1:6" x14ac:dyDescent="0.3">
      <c r="A401" t="s">
        <v>4917</v>
      </c>
    </row>
    <row r="402" spans="1:6" x14ac:dyDescent="0.3">
      <c r="A402" t="s">
        <v>4918</v>
      </c>
    </row>
    <row r="403" spans="1:6" x14ac:dyDescent="0.3">
      <c r="A403" s="1" t="s">
        <v>4919</v>
      </c>
    </row>
    <row r="405" spans="1:6" x14ac:dyDescent="0.3">
      <c r="A405" t="s">
        <v>4920</v>
      </c>
    </row>
    <row r="406" spans="1:6" x14ac:dyDescent="0.3">
      <c r="A406" t="s">
        <v>1918</v>
      </c>
      <c r="B406" t="s">
        <v>4921</v>
      </c>
      <c r="C406" t="s">
        <v>4922</v>
      </c>
      <c r="D406" t="s">
        <v>4923</v>
      </c>
    </row>
    <row r="407" spans="1:6" x14ac:dyDescent="0.3">
      <c r="A407" t="s">
        <v>2542</v>
      </c>
      <c r="B407" t="s">
        <v>4924</v>
      </c>
      <c r="C407" t="s">
        <v>4925</v>
      </c>
      <c r="D407" t="s">
        <v>4926</v>
      </c>
    </row>
    <row r="408" spans="1:6" x14ac:dyDescent="0.3">
      <c r="A408" t="s">
        <v>2764</v>
      </c>
      <c r="B408" t="s">
        <v>4927</v>
      </c>
      <c r="C408" t="s">
        <v>4928</v>
      </c>
      <c r="D408" t="s">
        <v>4929</v>
      </c>
    </row>
    <row r="409" spans="1:6" x14ac:dyDescent="0.3">
      <c r="A409" t="s">
        <v>2402</v>
      </c>
      <c r="B409" t="s">
        <v>4930</v>
      </c>
      <c r="C409" t="s">
        <v>4931</v>
      </c>
      <c r="D409" t="s">
        <v>4932</v>
      </c>
    </row>
    <row r="410" spans="1:6" x14ac:dyDescent="0.3">
      <c r="A410" t="s">
        <v>2696</v>
      </c>
      <c r="B410" t="s">
        <v>4933</v>
      </c>
      <c r="C410" t="s">
        <v>4934</v>
      </c>
      <c r="D410" t="s">
        <v>4935</v>
      </c>
      <c r="F410" s="124"/>
    </row>
    <row r="411" spans="1:6" x14ac:dyDescent="0.3">
      <c r="A411" t="s">
        <v>2697</v>
      </c>
      <c r="B411" t="s">
        <v>4936</v>
      </c>
      <c r="C411" t="s">
        <v>4937</v>
      </c>
      <c r="D411" t="s">
        <v>4938</v>
      </c>
    </row>
    <row r="412" spans="1:6" x14ac:dyDescent="0.3">
      <c r="A412" s="1" t="s">
        <v>2267</v>
      </c>
      <c r="B412" t="s">
        <v>4939</v>
      </c>
      <c r="C412" t="s">
        <v>4940</v>
      </c>
      <c r="D412" t="s">
        <v>4941</v>
      </c>
    </row>
    <row r="413" spans="1:6" x14ac:dyDescent="0.3">
      <c r="A413" s="1" t="s">
        <v>1926</v>
      </c>
      <c r="B413" t="s">
        <v>4942</v>
      </c>
      <c r="C413" t="s">
        <v>4943</v>
      </c>
      <c r="D413" t="s">
        <v>4944</v>
      </c>
    </row>
    <row r="414" spans="1:6" x14ac:dyDescent="0.3">
      <c r="A414" s="1" t="s">
        <v>1923</v>
      </c>
      <c r="B414" t="s">
        <v>4945</v>
      </c>
      <c r="C414" t="s">
        <v>4946</v>
      </c>
      <c r="D414" t="s">
        <v>4947</v>
      </c>
    </row>
    <row r="415" spans="1:6" x14ac:dyDescent="0.3">
      <c r="A415" t="s">
        <v>4948</v>
      </c>
      <c r="B415" t="s">
        <v>4949</v>
      </c>
      <c r="C415" t="s">
        <v>4950</v>
      </c>
      <c r="D415" t="s">
        <v>4951</v>
      </c>
    </row>
    <row r="416" spans="1:6" x14ac:dyDescent="0.3">
      <c r="A416" s="124" t="s">
        <v>4196</v>
      </c>
      <c r="B416" s="124" t="s">
        <v>4952</v>
      </c>
      <c r="C416" s="124" t="s">
        <v>4953</v>
      </c>
      <c r="D416" s="124" t="s">
        <v>4954</v>
      </c>
      <c r="E416" s="124"/>
    </row>
    <row r="417" spans="1:6" x14ac:dyDescent="0.3">
      <c r="A417" t="s">
        <v>4955</v>
      </c>
      <c r="B417" t="s">
        <v>4956</v>
      </c>
      <c r="C417" t="s">
        <v>4957</v>
      </c>
      <c r="D417" t="s">
        <v>4958</v>
      </c>
    </row>
    <row r="418" spans="1:6" x14ac:dyDescent="0.3">
      <c r="A418" t="s">
        <v>4959</v>
      </c>
      <c r="B418" t="s">
        <v>4960</v>
      </c>
      <c r="C418" t="s">
        <v>4961</v>
      </c>
      <c r="D418" t="s">
        <v>4962</v>
      </c>
    </row>
    <row r="421" spans="1:6" x14ac:dyDescent="0.3">
      <c r="A421" t="s">
        <v>3634</v>
      </c>
    </row>
    <row r="422" spans="1:6" x14ac:dyDescent="0.3">
      <c r="A422" t="s">
        <v>4963</v>
      </c>
    </row>
    <row r="423" spans="1:6" x14ac:dyDescent="0.3">
      <c r="A423" t="s">
        <v>3634</v>
      </c>
    </row>
    <row r="425" spans="1:6" x14ac:dyDescent="0.3">
      <c r="A425" t="s">
        <v>4964</v>
      </c>
    </row>
    <row r="426" spans="1:6" x14ac:dyDescent="0.3">
      <c r="F426" s="61"/>
    </row>
    <row r="427" spans="1:6" x14ac:dyDescent="0.3">
      <c r="A427" t="s">
        <v>4965</v>
      </c>
    </row>
    <row r="428" spans="1:6" x14ac:dyDescent="0.3">
      <c r="A428" s="1" t="s">
        <v>4966</v>
      </c>
    </row>
    <row r="429" spans="1:6" x14ac:dyDescent="0.3">
      <c r="A429" s="1" t="s">
        <v>4967</v>
      </c>
    </row>
    <row r="430" spans="1:6" x14ac:dyDescent="0.3">
      <c r="A430" s="1" t="s">
        <v>4968</v>
      </c>
    </row>
    <row r="431" spans="1:6" x14ac:dyDescent="0.3">
      <c r="A431" t="s">
        <v>4969</v>
      </c>
    </row>
    <row r="432" spans="1:6" x14ac:dyDescent="0.3">
      <c r="A432" s="61"/>
      <c r="B432" s="61"/>
      <c r="C432" s="61"/>
      <c r="D432" s="61"/>
      <c r="E432" s="61"/>
    </row>
    <row r="433" spans="1:6" x14ac:dyDescent="0.3">
      <c r="A433" t="s">
        <v>4970</v>
      </c>
    </row>
    <row r="434" spans="1:6" x14ac:dyDescent="0.3">
      <c r="A434" t="s">
        <v>4971</v>
      </c>
    </row>
    <row r="435" spans="1:6" x14ac:dyDescent="0.3">
      <c r="A435" t="s">
        <v>4972</v>
      </c>
    </row>
    <row r="436" spans="1:6" x14ac:dyDescent="0.3">
      <c r="A436" t="s">
        <v>4973</v>
      </c>
    </row>
    <row r="437" spans="1:6" x14ac:dyDescent="0.3">
      <c r="A437" t="s">
        <v>4974</v>
      </c>
    </row>
    <row r="439" spans="1:6" x14ac:dyDescent="0.3">
      <c r="A439" t="s">
        <v>4975</v>
      </c>
    </row>
    <row r="440" spans="1:6" x14ac:dyDescent="0.3">
      <c r="A440" t="s">
        <v>4976</v>
      </c>
    </row>
    <row r="441" spans="1:6" x14ac:dyDescent="0.3">
      <c r="A441" t="s">
        <v>4977</v>
      </c>
      <c r="F441" s="61"/>
    </row>
    <row r="442" spans="1:6" x14ac:dyDescent="0.3">
      <c r="A442" t="s">
        <v>4978</v>
      </c>
    </row>
    <row r="443" spans="1:6" x14ac:dyDescent="0.3">
      <c r="A443" s="1" t="s">
        <v>4979</v>
      </c>
    </row>
    <row r="444" spans="1:6" x14ac:dyDescent="0.3">
      <c r="A444" s="1" t="s">
        <v>4980</v>
      </c>
    </row>
    <row r="445" spans="1:6" x14ac:dyDescent="0.3">
      <c r="A445" s="1" t="s">
        <v>4981</v>
      </c>
    </row>
    <row r="447" spans="1:6" x14ac:dyDescent="0.3">
      <c r="A447" s="61" t="s">
        <v>4982</v>
      </c>
      <c r="B447" s="61"/>
      <c r="C447" s="61"/>
      <c r="D447" s="61"/>
      <c r="E447" s="61"/>
    </row>
    <row r="448" spans="1:6" x14ac:dyDescent="0.3">
      <c r="A448" t="s">
        <v>4983</v>
      </c>
    </row>
    <row r="449" spans="1:1" x14ac:dyDescent="0.3">
      <c r="A449" t="s">
        <v>4984</v>
      </c>
    </row>
    <row r="450" spans="1:1" x14ac:dyDescent="0.3">
      <c r="A450" t="s">
        <v>4985</v>
      </c>
    </row>
    <row r="451" spans="1:1" x14ac:dyDescent="0.3">
      <c r="A451" t="s">
        <v>4986</v>
      </c>
    </row>
    <row r="453" spans="1:1" x14ac:dyDescent="0.3">
      <c r="A453" t="s">
        <v>3634</v>
      </c>
    </row>
    <row r="454" spans="1:1" x14ac:dyDescent="0.3">
      <c r="A454" t="s">
        <v>4987</v>
      </c>
    </row>
    <row r="455" spans="1:1" x14ac:dyDescent="0.3">
      <c r="A455" t="s">
        <v>3634</v>
      </c>
    </row>
    <row r="457" spans="1:1" x14ac:dyDescent="0.3">
      <c r="A457" t="s">
        <v>4988</v>
      </c>
    </row>
    <row r="458" spans="1:1" x14ac:dyDescent="0.3">
      <c r="A458" t="s">
        <v>4989</v>
      </c>
    </row>
    <row r="459" spans="1:1" x14ac:dyDescent="0.3">
      <c r="A459" s="1" t="s">
        <v>4990</v>
      </c>
    </row>
    <row r="460" spans="1:1" x14ac:dyDescent="0.3">
      <c r="A460" s="1" t="s">
        <v>4991</v>
      </c>
    </row>
    <row r="461" spans="1:1" x14ac:dyDescent="0.3">
      <c r="A461" s="1"/>
    </row>
    <row r="462" spans="1:1" x14ac:dyDescent="0.3">
      <c r="A462" t="s">
        <v>4992</v>
      </c>
    </row>
    <row r="463" spans="1:1" x14ac:dyDescent="0.3">
      <c r="A463" s="1" t="s">
        <v>4993</v>
      </c>
    </row>
    <row r="464" spans="1:1" x14ac:dyDescent="0.3">
      <c r="A464" t="s">
        <v>4994</v>
      </c>
    </row>
    <row r="465" spans="1:4" x14ac:dyDescent="0.3">
      <c r="A465" t="s">
        <v>4995</v>
      </c>
    </row>
    <row r="466" spans="1:4" x14ac:dyDescent="0.3">
      <c r="A466" t="s">
        <v>4996</v>
      </c>
    </row>
    <row r="467" spans="1:4" x14ac:dyDescent="0.3">
      <c r="A467" t="s">
        <v>4997</v>
      </c>
    </row>
    <row r="469" spans="1:4" x14ac:dyDescent="0.3">
      <c r="A469" s="1" t="s">
        <v>4998</v>
      </c>
    </row>
    <row r="470" spans="1:4" x14ac:dyDescent="0.3">
      <c r="A470" s="159" t="s">
        <v>4999</v>
      </c>
      <c r="B470" s="159"/>
      <c r="C470" s="159"/>
    </row>
    <row r="471" spans="1:4" x14ac:dyDescent="0.3">
      <c r="A471" t="s">
        <v>5000</v>
      </c>
    </row>
    <row r="472" spans="1:4" x14ac:dyDescent="0.3">
      <c r="A472" t="s">
        <v>5001</v>
      </c>
    </row>
    <row r="474" spans="1:4" x14ac:dyDescent="0.3">
      <c r="A474" t="s">
        <v>3634</v>
      </c>
    </row>
    <row r="475" spans="1:4" x14ac:dyDescent="0.3">
      <c r="A475" s="1" t="s">
        <v>5002</v>
      </c>
    </row>
    <row r="476" spans="1:4" x14ac:dyDescent="0.3">
      <c r="A476" s="159" t="s">
        <v>3634</v>
      </c>
      <c r="B476" s="159"/>
      <c r="C476" s="159"/>
    </row>
    <row r="478" spans="1:4" x14ac:dyDescent="0.3">
      <c r="A478" t="s">
        <v>2059</v>
      </c>
      <c r="B478" t="s">
        <v>1236</v>
      </c>
      <c r="C478" t="s">
        <v>5003</v>
      </c>
      <c r="D478" t="s">
        <v>106</v>
      </c>
    </row>
    <row r="479" spans="1:4" x14ac:dyDescent="0.3">
      <c r="A479">
        <v>46201</v>
      </c>
      <c r="B479">
        <v>1.1000000000000001</v>
      </c>
      <c r="C479" t="s">
        <v>5004</v>
      </c>
      <c r="D479" t="s">
        <v>5005</v>
      </c>
    </row>
    <row r="480" spans="1:4" x14ac:dyDescent="0.3">
      <c r="A480">
        <v>46201</v>
      </c>
      <c r="B480">
        <v>1.1000000000000001</v>
      </c>
      <c r="C480" t="s">
        <v>5006</v>
      </c>
      <c r="D480" t="s">
        <v>5007</v>
      </c>
    </row>
    <row r="481" spans="1:4" x14ac:dyDescent="0.3">
      <c r="A481">
        <v>46201</v>
      </c>
      <c r="B481" s="57">
        <v>1.1000000000000001</v>
      </c>
      <c r="C481" t="s">
        <v>5008</v>
      </c>
      <c r="D481" t="s">
        <v>5009</v>
      </c>
    </row>
    <row r="482" spans="1:4" x14ac:dyDescent="0.3">
      <c r="A482">
        <v>46201</v>
      </c>
      <c r="B482" s="57">
        <v>1.1000000000000001</v>
      </c>
      <c r="C482" t="s">
        <v>5010</v>
      </c>
      <c r="D482" t="s">
        <v>5011</v>
      </c>
    </row>
    <row r="483" spans="1:4" x14ac:dyDescent="0.3">
      <c r="A483">
        <v>46201</v>
      </c>
      <c r="B483" s="57">
        <v>1.1000000000000001</v>
      </c>
      <c r="C483" t="s">
        <v>5012</v>
      </c>
      <c r="D483" t="s">
        <v>5013</v>
      </c>
    </row>
    <row r="484" spans="1:4" x14ac:dyDescent="0.3">
      <c r="A484">
        <v>46201</v>
      </c>
      <c r="B484" s="57">
        <v>1.1000000000000001</v>
      </c>
      <c r="C484" t="s">
        <v>5014</v>
      </c>
      <c r="D484" t="s">
        <v>5015</v>
      </c>
    </row>
    <row r="485" spans="1:4" x14ac:dyDescent="0.3">
      <c r="B485" s="57"/>
    </row>
    <row r="486" spans="1:4" x14ac:dyDescent="0.3">
      <c r="B486" s="57"/>
    </row>
    <row r="487" spans="1:4" x14ac:dyDescent="0.3">
      <c r="A487" t="s">
        <v>3538</v>
      </c>
      <c r="B487" s="57"/>
    </row>
    <row r="488" spans="1:4" x14ac:dyDescent="0.3">
      <c r="A488" t="s">
        <v>3914</v>
      </c>
      <c r="B488" s="57"/>
    </row>
    <row r="489" spans="1:4" x14ac:dyDescent="0.3">
      <c r="A489" t="s">
        <v>3538</v>
      </c>
      <c r="B489" s="57"/>
    </row>
    <row r="490" spans="1:4" x14ac:dyDescent="0.3">
      <c r="B490" s="5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2BB2C-0556-4AA2-B631-67679668D2FF}">
  <sheetPr>
    <tabColor rgb="FF156082"/>
  </sheetPr>
  <dimension ref="A1:F309"/>
  <sheetViews>
    <sheetView topLeftCell="A175" workbookViewId="0">
      <selection sqref="A1:F1"/>
    </sheetView>
  </sheetViews>
  <sheetFormatPr defaultRowHeight="14.4" x14ac:dyDescent="0.3"/>
  <cols>
    <col min="1" max="1" width="22.21875" customWidth="1"/>
    <col min="2" max="2" width="18.5546875" customWidth="1"/>
    <col min="3" max="4" width="14.77734375" customWidth="1"/>
    <col min="5" max="6" width="27.77734375" customWidth="1"/>
  </cols>
  <sheetData>
    <row r="1" spans="1:6" ht="34.950000000000003" customHeight="1" x14ac:dyDescent="0.45">
      <c r="A1" s="362" t="s">
        <v>5016</v>
      </c>
      <c r="B1" s="362"/>
      <c r="C1" s="362"/>
      <c r="D1" s="362"/>
      <c r="E1" s="362"/>
      <c r="F1" s="362"/>
    </row>
    <row r="3" spans="1:6" ht="18" x14ac:dyDescent="0.35">
      <c r="A3" s="187" t="s">
        <v>5017</v>
      </c>
    </row>
    <row r="4" spans="1:6" x14ac:dyDescent="0.3">
      <c r="A4" t="s">
        <v>5018</v>
      </c>
    </row>
    <row r="6" spans="1:6" x14ac:dyDescent="0.3">
      <c r="A6" t="s">
        <v>5019</v>
      </c>
    </row>
    <row r="8" spans="1:6" x14ac:dyDescent="0.3">
      <c r="A8" s="1" t="s">
        <v>5020</v>
      </c>
    </row>
    <row r="9" spans="1:6" x14ac:dyDescent="0.3">
      <c r="A9" t="s">
        <v>5021</v>
      </c>
    </row>
    <row r="10" spans="1:6" x14ac:dyDescent="0.3">
      <c r="A10" t="s">
        <v>5022</v>
      </c>
    </row>
    <row r="11" spans="1:6" x14ac:dyDescent="0.3">
      <c r="A11" t="s">
        <v>5023</v>
      </c>
    </row>
    <row r="12" spans="1:6" x14ac:dyDescent="0.3">
      <c r="A12" t="s">
        <v>5024</v>
      </c>
    </row>
    <row r="13" spans="1:6" x14ac:dyDescent="0.3">
      <c r="A13" s="1"/>
    </row>
    <row r="14" spans="1:6" x14ac:dyDescent="0.3">
      <c r="A14" t="s">
        <v>5025</v>
      </c>
    </row>
    <row r="15" spans="1:6" x14ac:dyDescent="0.3">
      <c r="A15" t="s">
        <v>5026</v>
      </c>
    </row>
    <row r="16" spans="1:6" x14ac:dyDescent="0.3">
      <c r="A16" t="s">
        <v>5027</v>
      </c>
    </row>
    <row r="17" spans="1:1" x14ac:dyDescent="0.3">
      <c r="A17" t="s">
        <v>5028</v>
      </c>
    </row>
    <row r="18" spans="1:1" x14ac:dyDescent="0.3">
      <c r="A18" s="1"/>
    </row>
    <row r="19" spans="1:1" x14ac:dyDescent="0.3">
      <c r="A19" t="s">
        <v>5029</v>
      </c>
    </row>
    <row r="20" spans="1:1" x14ac:dyDescent="0.3">
      <c r="A20" t="s">
        <v>5030</v>
      </c>
    </row>
    <row r="21" spans="1:1" x14ac:dyDescent="0.3">
      <c r="A21" t="s">
        <v>5031</v>
      </c>
    </row>
    <row r="23" spans="1:1" x14ac:dyDescent="0.3">
      <c r="A23" t="s">
        <v>5018</v>
      </c>
    </row>
    <row r="25" spans="1:1" ht="18" x14ac:dyDescent="0.35">
      <c r="A25" s="187" t="s">
        <v>5032</v>
      </c>
    </row>
    <row r="26" spans="1:1" x14ac:dyDescent="0.3">
      <c r="A26" t="s">
        <v>3538</v>
      </c>
    </row>
    <row r="28" spans="1:1" x14ac:dyDescent="0.3">
      <c r="A28" t="s">
        <v>5033</v>
      </c>
    </row>
    <row r="30" spans="1:1" x14ac:dyDescent="0.3">
      <c r="A30" s="1" t="s">
        <v>3614</v>
      </c>
    </row>
    <row r="32" spans="1:1" x14ac:dyDescent="0.3">
      <c r="A32" t="s">
        <v>3615</v>
      </c>
    </row>
    <row r="33" spans="1:1" x14ac:dyDescent="0.3">
      <c r="A33" t="s">
        <v>3616</v>
      </c>
    </row>
    <row r="34" spans="1:1" x14ac:dyDescent="0.3">
      <c r="A34" t="s">
        <v>5034</v>
      </c>
    </row>
    <row r="35" spans="1:1" x14ac:dyDescent="0.3">
      <c r="A35" t="s">
        <v>5035</v>
      </c>
    </row>
    <row r="36" spans="1:1" x14ac:dyDescent="0.3">
      <c r="A36" t="s">
        <v>3617</v>
      </c>
    </row>
    <row r="37" spans="1:1" x14ac:dyDescent="0.3">
      <c r="A37" t="s">
        <v>3618</v>
      </c>
    </row>
    <row r="38" spans="1:1" x14ac:dyDescent="0.3">
      <c r="A38" t="s">
        <v>3619</v>
      </c>
    </row>
    <row r="39" spans="1:1" x14ac:dyDescent="0.3">
      <c r="A39" t="s">
        <v>3620</v>
      </c>
    </row>
    <row r="40" spans="1:1" x14ac:dyDescent="0.3">
      <c r="A40" t="s">
        <v>3621</v>
      </c>
    </row>
    <row r="41" spans="1:1" x14ac:dyDescent="0.3">
      <c r="A41" t="s">
        <v>3622</v>
      </c>
    </row>
    <row r="42" spans="1:1" x14ac:dyDescent="0.3">
      <c r="A42" t="s">
        <v>5036</v>
      </c>
    </row>
    <row r="43" spans="1:1" x14ac:dyDescent="0.3">
      <c r="A43" t="s">
        <v>5037</v>
      </c>
    </row>
    <row r="44" spans="1:1" x14ac:dyDescent="0.3">
      <c r="A44" t="s">
        <v>5038</v>
      </c>
    </row>
    <row r="45" spans="1:1" x14ac:dyDescent="0.3">
      <c r="A45" t="s">
        <v>5039</v>
      </c>
    </row>
    <row r="46" spans="1:1" x14ac:dyDescent="0.3">
      <c r="A46" t="s">
        <v>5040</v>
      </c>
    </row>
    <row r="47" spans="1:1" x14ac:dyDescent="0.3">
      <c r="A47" t="s">
        <v>5041</v>
      </c>
    </row>
    <row r="48" spans="1:1" x14ac:dyDescent="0.3">
      <c r="A48" t="s">
        <v>5042</v>
      </c>
    </row>
    <row r="49" spans="1:1" x14ac:dyDescent="0.3">
      <c r="A49" t="s">
        <v>5043</v>
      </c>
    </row>
    <row r="50" spans="1:1" x14ac:dyDescent="0.3">
      <c r="A50" t="s">
        <v>5044</v>
      </c>
    </row>
    <row r="51" spans="1:1" x14ac:dyDescent="0.3">
      <c r="A51" t="s">
        <v>5045</v>
      </c>
    </row>
    <row r="52" spans="1:1" x14ac:dyDescent="0.3">
      <c r="A52" t="s">
        <v>3623</v>
      </c>
    </row>
    <row r="53" spans="1:1" x14ac:dyDescent="0.3">
      <c r="A53" t="s">
        <v>3624</v>
      </c>
    </row>
    <row r="54" spans="1:1" x14ac:dyDescent="0.3">
      <c r="A54" t="s">
        <v>3625</v>
      </c>
    </row>
    <row r="55" spans="1:1" x14ac:dyDescent="0.3">
      <c r="A55" t="s">
        <v>3626</v>
      </c>
    </row>
    <row r="56" spans="1:1" x14ac:dyDescent="0.3">
      <c r="A56" t="s">
        <v>3627</v>
      </c>
    </row>
    <row r="57" spans="1:1" x14ac:dyDescent="0.3">
      <c r="A57" t="s">
        <v>3628</v>
      </c>
    </row>
    <row r="58" spans="1:1" x14ac:dyDescent="0.3">
      <c r="A58" t="s">
        <v>3629</v>
      </c>
    </row>
    <row r="59" spans="1:1" x14ac:dyDescent="0.3">
      <c r="A59" t="s">
        <v>3630</v>
      </c>
    </row>
    <row r="60" spans="1:1" x14ac:dyDescent="0.3">
      <c r="A60" t="s">
        <v>5046</v>
      </c>
    </row>
    <row r="61" spans="1:1" x14ac:dyDescent="0.3">
      <c r="A61" t="s">
        <v>5047</v>
      </c>
    </row>
    <row r="62" spans="1:1" x14ac:dyDescent="0.3">
      <c r="A62" t="s">
        <v>5048</v>
      </c>
    </row>
    <row r="63" spans="1:1" x14ac:dyDescent="0.3">
      <c r="A63" t="s">
        <v>5049</v>
      </c>
    </row>
    <row r="64" spans="1:1" x14ac:dyDescent="0.3">
      <c r="A64" t="s">
        <v>5050</v>
      </c>
    </row>
    <row r="68" spans="1:5" ht="15.6" x14ac:dyDescent="0.3">
      <c r="A68" s="15" t="s">
        <v>3631</v>
      </c>
    </row>
    <row r="70" spans="1:5" x14ac:dyDescent="0.3">
      <c r="A70" s="61" t="s">
        <v>3554</v>
      </c>
      <c r="B70" s="61" t="s">
        <v>5051</v>
      </c>
      <c r="C70" s="61" t="s">
        <v>5052</v>
      </c>
      <c r="D70" s="61" t="s">
        <v>3632</v>
      </c>
      <c r="E70" s="61" t="s">
        <v>5053</v>
      </c>
    </row>
    <row r="71" spans="1:5" x14ac:dyDescent="0.3">
      <c r="A71" t="s">
        <v>1921</v>
      </c>
      <c r="B71" t="s">
        <v>1</v>
      </c>
      <c r="C71" t="s">
        <v>5052</v>
      </c>
      <c r="D71" t="s">
        <v>3595</v>
      </c>
      <c r="E71" t="s">
        <v>3517</v>
      </c>
    </row>
    <row r="72" spans="1:5" x14ac:dyDescent="0.3">
      <c r="A72" t="s">
        <v>1921</v>
      </c>
      <c r="B72" t="s">
        <v>2</v>
      </c>
      <c r="C72" t="s">
        <v>5052</v>
      </c>
      <c r="D72" t="s">
        <v>1920</v>
      </c>
      <c r="E72" t="s">
        <v>5054</v>
      </c>
    </row>
    <row r="73" spans="1:5" x14ac:dyDescent="0.3">
      <c r="A73" t="s">
        <v>1921</v>
      </c>
      <c r="B73" t="s">
        <v>2543</v>
      </c>
      <c r="C73" t="s">
        <v>5052</v>
      </c>
      <c r="D73" t="s">
        <v>1925</v>
      </c>
      <c r="E73" t="s">
        <v>935</v>
      </c>
    </row>
    <row r="74" spans="1:5" x14ac:dyDescent="0.3">
      <c r="A74" t="s">
        <v>1921</v>
      </c>
      <c r="B74" t="s">
        <v>2548</v>
      </c>
      <c r="C74" t="s">
        <v>5052</v>
      </c>
      <c r="D74" t="s">
        <v>1925</v>
      </c>
      <c r="E74" t="s">
        <v>5055</v>
      </c>
    </row>
    <row r="75" spans="1:5" x14ac:dyDescent="0.3">
      <c r="A75" t="s">
        <v>1920</v>
      </c>
      <c r="B75" t="s">
        <v>1</v>
      </c>
      <c r="C75" t="s">
        <v>5052</v>
      </c>
      <c r="D75" t="s">
        <v>3595</v>
      </c>
      <c r="E75" t="s">
        <v>3517</v>
      </c>
    </row>
    <row r="76" spans="1:5" x14ac:dyDescent="0.3">
      <c r="A76" t="s">
        <v>1922</v>
      </c>
      <c r="B76" t="s">
        <v>103</v>
      </c>
      <c r="C76" t="s">
        <v>5052</v>
      </c>
      <c r="D76" t="s">
        <v>1921</v>
      </c>
      <c r="E76" t="s">
        <v>103</v>
      </c>
    </row>
    <row r="77" spans="1:5" x14ac:dyDescent="0.3">
      <c r="A77" t="s">
        <v>1922</v>
      </c>
      <c r="B77" t="s">
        <v>2</v>
      </c>
      <c r="C77" t="s">
        <v>5052</v>
      </c>
      <c r="D77" t="s">
        <v>1920</v>
      </c>
      <c r="E77" t="s">
        <v>5054</v>
      </c>
    </row>
    <row r="78" spans="1:5" x14ac:dyDescent="0.3">
      <c r="A78" t="s">
        <v>2542</v>
      </c>
      <c r="B78" t="s">
        <v>103</v>
      </c>
      <c r="C78" t="s">
        <v>5052</v>
      </c>
      <c r="D78" t="s">
        <v>1921</v>
      </c>
      <c r="E78" t="s">
        <v>103</v>
      </c>
    </row>
    <row r="79" spans="1:5" x14ac:dyDescent="0.3">
      <c r="A79" t="s">
        <v>2542</v>
      </c>
      <c r="B79" t="s">
        <v>2695</v>
      </c>
      <c r="C79" t="s">
        <v>5052</v>
      </c>
      <c r="D79" t="s">
        <v>1925</v>
      </c>
      <c r="E79" t="s">
        <v>935</v>
      </c>
    </row>
    <row r="80" spans="1:5" x14ac:dyDescent="0.3">
      <c r="A80" t="s">
        <v>2402</v>
      </c>
      <c r="B80" t="s">
        <v>103</v>
      </c>
      <c r="C80" t="s">
        <v>5052</v>
      </c>
      <c r="D80" t="s">
        <v>1921</v>
      </c>
      <c r="E80" t="s">
        <v>103</v>
      </c>
    </row>
    <row r="81" spans="1:5" x14ac:dyDescent="0.3">
      <c r="A81" t="s">
        <v>2402</v>
      </c>
      <c r="B81" t="s">
        <v>2</v>
      </c>
      <c r="C81" t="s">
        <v>5052</v>
      </c>
      <c r="D81" t="s">
        <v>1920</v>
      </c>
      <c r="E81" t="s">
        <v>5054</v>
      </c>
    </row>
    <row r="82" spans="1:5" x14ac:dyDescent="0.3">
      <c r="A82" t="s">
        <v>2696</v>
      </c>
      <c r="B82" t="s">
        <v>103</v>
      </c>
      <c r="C82" t="s">
        <v>5052</v>
      </c>
      <c r="D82" t="s">
        <v>1921</v>
      </c>
      <c r="E82" t="s">
        <v>103</v>
      </c>
    </row>
    <row r="83" spans="1:5" x14ac:dyDescent="0.3">
      <c r="A83" t="s">
        <v>2696</v>
      </c>
      <c r="B83" t="s">
        <v>5056</v>
      </c>
      <c r="C83" t="s">
        <v>5052</v>
      </c>
      <c r="D83" t="s">
        <v>1921</v>
      </c>
      <c r="E83" t="s">
        <v>103</v>
      </c>
    </row>
    <row r="84" spans="1:5" x14ac:dyDescent="0.3">
      <c r="A84" t="s">
        <v>2697</v>
      </c>
      <c r="B84" t="s">
        <v>103</v>
      </c>
      <c r="C84" t="s">
        <v>5052</v>
      </c>
      <c r="D84" t="s">
        <v>1921</v>
      </c>
      <c r="E84" t="s">
        <v>103</v>
      </c>
    </row>
    <row r="85" spans="1:5" x14ac:dyDescent="0.3">
      <c r="A85" t="s">
        <v>2697</v>
      </c>
      <c r="B85" t="s">
        <v>2634</v>
      </c>
      <c r="C85" t="s">
        <v>5052</v>
      </c>
      <c r="D85" t="s">
        <v>1925</v>
      </c>
      <c r="E85" t="s">
        <v>935</v>
      </c>
    </row>
    <row r="86" spans="1:5" x14ac:dyDescent="0.3">
      <c r="A86" t="s">
        <v>2267</v>
      </c>
      <c r="B86" t="s">
        <v>935</v>
      </c>
      <c r="C86" t="s">
        <v>5052</v>
      </c>
      <c r="D86" t="s">
        <v>1925</v>
      </c>
      <c r="E86" t="s">
        <v>935</v>
      </c>
    </row>
    <row r="87" spans="1:5" x14ac:dyDescent="0.3">
      <c r="A87" t="s">
        <v>2267</v>
      </c>
      <c r="B87" t="s">
        <v>1944</v>
      </c>
      <c r="C87" t="s">
        <v>5052</v>
      </c>
      <c r="D87" t="s">
        <v>1921</v>
      </c>
      <c r="E87" t="s">
        <v>103</v>
      </c>
    </row>
    <row r="88" spans="1:5" x14ac:dyDescent="0.3">
      <c r="A88" t="s">
        <v>2268</v>
      </c>
      <c r="B88" t="s">
        <v>103</v>
      </c>
      <c r="C88" t="s">
        <v>5052</v>
      </c>
      <c r="D88" t="s">
        <v>1921</v>
      </c>
      <c r="E88" t="s">
        <v>103</v>
      </c>
    </row>
    <row r="89" spans="1:5" x14ac:dyDescent="0.3">
      <c r="A89" t="s">
        <v>1926</v>
      </c>
      <c r="B89" t="s">
        <v>103</v>
      </c>
      <c r="C89" t="s">
        <v>5052</v>
      </c>
      <c r="D89" t="s">
        <v>1921</v>
      </c>
      <c r="E89" t="s">
        <v>103</v>
      </c>
    </row>
    <row r="90" spans="1:5" x14ac:dyDescent="0.3">
      <c r="A90" t="s">
        <v>1926</v>
      </c>
      <c r="B90" t="s">
        <v>2</v>
      </c>
      <c r="C90" t="s">
        <v>5052</v>
      </c>
      <c r="D90" t="s">
        <v>1920</v>
      </c>
      <c r="E90" t="s">
        <v>5054</v>
      </c>
    </row>
    <row r="91" spans="1:5" x14ac:dyDescent="0.3">
      <c r="A91" t="s">
        <v>4948</v>
      </c>
      <c r="B91" t="s">
        <v>2</v>
      </c>
      <c r="C91" t="s">
        <v>5052</v>
      </c>
      <c r="D91" t="s">
        <v>1920</v>
      </c>
      <c r="E91" t="s">
        <v>5054</v>
      </c>
    </row>
    <row r="92" spans="1:5" x14ac:dyDescent="0.3">
      <c r="A92" t="s">
        <v>4196</v>
      </c>
      <c r="B92" t="s">
        <v>2</v>
      </c>
      <c r="C92" t="s">
        <v>5052</v>
      </c>
      <c r="D92" t="s">
        <v>1920</v>
      </c>
      <c r="E92" t="s">
        <v>5054</v>
      </c>
    </row>
    <row r="93" spans="1:5" x14ac:dyDescent="0.3">
      <c r="A93" t="s">
        <v>4955</v>
      </c>
      <c r="B93" t="s">
        <v>2</v>
      </c>
      <c r="C93" t="s">
        <v>5052</v>
      </c>
      <c r="D93" t="s">
        <v>1920</v>
      </c>
      <c r="E93" t="s">
        <v>5054</v>
      </c>
    </row>
    <row r="94" spans="1:5" x14ac:dyDescent="0.3">
      <c r="A94" t="s">
        <v>4959</v>
      </c>
      <c r="B94" t="s">
        <v>2</v>
      </c>
      <c r="C94" t="s">
        <v>5052</v>
      </c>
      <c r="D94" t="s">
        <v>1920</v>
      </c>
      <c r="E94" t="s">
        <v>5054</v>
      </c>
    </row>
    <row r="98" spans="1:1" ht="18" x14ac:dyDescent="0.35">
      <c r="A98" s="187" t="s">
        <v>5057</v>
      </c>
    </row>
    <row r="99" spans="1:1" x14ac:dyDescent="0.3">
      <c r="A99" t="s">
        <v>3538</v>
      </c>
    </row>
    <row r="101" spans="1:1" x14ac:dyDescent="0.3">
      <c r="A101" t="s">
        <v>3633</v>
      </c>
    </row>
    <row r="103" spans="1:1" x14ac:dyDescent="0.3">
      <c r="A103" s="1" t="s">
        <v>5058</v>
      </c>
    </row>
    <row r="104" spans="1:1" x14ac:dyDescent="0.3">
      <c r="A104" t="s">
        <v>5059</v>
      </c>
    </row>
    <row r="105" spans="1:1" x14ac:dyDescent="0.3">
      <c r="A105" t="s">
        <v>5060</v>
      </c>
    </row>
    <row r="106" spans="1:1" x14ac:dyDescent="0.3">
      <c r="A106" t="s">
        <v>5061</v>
      </c>
    </row>
    <row r="107" spans="1:1" x14ac:dyDescent="0.3">
      <c r="A107" t="s">
        <v>5062</v>
      </c>
    </row>
    <row r="108" spans="1:1" x14ac:dyDescent="0.3">
      <c r="A108" t="s">
        <v>5063</v>
      </c>
    </row>
    <row r="109" spans="1:1" x14ac:dyDescent="0.3">
      <c r="A109" t="s">
        <v>5064</v>
      </c>
    </row>
    <row r="110" spans="1:1" x14ac:dyDescent="0.3">
      <c r="A110" t="s">
        <v>5065</v>
      </c>
    </row>
    <row r="111" spans="1:1" x14ac:dyDescent="0.3">
      <c r="A111" t="s">
        <v>5066</v>
      </c>
    </row>
    <row r="114" spans="1:6" x14ac:dyDescent="0.3">
      <c r="A114" t="s">
        <v>3634</v>
      </c>
    </row>
    <row r="115" spans="1:6" x14ac:dyDescent="0.3">
      <c r="A115" s="124" t="s">
        <v>3635</v>
      </c>
    </row>
    <row r="116" spans="1:6" x14ac:dyDescent="0.3">
      <c r="A116" t="s">
        <v>3634</v>
      </c>
    </row>
    <row r="119" spans="1:6" x14ac:dyDescent="0.3">
      <c r="A119" s="61" t="s">
        <v>2269</v>
      </c>
      <c r="B119" s="61" t="s">
        <v>3636</v>
      </c>
      <c r="C119" s="61" t="s">
        <v>3637</v>
      </c>
      <c r="D119" s="61" t="s">
        <v>3638</v>
      </c>
      <c r="E119" s="61" t="s">
        <v>3639</v>
      </c>
      <c r="F119" s="61" t="s">
        <v>1919</v>
      </c>
    </row>
    <row r="120" spans="1:6" x14ac:dyDescent="0.3">
      <c r="A120" t="s">
        <v>3640</v>
      </c>
      <c r="B120" t="s">
        <v>1</v>
      </c>
      <c r="C120" t="s">
        <v>3641</v>
      </c>
      <c r="D120" t="s">
        <v>3219</v>
      </c>
      <c r="E120" t="s">
        <v>3642</v>
      </c>
      <c r="F120" t="s">
        <v>3643</v>
      </c>
    </row>
    <row r="121" spans="1:6" x14ac:dyDescent="0.3">
      <c r="A121" t="s">
        <v>3644</v>
      </c>
      <c r="B121" t="s">
        <v>2</v>
      </c>
      <c r="C121" t="s">
        <v>3645</v>
      </c>
      <c r="D121" t="s">
        <v>3219</v>
      </c>
      <c r="E121" t="s">
        <v>3646</v>
      </c>
      <c r="F121" t="s">
        <v>3647</v>
      </c>
    </row>
    <row r="122" spans="1:6" x14ac:dyDescent="0.3">
      <c r="A122" t="s">
        <v>3648</v>
      </c>
      <c r="B122" t="s">
        <v>3</v>
      </c>
      <c r="C122" t="s">
        <v>3641</v>
      </c>
      <c r="D122" t="s">
        <v>3219</v>
      </c>
      <c r="E122" t="s">
        <v>3649</v>
      </c>
      <c r="F122" t="s">
        <v>3650</v>
      </c>
    </row>
    <row r="123" spans="1:6" x14ac:dyDescent="0.3">
      <c r="A123" t="s">
        <v>3651</v>
      </c>
      <c r="B123" t="s">
        <v>862</v>
      </c>
      <c r="C123" t="s">
        <v>3645</v>
      </c>
      <c r="D123" t="s">
        <v>2800</v>
      </c>
      <c r="E123" t="s">
        <v>5067</v>
      </c>
      <c r="F123" t="s">
        <v>5068</v>
      </c>
    </row>
    <row r="124" spans="1:6" x14ac:dyDescent="0.3">
      <c r="A124" t="s">
        <v>3652</v>
      </c>
      <c r="B124" t="s">
        <v>622</v>
      </c>
      <c r="C124" t="s">
        <v>3645</v>
      </c>
      <c r="D124" t="s">
        <v>2800</v>
      </c>
      <c r="E124" t="s">
        <v>5069</v>
      </c>
      <c r="F124" t="s">
        <v>5070</v>
      </c>
    </row>
    <row r="125" spans="1:6" x14ac:dyDescent="0.3">
      <c r="A125" t="s">
        <v>3653</v>
      </c>
      <c r="B125" t="s">
        <v>789</v>
      </c>
      <c r="C125" t="s">
        <v>3645</v>
      </c>
      <c r="D125" t="s">
        <v>3219</v>
      </c>
      <c r="E125" t="s">
        <v>3654</v>
      </c>
      <c r="F125" t="s">
        <v>5071</v>
      </c>
    </row>
    <row r="127" spans="1:6" x14ac:dyDescent="0.3">
      <c r="A127" s="1" t="s">
        <v>3655</v>
      </c>
    </row>
    <row r="128" spans="1:6" x14ac:dyDescent="0.3">
      <c r="A128" t="s">
        <v>5072</v>
      </c>
    </row>
    <row r="129" spans="1:6" x14ac:dyDescent="0.3">
      <c r="A129" t="s">
        <v>3656</v>
      </c>
    </row>
    <row r="130" spans="1:6" x14ac:dyDescent="0.3">
      <c r="A130" t="s">
        <v>5073</v>
      </c>
    </row>
    <row r="131" spans="1:6" x14ac:dyDescent="0.3">
      <c r="A131" t="s">
        <v>5074</v>
      </c>
    </row>
    <row r="134" spans="1:6" x14ac:dyDescent="0.3">
      <c r="A134" t="s">
        <v>3634</v>
      </c>
    </row>
    <row r="135" spans="1:6" x14ac:dyDescent="0.3">
      <c r="A135" s="158" t="s">
        <v>5075</v>
      </c>
    </row>
    <row r="136" spans="1:6" x14ac:dyDescent="0.3">
      <c r="A136" t="s">
        <v>3634</v>
      </c>
    </row>
    <row r="139" spans="1:6" x14ac:dyDescent="0.3">
      <c r="A139" s="61" t="s">
        <v>2269</v>
      </c>
      <c r="B139" s="61" t="s">
        <v>3636</v>
      </c>
      <c r="C139" s="61" t="s">
        <v>3637</v>
      </c>
      <c r="D139" s="61" t="s">
        <v>3638</v>
      </c>
      <c r="E139" s="61" t="s">
        <v>3639</v>
      </c>
      <c r="F139" s="61" t="s">
        <v>1919</v>
      </c>
    </row>
    <row r="140" spans="1:6" x14ac:dyDescent="0.3">
      <c r="A140" t="s">
        <v>3640</v>
      </c>
      <c r="B140" t="s">
        <v>103</v>
      </c>
      <c r="C140" t="s">
        <v>863</v>
      </c>
      <c r="D140" t="s">
        <v>3219</v>
      </c>
      <c r="E140" t="s">
        <v>5076</v>
      </c>
      <c r="F140" t="s">
        <v>3660</v>
      </c>
    </row>
    <row r="141" spans="1:6" x14ac:dyDescent="0.3">
      <c r="A141" t="s">
        <v>3644</v>
      </c>
      <c r="B141" t="s">
        <v>104</v>
      </c>
      <c r="C141" t="s">
        <v>3645</v>
      </c>
      <c r="D141" t="s">
        <v>3219</v>
      </c>
      <c r="E141" t="s">
        <v>5077</v>
      </c>
      <c r="F141" t="s">
        <v>5078</v>
      </c>
    </row>
    <row r="142" spans="1:6" x14ac:dyDescent="0.3">
      <c r="A142" t="s">
        <v>3648</v>
      </c>
      <c r="B142" t="s">
        <v>1</v>
      </c>
      <c r="C142" t="s">
        <v>5079</v>
      </c>
      <c r="D142" t="s">
        <v>3219</v>
      </c>
      <c r="E142" t="s">
        <v>5080</v>
      </c>
      <c r="F142" t="s">
        <v>5081</v>
      </c>
    </row>
    <row r="143" spans="1:6" x14ac:dyDescent="0.3">
      <c r="A143" t="s">
        <v>3651</v>
      </c>
      <c r="B143" t="s">
        <v>2</v>
      </c>
      <c r="C143" t="s">
        <v>5082</v>
      </c>
      <c r="D143" t="s">
        <v>3219</v>
      </c>
      <c r="E143" t="s">
        <v>5083</v>
      </c>
      <c r="F143" t="s">
        <v>5084</v>
      </c>
    </row>
    <row r="144" spans="1:6" x14ac:dyDescent="0.3">
      <c r="A144" t="s">
        <v>3652</v>
      </c>
      <c r="B144" t="s">
        <v>2696</v>
      </c>
      <c r="C144" t="s">
        <v>3645</v>
      </c>
      <c r="D144" t="s">
        <v>2800</v>
      </c>
      <c r="E144" t="s">
        <v>5085</v>
      </c>
      <c r="F144" t="s">
        <v>5086</v>
      </c>
    </row>
    <row r="145" spans="1:6" x14ac:dyDescent="0.3">
      <c r="A145" t="s">
        <v>3653</v>
      </c>
      <c r="B145" t="s">
        <v>105</v>
      </c>
      <c r="C145" t="s">
        <v>3641</v>
      </c>
      <c r="D145" t="s">
        <v>3219</v>
      </c>
      <c r="E145" t="s">
        <v>5087</v>
      </c>
      <c r="F145" t="s">
        <v>5088</v>
      </c>
    </row>
    <row r="146" spans="1:6" x14ac:dyDescent="0.3">
      <c r="A146" t="s">
        <v>3657</v>
      </c>
      <c r="B146" t="s">
        <v>106</v>
      </c>
      <c r="C146" t="s">
        <v>3641</v>
      </c>
      <c r="D146" t="s">
        <v>3219</v>
      </c>
      <c r="E146" t="s">
        <v>5089</v>
      </c>
      <c r="F146" t="s">
        <v>3661</v>
      </c>
    </row>
    <row r="147" spans="1:6" x14ac:dyDescent="0.3">
      <c r="A147" t="s">
        <v>3092</v>
      </c>
      <c r="B147" t="s">
        <v>107</v>
      </c>
      <c r="C147" t="s">
        <v>3641</v>
      </c>
      <c r="D147" t="s">
        <v>3219</v>
      </c>
      <c r="E147" t="s">
        <v>5090</v>
      </c>
      <c r="F147" t="s">
        <v>5091</v>
      </c>
    </row>
    <row r="148" spans="1:6" x14ac:dyDescent="0.3">
      <c r="A148" t="s">
        <v>3658</v>
      </c>
      <c r="B148" t="s">
        <v>1812</v>
      </c>
      <c r="C148" t="s">
        <v>3659</v>
      </c>
      <c r="D148" t="s">
        <v>3219</v>
      </c>
      <c r="E148" t="s">
        <v>5092</v>
      </c>
      <c r="F148" t="s">
        <v>5093</v>
      </c>
    </row>
    <row r="149" spans="1:6" x14ac:dyDescent="0.3">
      <c r="A149" t="s">
        <v>3662</v>
      </c>
      <c r="B149" t="s">
        <v>108</v>
      </c>
      <c r="C149" t="s">
        <v>3659</v>
      </c>
      <c r="D149" t="s">
        <v>3219</v>
      </c>
      <c r="E149" t="s">
        <v>5094</v>
      </c>
      <c r="F149" t="s">
        <v>5095</v>
      </c>
    </row>
    <row r="150" spans="1:6" x14ac:dyDescent="0.3">
      <c r="A150" t="s">
        <v>3663</v>
      </c>
      <c r="B150" t="s">
        <v>109</v>
      </c>
      <c r="C150" t="s">
        <v>3659</v>
      </c>
      <c r="D150" t="s">
        <v>3219</v>
      </c>
      <c r="E150" t="s">
        <v>5096</v>
      </c>
      <c r="F150" t="s">
        <v>5097</v>
      </c>
    </row>
    <row r="151" spans="1:6" x14ac:dyDescent="0.3">
      <c r="A151" t="s">
        <v>3095</v>
      </c>
      <c r="B151" t="s">
        <v>110</v>
      </c>
      <c r="C151" t="s">
        <v>5082</v>
      </c>
      <c r="D151" t="s">
        <v>2800</v>
      </c>
      <c r="E151" t="s">
        <v>5098</v>
      </c>
      <c r="F151" t="s">
        <v>5099</v>
      </c>
    </row>
    <row r="152" spans="1:6" x14ac:dyDescent="0.3">
      <c r="A152" t="s">
        <v>3093</v>
      </c>
      <c r="B152" t="s">
        <v>111</v>
      </c>
      <c r="C152" t="s">
        <v>5082</v>
      </c>
      <c r="D152" t="s">
        <v>2800</v>
      </c>
      <c r="E152" t="s">
        <v>5098</v>
      </c>
      <c r="F152" t="s">
        <v>5100</v>
      </c>
    </row>
    <row r="153" spans="1:6" x14ac:dyDescent="0.3">
      <c r="A153" t="s">
        <v>3664</v>
      </c>
      <c r="B153" t="s">
        <v>112</v>
      </c>
      <c r="C153" t="s">
        <v>3641</v>
      </c>
      <c r="D153" t="s">
        <v>3219</v>
      </c>
      <c r="E153" t="s">
        <v>5101</v>
      </c>
      <c r="F153" t="s">
        <v>5102</v>
      </c>
    </row>
    <row r="154" spans="1:6" x14ac:dyDescent="0.3">
      <c r="A154" t="s">
        <v>3665</v>
      </c>
      <c r="B154" t="s">
        <v>113</v>
      </c>
      <c r="C154" t="s">
        <v>3645</v>
      </c>
      <c r="D154" t="s">
        <v>2800</v>
      </c>
      <c r="E154" t="s">
        <v>5103</v>
      </c>
      <c r="F154" t="s">
        <v>5104</v>
      </c>
    </row>
    <row r="155" spans="1:6" x14ac:dyDescent="0.3">
      <c r="A155" t="s">
        <v>3666</v>
      </c>
      <c r="B155" t="s">
        <v>114</v>
      </c>
      <c r="C155" t="s">
        <v>3645</v>
      </c>
      <c r="D155" t="s">
        <v>2800</v>
      </c>
      <c r="E155" t="s">
        <v>3683</v>
      </c>
      <c r="F155" t="s">
        <v>3688</v>
      </c>
    </row>
    <row r="156" spans="1:6" x14ac:dyDescent="0.3">
      <c r="A156" t="s">
        <v>3667</v>
      </c>
      <c r="B156" t="s">
        <v>1906</v>
      </c>
      <c r="C156" t="s">
        <v>3681</v>
      </c>
      <c r="D156" t="s">
        <v>3219</v>
      </c>
      <c r="E156" t="s">
        <v>5105</v>
      </c>
      <c r="F156" t="s">
        <v>5106</v>
      </c>
    </row>
    <row r="157" spans="1:6" x14ac:dyDescent="0.3">
      <c r="A157" t="s">
        <v>3668</v>
      </c>
      <c r="B157" t="s">
        <v>1907</v>
      </c>
      <c r="C157" t="s">
        <v>3645</v>
      </c>
      <c r="D157" t="s">
        <v>2800</v>
      </c>
      <c r="E157" t="s">
        <v>5107</v>
      </c>
      <c r="F157" t="s">
        <v>5108</v>
      </c>
    </row>
    <row r="158" spans="1:6" x14ac:dyDescent="0.3">
      <c r="A158" t="s">
        <v>3669</v>
      </c>
      <c r="B158" t="s">
        <v>1929</v>
      </c>
      <c r="C158" t="s">
        <v>3645</v>
      </c>
      <c r="D158" t="s">
        <v>2800</v>
      </c>
      <c r="E158" t="s">
        <v>5109</v>
      </c>
      <c r="F158" t="s">
        <v>5110</v>
      </c>
    </row>
    <row r="159" spans="1:6" x14ac:dyDescent="0.3">
      <c r="A159" t="s">
        <v>3670</v>
      </c>
      <c r="B159" t="s">
        <v>1930</v>
      </c>
      <c r="C159" t="s">
        <v>3645</v>
      </c>
      <c r="D159" t="s">
        <v>2800</v>
      </c>
      <c r="E159" t="s">
        <v>5111</v>
      </c>
      <c r="F159" t="s">
        <v>5112</v>
      </c>
    </row>
    <row r="160" spans="1:6" x14ac:dyDescent="0.3">
      <c r="A160" t="s">
        <v>3671</v>
      </c>
      <c r="B160" t="s">
        <v>1931</v>
      </c>
      <c r="C160" t="s">
        <v>3645</v>
      </c>
      <c r="D160" t="s">
        <v>2800</v>
      </c>
      <c r="E160" t="s">
        <v>5113</v>
      </c>
      <c r="F160" t="s">
        <v>5114</v>
      </c>
    </row>
    <row r="161" spans="1:6" x14ac:dyDescent="0.3">
      <c r="A161" t="s">
        <v>3672</v>
      </c>
      <c r="B161" t="s">
        <v>2543</v>
      </c>
      <c r="C161" t="s">
        <v>5115</v>
      </c>
      <c r="D161" t="s">
        <v>3219</v>
      </c>
      <c r="E161" t="s">
        <v>5116</v>
      </c>
      <c r="F161" t="s">
        <v>5117</v>
      </c>
    </row>
    <row r="162" spans="1:6" x14ac:dyDescent="0.3">
      <c r="A162" t="s">
        <v>3673</v>
      </c>
      <c r="B162" t="s">
        <v>2544</v>
      </c>
      <c r="C162" t="s">
        <v>3641</v>
      </c>
      <c r="D162" t="s">
        <v>3219</v>
      </c>
      <c r="E162" t="s">
        <v>5118</v>
      </c>
      <c r="F162" t="s">
        <v>5119</v>
      </c>
    </row>
    <row r="163" spans="1:6" x14ac:dyDescent="0.3">
      <c r="A163" t="s">
        <v>3674</v>
      </c>
      <c r="B163" t="s">
        <v>2545</v>
      </c>
      <c r="C163" t="s">
        <v>3645</v>
      </c>
      <c r="D163" t="s">
        <v>2800</v>
      </c>
      <c r="E163" t="s">
        <v>5120</v>
      </c>
      <c r="F163" t="s">
        <v>5121</v>
      </c>
    </row>
    <row r="164" spans="1:6" x14ac:dyDescent="0.3">
      <c r="A164" t="s">
        <v>3675</v>
      </c>
      <c r="B164" t="s">
        <v>2546</v>
      </c>
      <c r="C164" t="s">
        <v>3641</v>
      </c>
      <c r="D164" t="s">
        <v>3219</v>
      </c>
      <c r="E164" t="s">
        <v>5122</v>
      </c>
      <c r="F164" t="s">
        <v>5123</v>
      </c>
    </row>
    <row r="165" spans="1:6" x14ac:dyDescent="0.3">
      <c r="A165" t="s">
        <v>3677</v>
      </c>
      <c r="B165" t="s">
        <v>2547</v>
      </c>
      <c r="C165" t="s">
        <v>3681</v>
      </c>
      <c r="D165" t="s">
        <v>3219</v>
      </c>
      <c r="E165" t="s">
        <v>5105</v>
      </c>
      <c r="F165" t="s">
        <v>3676</v>
      </c>
    </row>
    <row r="166" spans="1:6" x14ac:dyDescent="0.3">
      <c r="A166" t="s">
        <v>3678</v>
      </c>
      <c r="B166" t="s">
        <v>2548</v>
      </c>
      <c r="C166" t="s">
        <v>3645</v>
      </c>
      <c r="D166" t="s">
        <v>2800</v>
      </c>
      <c r="E166" t="s">
        <v>5124</v>
      </c>
      <c r="F166" t="s">
        <v>5125</v>
      </c>
    </row>
    <row r="167" spans="1:6" x14ac:dyDescent="0.3">
      <c r="A167" t="s">
        <v>5126</v>
      </c>
      <c r="B167" t="s">
        <v>2549</v>
      </c>
      <c r="C167" t="s">
        <v>3641</v>
      </c>
      <c r="D167" t="s">
        <v>3219</v>
      </c>
      <c r="E167" t="s">
        <v>5127</v>
      </c>
      <c r="F167" t="s">
        <v>5128</v>
      </c>
    </row>
    <row r="170" spans="1:6" x14ac:dyDescent="0.3">
      <c r="A170" t="s">
        <v>3634</v>
      </c>
    </row>
    <row r="171" spans="1:6" x14ac:dyDescent="0.3">
      <c r="A171" s="330" t="s">
        <v>5129</v>
      </c>
    </row>
    <row r="172" spans="1:6" x14ac:dyDescent="0.3">
      <c r="A172" t="s">
        <v>3634</v>
      </c>
    </row>
    <row r="175" spans="1:6" x14ac:dyDescent="0.3">
      <c r="A175" s="61" t="s">
        <v>2269</v>
      </c>
      <c r="B175" s="61" t="s">
        <v>3636</v>
      </c>
      <c r="C175" s="61" t="s">
        <v>3637</v>
      </c>
      <c r="D175" s="61" t="s">
        <v>3638</v>
      </c>
      <c r="E175" s="61" t="s">
        <v>3639</v>
      </c>
      <c r="F175" s="61" t="s">
        <v>1919</v>
      </c>
    </row>
    <row r="176" spans="1:6" x14ac:dyDescent="0.3">
      <c r="A176" t="s">
        <v>3640</v>
      </c>
      <c r="B176" t="s">
        <v>1781</v>
      </c>
      <c r="C176" t="s">
        <v>863</v>
      </c>
      <c r="D176" t="s">
        <v>3219</v>
      </c>
      <c r="E176" t="s">
        <v>5130</v>
      </c>
      <c r="F176" t="s">
        <v>3679</v>
      </c>
    </row>
    <row r="177" spans="1:6" x14ac:dyDescent="0.3">
      <c r="A177" t="s">
        <v>3644</v>
      </c>
      <c r="B177" t="s">
        <v>103</v>
      </c>
      <c r="C177" t="s">
        <v>5115</v>
      </c>
      <c r="D177" t="s">
        <v>3219</v>
      </c>
      <c r="E177" t="s">
        <v>5131</v>
      </c>
      <c r="F177" t="s">
        <v>3680</v>
      </c>
    </row>
    <row r="178" spans="1:6" x14ac:dyDescent="0.3">
      <c r="A178" t="s">
        <v>3648</v>
      </c>
      <c r="B178" t="s">
        <v>2</v>
      </c>
      <c r="C178" t="s">
        <v>5082</v>
      </c>
      <c r="D178" t="s">
        <v>3219</v>
      </c>
      <c r="E178" t="s">
        <v>5083</v>
      </c>
      <c r="F178" t="s">
        <v>5132</v>
      </c>
    </row>
    <row r="179" spans="1:6" x14ac:dyDescent="0.3">
      <c r="A179" t="s">
        <v>3651</v>
      </c>
      <c r="B179" t="s">
        <v>5133</v>
      </c>
      <c r="C179" t="s">
        <v>3641</v>
      </c>
      <c r="D179" t="s">
        <v>3219</v>
      </c>
      <c r="E179" t="s">
        <v>3649</v>
      </c>
      <c r="F179" t="s">
        <v>5134</v>
      </c>
    </row>
    <row r="180" spans="1:6" x14ac:dyDescent="0.3">
      <c r="A180" t="s">
        <v>3652</v>
      </c>
      <c r="B180" t="s">
        <v>108</v>
      </c>
      <c r="C180" t="s">
        <v>3659</v>
      </c>
      <c r="D180" t="s">
        <v>3219</v>
      </c>
      <c r="E180" t="s">
        <v>5092</v>
      </c>
      <c r="F180" t="s">
        <v>5135</v>
      </c>
    </row>
    <row r="181" spans="1:6" x14ac:dyDescent="0.3">
      <c r="A181" t="s">
        <v>3653</v>
      </c>
      <c r="B181" t="s">
        <v>109</v>
      </c>
      <c r="C181" t="s">
        <v>3659</v>
      </c>
      <c r="D181" t="s">
        <v>3219</v>
      </c>
      <c r="E181" t="s">
        <v>5096</v>
      </c>
      <c r="F181" t="s">
        <v>5136</v>
      </c>
    </row>
    <row r="182" spans="1:6" x14ac:dyDescent="0.3">
      <c r="A182" t="s">
        <v>3657</v>
      </c>
      <c r="B182" t="s">
        <v>112</v>
      </c>
      <c r="C182" t="s">
        <v>3641</v>
      </c>
      <c r="D182" t="s">
        <v>3219</v>
      </c>
      <c r="E182" t="s">
        <v>5137</v>
      </c>
      <c r="F182" t="s">
        <v>5138</v>
      </c>
    </row>
    <row r="183" spans="1:6" x14ac:dyDescent="0.3">
      <c r="A183" t="s">
        <v>3092</v>
      </c>
      <c r="B183" t="s">
        <v>1811</v>
      </c>
      <c r="C183" t="s">
        <v>3645</v>
      </c>
      <c r="D183" t="s">
        <v>2800</v>
      </c>
      <c r="E183" t="s">
        <v>5139</v>
      </c>
      <c r="F183" t="s">
        <v>5140</v>
      </c>
    </row>
    <row r="184" spans="1:6" x14ac:dyDescent="0.3">
      <c r="A184" t="s">
        <v>3658</v>
      </c>
      <c r="B184" t="s">
        <v>114</v>
      </c>
      <c r="C184" t="s">
        <v>3645</v>
      </c>
      <c r="D184" t="s">
        <v>2800</v>
      </c>
      <c r="E184" t="s">
        <v>3683</v>
      </c>
      <c r="F184" t="s">
        <v>5141</v>
      </c>
    </row>
    <row r="187" spans="1:6" x14ac:dyDescent="0.3">
      <c r="A187" t="s">
        <v>3634</v>
      </c>
    </row>
    <row r="188" spans="1:6" x14ac:dyDescent="0.3">
      <c r="A188" s="331" t="s">
        <v>5142</v>
      </c>
    </row>
    <row r="189" spans="1:6" x14ac:dyDescent="0.3">
      <c r="A189" t="s">
        <v>3634</v>
      </c>
    </row>
    <row r="192" spans="1:6" x14ac:dyDescent="0.3">
      <c r="A192" s="61" t="s">
        <v>2269</v>
      </c>
      <c r="B192" s="61" t="s">
        <v>3636</v>
      </c>
      <c r="C192" s="61" t="s">
        <v>3637</v>
      </c>
      <c r="D192" s="61" t="s">
        <v>3638</v>
      </c>
      <c r="E192" s="61" t="s">
        <v>3639</v>
      </c>
      <c r="F192" s="61" t="s">
        <v>1919</v>
      </c>
    </row>
    <row r="193" spans="1:6" x14ac:dyDescent="0.3">
      <c r="A193" t="s">
        <v>3640</v>
      </c>
      <c r="B193" t="s">
        <v>2324</v>
      </c>
      <c r="C193" t="s">
        <v>863</v>
      </c>
      <c r="D193" t="s">
        <v>3219</v>
      </c>
      <c r="E193" t="s">
        <v>5143</v>
      </c>
      <c r="F193" t="s">
        <v>3682</v>
      </c>
    </row>
    <row r="194" spans="1:6" x14ac:dyDescent="0.3">
      <c r="A194" t="s">
        <v>3644</v>
      </c>
      <c r="B194" t="s">
        <v>103</v>
      </c>
      <c r="C194" t="s">
        <v>5115</v>
      </c>
      <c r="D194" t="s">
        <v>3219</v>
      </c>
      <c r="E194" t="s">
        <v>5131</v>
      </c>
      <c r="F194" t="s">
        <v>3680</v>
      </c>
    </row>
    <row r="195" spans="1:6" x14ac:dyDescent="0.3">
      <c r="A195" t="s">
        <v>3648</v>
      </c>
      <c r="B195" t="s">
        <v>2327</v>
      </c>
      <c r="C195" t="s">
        <v>3641</v>
      </c>
      <c r="D195" t="s">
        <v>3219</v>
      </c>
      <c r="E195" t="s">
        <v>5144</v>
      </c>
      <c r="F195" t="s">
        <v>5145</v>
      </c>
    </row>
    <row r="196" spans="1:6" x14ac:dyDescent="0.3">
      <c r="A196" t="s">
        <v>3651</v>
      </c>
      <c r="B196" t="s">
        <v>2328</v>
      </c>
      <c r="C196" t="s">
        <v>3645</v>
      </c>
      <c r="D196" t="s">
        <v>3219</v>
      </c>
      <c r="E196" t="s">
        <v>3683</v>
      </c>
      <c r="F196" t="s">
        <v>3684</v>
      </c>
    </row>
    <row r="197" spans="1:6" x14ac:dyDescent="0.3">
      <c r="A197" t="s">
        <v>3652</v>
      </c>
      <c r="B197" t="s">
        <v>2329</v>
      </c>
      <c r="C197" t="s">
        <v>3681</v>
      </c>
      <c r="D197" t="s">
        <v>3219</v>
      </c>
      <c r="E197" t="s">
        <v>5146</v>
      </c>
      <c r="F197" t="s">
        <v>3685</v>
      </c>
    </row>
    <row r="198" spans="1:6" x14ac:dyDescent="0.3">
      <c r="A198" t="s">
        <v>3653</v>
      </c>
      <c r="B198" t="s">
        <v>106</v>
      </c>
      <c r="C198" t="s">
        <v>3681</v>
      </c>
      <c r="D198" t="s">
        <v>3219</v>
      </c>
      <c r="E198" t="s">
        <v>5146</v>
      </c>
      <c r="F198" t="s">
        <v>5147</v>
      </c>
    </row>
    <row r="199" spans="1:6" x14ac:dyDescent="0.3">
      <c r="A199" t="s">
        <v>3657</v>
      </c>
      <c r="B199" t="s">
        <v>2330</v>
      </c>
      <c r="C199" t="s">
        <v>3681</v>
      </c>
      <c r="D199" t="s">
        <v>3219</v>
      </c>
      <c r="E199" t="s">
        <v>5148</v>
      </c>
      <c r="F199" t="s">
        <v>5149</v>
      </c>
    </row>
    <row r="200" spans="1:6" x14ac:dyDescent="0.3">
      <c r="A200" t="s">
        <v>3092</v>
      </c>
      <c r="B200" t="s">
        <v>5150</v>
      </c>
      <c r="C200" t="s">
        <v>3645</v>
      </c>
      <c r="D200" t="s">
        <v>2800</v>
      </c>
      <c r="E200" t="s">
        <v>3683</v>
      </c>
      <c r="F200" t="s">
        <v>5151</v>
      </c>
    </row>
    <row r="201" spans="1:6" x14ac:dyDescent="0.3">
      <c r="A201" t="s">
        <v>3658</v>
      </c>
      <c r="B201" t="s">
        <v>2695</v>
      </c>
      <c r="C201" t="s">
        <v>5115</v>
      </c>
      <c r="D201" t="s">
        <v>3219</v>
      </c>
      <c r="E201" t="s">
        <v>5116</v>
      </c>
      <c r="F201" t="s">
        <v>3686</v>
      </c>
    </row>
    <row r="202" spans="1:6" x14ac:dyDescent="0.3">
      <c r="A202" t="s">
        <v>3662</v>
      </c>
      <c r="B202" t="s">
        <v>112</v>
      </c>
      <c r="C202" t="s">
        <v>3641</v>
      </c>
      <c r="D202" t="s">
        <v>3219</v>
      </c>
      <c r="E202" t="s">
        <v>3687</v>
      </c>
      <c r="F202" t="s">
        <v>5152</v>
      </c>
    </row>
    <row r="203" spans="1:6" x14ac:dyDescent="0.3">
      <c r="A203" t="s">
        <v>3663</v>
      </c>
      <c r="B203" t="s">
        <v>5153</v>
      </c>
      <c r="C203" t="s">
        <v>3659</v>
      </c>
      <c r="D203" t="s">
        <v>2800</v>
      </c>
      <c r="E203" t="s">
        <v>5092</v>
      </c>
      <c r="F203" t="s">
        <v>5154</v>
      </c>
    </row>
    <row r="206" spans="1:6" x14ac:dyDescent="0.3">
      <c r="A206" t="s">
        <v>3634</v>
      </c>
    </row>
    <row r="207" spans="1:6" x14ac:dyDescent="0.3">
      <c r="A207" s="124" t="s">
        <v>5155</v>
      </c>
    </row>
    <row r="208" spans="1:6" x14ac:dyDescent="0.3">
      <c r="A208" t="s">
        <v>3634</v>
      </c>
    </row>
    <row r="210" spans="1:1" x14ac:dyDescent="0.3">
      <c r="A210" t="s">
        <v>5156</v>
      </c>
    </row>
    <row r="212" spans="1:1" x14ac:dyDescent="0.3">
      <c r="A212" t="s">
        <v>5157</v>
      </c>
    </row>
    <row r="213" spans="1:1" x14ac:dyDescent="0.3">
      <c r="A213" t="s">
        <v>5158</v>
      </c>
    </row>
    <row r="215" spans="1:1" x14ac:dyDescent="0.3">
      <c r="A215" t="s">
        <v>5159</v>
      </c>
    </row>
    <row r="216" spans="1:1" x14ac:dyDescent="0.3">
      <c r="A216" t="s">
        <v>5160</v>
      </c>
    </row>
    <row r="218" spans="1:1" x14ac:dyDescent="0.3">
      <c r="A218" t="s">
        <v>5161</v>
      </c>
    </row>
    <row r="219" spans="1:1" x14ac:dyDescent="0.3">
      <c r="A219" t="s">
        <v>5162</v>
      </c>
    </row>
    <row r="221" spans="1:1" x14ac:dyDescent="0.3">
      <c r="A221" t="s">
        <v>5163</v>
      </c>
    </row>
    <row r="222" spans="1:1" x14ac:dyDescent="0.3">
      <c r="A222" t="s">
        <v>5164</v>
      </c>
    </row>
    <row r="224" spans="1:1" x14ac:dyDescent="0.3">
      <c r="A224" t="s">
        <v>5165</v>
      </c>
    </row>
    <row r="225" spans="1:1" x14ac:dyDescent="0.3">
      <c r="A225" t="s">
        <v>5166</v>
      </c>
    </row>
    <row r="227" spans="1:1" x14ac:dyDescent="0.3">
      <c r="A227" t="s">
        <v>5167</v>
      </c>
    </row>
    <row r="228" spans="1:1" x14ac:dyDescent="0.3">
      <c r="A228" t="s">
        <v>5168</v>
      </c>
    </row>
    <row r="230" spans="1:1" x14ac:dyDescent="0.3">
      <c r="A230" t="s">
        <v>5169</v>
      </c>
    </row>
    <row r="231" spans="1:1" x14ac:dyDescent="0.3">
      <c r="A231" t="s">
        <v>5170</v>
      </c>
    </row>
    <row r="233" spans="1:1" x14ac:dyDescent="0.3">
      <c r="A233" t="s">
        <v>5171</v>
      </c>
    </row>
    <row r="234" spans="1:1" x14ac:dyDescent="0.3">
      <c r="A234" t="s">
        <v>5172</v>
      </c>
    </row>
    <row r="236" spans="1:1" x14ac:dyDescent="0.3">
      <c r="A236" t="s">
        <v>5173</v>
      </c>
    </row>
    <row r="237" spans="1:1" x14ac:dyDescent="0.3">
      <c r="A237" t="s">
        <v>5174</v>
      </c>
    </row>
    <row r="239" spans="1:1" x14ac:dyDescent="0.3">
      <c r="A239" t="s">
        <v>5175</v>
      </c>
    </row>
    <row r="240" spans="1:1" x14ac:dyDescent="0.3">
      <c r="A240" t="s">
        <v>5176</v>
      </c>
    </row>
    <row r="242" spans="1:1" x14ac:dyDescent="0.3">
      <c r="A242" t="s">
        <v>5177</v>
      </c>
    </row>
    <row r="243" spans="1:1" x14ac:dyDescent="0.3">
      <c r="A243" t="s">
        <v>5178</v>
      </c>
    </row>
    <row r="245" spans="1:1" x14ac:dyDescent="0.3">
      <c r="A245" t="s">
        <v>5179</v>
      </c>
    </row>
    <row r="246" spans="1:1" x14ac:dyDescent="0.3">
      <c r="A246" t="s">
        <v>5180</v>
      </c>
    </row>
    <row r="250" spans="1:1" ht="18" x14ac:dyDescent="0.35">
      <c r="A250" s="187" t="s">
        <v>5181</v>
      </c>
    </row>
    <row r="251" spans="1:1" x14ac:dyDescent="0.3">
      <c r="A251" t="s">
        <v>3538</v>
      </c>
    </row>
    <row r="253" spans="1:1" x14ac:dyDescent="0.3">
      <c r="A253" t="s">
        <v>5182</v>
      </c>
    </row>
    <row r="255" spans="1:1" x14ac:dyDescent="0.3">
      <c r="A255" t="s">
        <v>5183</v>
      </c>
    </row>
    <row r="256" spans="1:1" x14ac:dyDescent="0.3">
      <c r="A256" s="1" t="s">
        <v>5184</v>
      </c>
    </row>
    <row r="257" spans="1:1" x14ac:dyDescent="0.3">
      <c r="A257" t="s">
        <v>5185</v>
      </c>
    </row>
    <row r="258" spans="1:1" x14ac:dyDescent="0.3">
      <c r="A258" t="s">
        <v>5186</v>
      </c>
    </row>
    <row r="259" spans="1:1" x14ac:dyDescent="0.3">
      <c r="A259" t="s">
        <v>5187</v>
      </c>
    </row>
    <row r="260" spans="1:1" x14ac:dyDescent="0.3">
      <c r="A260" t="s">
        <v>5188</v>
      </c>
    </row>
    <row r="261" spans="1:1" x14ac:dyDescent="0.3">
      <c r="A261" t="s">
        <v>5189</v>
      </c>
    </row>
    <row r="262" spans="1:1" x14ac:dyDescent="0.3">
      <c r="A262" t="s">
        <v>5190</v>
      </c>
    </row>
    <row r="264" spans="1:1" x14ac:dyDescent="0.3">
      <c r="A264" s="1" t="s">
        <v>5191</v>
      </c>
    </row>
    <row r="265" spans="1:1" x14ac:dyDescent="0.3">
      <c r="A265" t="s">
        <v>5192</v>
      </c>
    </row>
    <row r="266" spans="1:1" x14ac:dyDescent="0.3">
      <c r="A266" t="s">
        <v>5193</v>
      </c>
    </row>
    <row r="267" spans="1:1" x14ac:dyDescent="0.3">
      <c r="A267" t="s">
        <v>5194</v>
      </c>
    </row>
    <row r="268" spans="1:1" x14ac:dyDescent="0.3">
      <c r="A268" t="s">
        <v>5195</v>
      </c>
    </row>
    <row r="270" spans="1:1" x14ac:dyDescent="0.3">
      <c r="A270" t="s">
        <v>5196</v>
      </c>
    </row>
    <row r="271" spans="1:1" x14ac:dyDescent="0.3">
      <c r="A271" t="s">
        <v>5197</v>
      </c>
    </row>
    <row r="272" spans="1:1" x14ac:dyDescent="0.3">
      <c r="A272" s="1" t="s">
        <v>5198</v>
      </c>
    </row>
    <row r="273" spans="1:1" x14ac:dyDescent="0.3">
      <c r="A273" t="s">
        <v>5199</v>
      </c>
    </row>
    <row r="274" spans="1:1" x14ac:dyDescent="0.3">
      <c r="A274" t="s">
        <v>5200</v>
      </c>
    </row>
    <row r="275" spans="1:1" x14ac:dyDescent="0.3">
      <c r="A275" t="s">
        <v>5201</v>
      </c>
    </row>
    <row r="276" spans="1:1" x14ac:dyDescent="0.3">
      <c r="A276" t="s">
        <v>5202</v>
      </c>
    </row>
    <row r="278" spans="1:1" x14ac:dyDescent="0.3">
      <c r="A278" t="s">
        <v>5203</v>
      </c>
    </row>
    <row r="279" spans="1:1" x14ac:dyDescent="0.3">
      <c r="A279" s="1" t="s">
        <v>5204</v>
      </c>
    </row>
    <row r="280" spans="1:1" x14ac:dyDescent="0.3">
      <c r="A280" t="s">
        <v>5205</v>
      </c>
    </row>
    <row r="281" spans="1:1" x14ac:dyDescent="0.3">
      <c r="A281" t="s">
        <v>5206</v>
      </c>
    </row>
    <row r="283" spans="1:1" x14ac:dyDescent="0.3">
      <c r="A283" t="s">
        <v>5207</v>
      </c>
    </row>
    <row r="284" spans="1:1" x14ac:dyDescent="0.3">
      <c r="A284" t="s">
        <v>5208</v>
      </c>
    </row>
    <row r="285" spans="1:1" x14ac:dyDescent="0.3">
      <c r="A285" t="s">
        <v>5209</v>
      </c>
    </row>
    <row r="290" spans="1:1" ht="18" x14ac:dyDescent="0.35">
      <c r="A290" s="187" t="s">
        <v>5210</v>
      </c>
    </row>
    <row r="291" spans="1:1" x14ac:dyDescent="0.3">
      <c r="A291" t="s">
        <v>3538</v>
      </c>
    </row>
    <row r="293" spans="1:1" x14ac:dyDescent="0.3">
      <c r="A293" t="s">
        <v>5211</v>
      </c>
    </row>
    <row r="294" spans="1:1" x14ac:dyDescent="0.3">
      <c r="A294" t="s">
        <v>5212</v>
      </c>
    </row>
    <row r="295" spans="1:1" x14ac:dyDescent="0.3">
      <c r="A295" t="s">
        <v>5213</v>
      </c>
    </row>
    <row r="296" spans="1:1" x14ac:dyDescent="0.3">
      <c r="A296" t="s">
        <v>5214</v>
      </c>
    </row>
    <row r="297" spans="1:1" x14ac:dyDescent="0.3">
      <c r="A297" t="s">
        <v>5215</v>
      </c>
    </row>
    <row r="299" spans="1:1" x14ac:dyDescent="0.3">
      <c r="A299" s="1" t="s">
        <v>5216</v>
      </c>
    </row>
    <row r="300" spans="1:1" x14ac:dyDescent="0.3">
      <c r="A300" t="s">
        <v>5217</v>
      </c>
    </row>
    <row r="301" spans="1:1" x14ac:dyDescent="0.3">
      <c r="A301" t="s">
        <v>5218</v>
      </c>
    </row>
    <row r="302" spans="1:1" x14ac:dyDescent="0.3">
      <c r="A302" t="s">
        <v>5219</v>
      </c>
    </row>
    <row r="303" spans="1:1" x14ac:dyDescent="0.3">
      <c r="A303" t="s">
        <v>5220</v>
      </c>
    </row>
    <row r="304" spans="1:1" x14ac:dyDescent="0.3">
      <c r="A304" t="s">
        <v>5221</v>
      </c>
    </row>
    <row r="305" spans="1:1" x14ac:dyDescent="0.3">
      <c r="A305" t="s">
        <v>5222</v>
      </c>
    </row>
    <row r="307" spans="1:1" x14ac:dyDescent="0.3">
      <c r="A307" s="332" t="s">
        <v>3538</v>
      </c>
    </row>
    <row r="308" spans="1:1" x14ac:dyDescent="0.3">
      <c r="A308" t="s">
        <v>5223</v>
      </c>
    </row>
    <row r="309" spans="1:1" x14ac:dyDescent="0.3">
      <c r="A309" t="s">
        <v>3538</v>
      </c>
    </row>
  </sheetData>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2DA7-418B-4D76-91D3-A3D7ABF8734B}">
  <sheetPr>
    <tabColor theme="4"/>
  </sheetPr>
  <dimension ref="A1:F244"/>
  <sheetViews>
    <sheetView workbookViewId="0">
      <pane ySplit="1" topLeftCell="A5" activePane="bottomLeft" state="frozen"/>
      <selection activeCell="H3" sqref="H3"/>
      <selection pane="bottomLeft" activeCell="B21" sqref="B21"/>
    </sheetView>
  </sheetViews>
  <sheetFormatPr defaultRowHeight="14.4" x14ac:dyDescent="0.3"/>
  <cols>
    <col min="1" max="1" width="25.88671875" customWidth="1"/>
    <col min="2" max="3" width="22.21875" customWidth="1"/>
    <col min="4" max="4" width="33.33203125" customWidth="1"/>
    <col min="5" max="5" width="22.21875" customWidth="1"/>
    <col min="6" max="6" width="9.21875" customWidth="1"/>
  </cols>
  <sheetData>
    <row r="1" spans="1:6" ht="23.4" x14ac:dyDescent="0.45">
      <c r="A1" s="363" t="s">
        <v>3503</v>
      </c>
      <c r="B1" s="363"/>
      <c r="C1" s="363"/>
      <c r="D1" s="363"/>
      <c r="E1" s="363"/>
      <c r="F1" s="363"/>
    </row>
    <row r="2" spans="1:6" x14ac:dyDescent="0.3">
      <c r="A2" s="364" t="s">
        <v>3504</v>
      </c>
      <c r="B2" s="364"/>
      <c r="C2" s="364"/>
      <c r="D2" s="364"/>
      <c r="E2" s="364"/>
      <c r="F2" s="364"/>
    </row>
    <row r="3" spans="1:6" x14ac:dyDescent="0.3">
      <c r="A3" s="58" t="s">
        <v>3505</v>
      </c>
    </row>
    <row r="6" spans="1:6" x14ac:dyDescent="0.3">
      <c r="A6" s="1" t="s">
        <v>3506</v>
      </c>
    </row>
    <row r="7" spans="1:6" x14ac:dyDescent="0.3">
      <c r="A7" s="154" t="s">
        <v>1799</v>
      </c>
      <c r="B7" s="154" t="s">
        <v>1800</v>
      </c>
      <c r="C7" s="154" t="s">
        <v>3507</v>
      </c>
    </row>
    <row r="8" spans="1:6" x14ac:dyDescent="0.3">
      <c r="A8" t="s">
        <v>3508</v>
      </c>
      <c r="B8">
        <v>8</v>
      </c>
      <c r="C8" t="s">
        <v>3509</v>
      </c>
    </row>
    <row r="9" spans="1:6" x14ac:dyDescent="0.3">
      <c r="A9" t="s">
        <v>3510</v>
      </c>
      <c r="B9">
        <v>84</v>
      </c>
      <c r="C9" t="s">
        <v>3509</v>
      </c>
    </row>
    <row r="10" spans="1:6" x14ac:dyDescent="0.3">
      <c r="A10" t="s">
        <v>1802</v>
      </c>
      <c r="B10">
        <v>80</v>
      </c>
      <c r="C10" t="s">
        <v>3511</v>
      </c>
    </row>
    <row r="11" spans="1:6" x14ac:dyDescent="0.3">
      <c r="A11" t="s">
        <v>3512</v>
      </c>
      <c r="B11" t="s">
        <v>3513</v>
      </c>
      <c r="C11" t="s">
        <v>3514</v>
      </c>
    </row>
    <row r="12" spans="1:6" x14ac:dyDescent="0.3">
      <c r="A12" t="s">
        <v>2764</v>
      </c>
      <c r="B12" t="s">
        <v>3515</v>
      </c>
      <c r="C12" t="s">
        <v>3516</v>
      </c>
    </row>
    <row r="14" spans="1:6" ht="15.6" x14ac:dyDescent="0.3">
      <c r="A14" s="155" t="s">
        <v>3050</v>
      </c>
    </row>
    <row r="15" spans="1:6" x14ac:dyDescent="0.3">
      <c r="A15" s="156" t="s">
        <v>3051</v>
      </c>
      <c r="B15" s="156" t="s">
        <v>3517</v>
      </c>
      <c r="C15" s="156" t="s">
        <v>3518</v>
      </c>
      <c r="D15" s="156" t="s">
        <v>3052</v>
      </c>
      <c r="E15" s="156"/>
      <c r="F15" s="156"/>
    </row>
    <row r="16" spans="1:6" x14ac:dyDescent="0.3">
      <c r="A16" t="s">
        <v>3053</v>
      </c>
      <c r="B16" t="s">
        <v>3519</v>
      </c>
      <c r="C16" t="s">
        <v>5</v>
      </c>
      <c r="D16" t="s">
        <v>3054</v>
      </c>
    </row>
    <row r="17" spans="1:6" x14ac:dyDescent="0.3">
      <c r="A17" t="s">
        <v>3055</v>
      </c>
      <c r="B17" t="s">
        <v>3520</v>
      </c>
      <c r="C17" t="s">
        <v>6</v>
      </c>
      <c r="D17" t="s">
        <v>3056</v>
      </c>
    </row>
    <row r="18" spans="1:6" x14ac:dyDescent="0.3">
      <c r="A18" t="s">
        <v>3057</v>
      </c>
      <c r="B18" t="s">
        <v>7</v>
      </c>
      <c r="C18" t="s">
        <v>7</v>
      </c>
      <c r="D18" t="s">
        <v>3058</v>
      </c>
    </row>
    <row r="19" spans="1:6" x14ac:dyDescent="0.3">
      <c r="A19" t="s">
        <v>3059</v>
      </c>
      <c r="B19" t="s">
        <v>3521</v>
      </c>
      <c r="C19" t="s">
        <v>8</v>
      </c>
      <c r="D19" t="s">
        <v>3060</v>
      </c>
    </row>
    <row r="20" spans="1:6" x14ac:dyDescent="0.3">
      <c r="A20" t="s">
        <v>3061</v>
      </c>
      <c r="B20" t="s">
        <v>9</v>
      </c>
      <c r="C20" t="s">
        <v>9</v>
      </c>
      <c r="D20" t="s">
        <v>3062</v>
      </c>
    </row>
    <row r="21" spans="1:6" x14ac:dyDescent="0.3">
      <c r="A21" t="s">
        <v>3063</v>
      </c>
      <c r="B21" t="s">
        <v>10</v>
      </c>
      <c r="C21" t="s">
        <v>10</v>
      </c>
      <c r="D21" t="s">
        <v>3064</v>
      </c>
    </row>
    <row r="22" spans="1:6" x14ac:dyDescent="0.3">
      <c r="A22" t="s">
        <v>3065</v>
      </c>
      <c r="B22" t="s">
        <v>3522</v>
      </c>
      <c r="C22" t="s">
        <v>11</v>
      </c>
      <c r="D22" t="s">
        <v>3066</v>
      </c>
    </row>
    <row r="23" spans="1:6" x14ac:dyDescent="0.3">
      <c r="A23" t="s">
        <v>3067</v>
      </c>
      <c r="B23" t="s">
        <v>3168</v>
      </c>
      <c r="C23" t="s">
        <v>12</v>
      </c>
      <c r="D23" t="s">
        <v>3068</v>
      </c>
    </row>
    <row r="26" spans="1:6" ht="15.6" x14ac:dyDescent="0.3">
      <c r="A26" s="155" t="s">
        <v>3069</v>
      </c>
    </row>
    <row r="27" spans="1:6" x14ac:dyDescent="0.3">
      <c r="A27" s="156" t="s">
        <v>3070</v>
      </c>
      <c r="B27" s="156" t="s">
        <v>3523</v>
      </c>
      <c r="C27" s="156" t="s">
        <v>3071</v>
      </c>
      <c r="D27" s="156" t="s">
        <v>2358</v>
      </c>
      <c r="E27" s="156" t="s">
        <v>1919</v>
      </c>
      <c r="F27" s="156"/>
    </row>
    <row r="28" spans="1:6" x14ac:dyDescent="0.3">
      <c r="A28" t="s">
        <v>3072</v>
      </c>
      <c r="B28" t="s">
        <v>3073</v>
      </c>
      <c r="C28">
        <v>1</v>
      </c>
      <c r="D28" t="s">
        <v>3074</v>
      </c>
      <c r="E28" t="s">
        <v>3524</v>
      </c>
    </row>
    <row r="29" spans="1:6" x14ac:dyDescent="0.3">
      <c r="A29" t="s">
        <v>3075</v>
      </c>
      <c r="B29" t="s">
        <v>2337</v>
      </c>
      <c r="C29">
        <v>2</v>
      </c>
      <c r="D29" t="s">
        <v>2559</v>
      </c>
      <c r="E29" t="s">
        <v>3525</v>
      </c>
    </row>
    <row r="30" spans="1:6" x14ac:dyDescent="0.3">
      <c r="A30" t="s">
        <v>29</v>
      </c>
      <c r="B30" t="s">
        <v>3076</v>
      </c>
      <c r="C30">
        <v>3</v>
      </c>
      <c r="D30" t="s">
        <v>2559</v>
      </c>
      <c r="E30" t="s">
        <v>3526</v>
      </c>
    </row>
    <row r="31" spans="1:6" x14ac:dyDescent="0.3">
      <c r="A31" t="s">
        <v>3077</v>
      </c>
      <c r="B31" t="s">
        <v>3078</v>
      </c>
      <c r="C31">
        <v>4</v>
      </c>
      <c r="D31" t="s">
        <v>2559</v>
      </c>
      <c r="E31" t="s">
        <v>3527</v>
      </c>
    </row>
    <row r="32" spans="1:6" x14ac:dyDescent="0.3">
      <c r="A32" t="s">
        <v>3079</v>
      </c>
      <c r="B32" t="s">
        <v>3080</v>
      </c>
      <c r="C32">
        <v>5</v>
      </c>
      <c r="D32" t="s">
        <v>3074</v>
      </c>
      <c r="E32" t="s">
        <v>3528</v>
      </c>
    </row>
    <row r="33" spans="1:6" x14ac:dyDescent="0.3">
      <c r="A33" t="s">
        <v>32</v>
      </c>
      <c r="B33" t="s">
        <v>3081</v>
      </c>
      <c r="C33">
        <v>6</v>
      </c>
      <c r="D33" t="s">
        <v>3074</v>
      </c>
      <c r="E33" t="s">
        <v>3082</v>
      </c>
    </row>
    <row r="36" spans="1:6" ht="15.6" x14ac:dyDescent="0.3">
      <c r="A36" s="155" t="s">
        <v>3083</v>
      </c>
    </row>
    <row r="37" spans="1:6" x14ac:dyDescent="0.3">
      <c r="A37" s="156" t="s">
        <v>3084</v>
      </c>
      <c r="B37" s="156" t="s">
        <v>1786</v>
      </c>
      <c r="C37" s="156" t="s">
        <v>1790</v>
      </c>
      <c r="D37" s="156" t="s">
        <v>1794</v>
      </c>
      <c r="E37" s="156" t="s">
        <v>3085</v>
      </c>
      <c r="F37" s="156" t="s">
        <v>3091</v>
      </c>
    </row>
    <row r="38" spans="1:6" x14ac:dyDescent="0.3">
      <c r="A38" t="s">
        <v>117</v>
      </c>
      <c r="B38">
        <v>3</v>
      </c>
      <c r="C38">
        <v>2</v>
      </c>
      <c r="D38">
        <v>1</v>
      </c>
      <c r="E38" t="s">
        <v>3086</v>
      </c>
      <c r="F38" t="s">
        <v>3529</v>
      </c>
    </row>
    <row r="39" spans="1:6" x14ac:dyDescent="0.3">
      <c r="A39" t="s">
        <v>127</v>
      </c>
      <c r="B39">
        <v>5</v>
      </c>
      <c r="C39">
        <v>3</v>
      </c>
      <c r="D39">
        <v>2</v>
      </c>
      <c r="E39" t="s">
        <v>3087</v>
      </c>
      <c r="F39" t="s">
        <v>3530</v>
      </c>
    </row>
    <row r="40" spans="1:6" x14ac:dyDescent="0.3">
      <c r="A40" t="s">
        <v>163</v>
      </c>
      <c r="B40">
        <v>10</v>
      </c>
      <c r="C40">
        <v>5</v>
      </c>
      <c r="D40">
        <v>4</v>
      </c>
      <c r="E40" t="s">
        <v>3088</v>
      </c>
      <c r="F40" t="s">
        <v>3531</v>
      </c>
    </row>
    <row r="42" spans="1:6" ht="15.6" x14ac:dyDescent="0.3">
      <c r="A42" s="155" t="s">
        <v>3089</v>
      </c>
    </row>
    <row r="43" spans="1:6" x14ac:dyDescent="0.3">
      <c r="A43" s="156" t="s">
        <v>3042</v>
      </c>
      <c r="B43" s="156" t="s">
        <v>3090</v>
      </c>
      <c r="C43" s="156" t="s">
        <v>3191</v>
      </c>
      <c r="D43" s="156" t="s">
        <v>1919</v>
      </c>
      <c r="E43" s="156" t="s">
        <v>3091</v>
      </c>
      <c r="F43" s="156"/>
    </row>
    <row r="44" spans="1:6" x14ac:dyDescent="0.3">
      <c r="A44" t="s">
        <v>128</v>
      </c>
      <c r="B44" t="s">
        <v>3092</v>
      </c>
      <c r="C44" t="s">
        <v>3156</v>
      </c>
      <c r="D44" t="s">
        <v>3532</v>
      </c>
      <c r="E44" t="s">
        <v>3533</v>
      </c>
    </row>
    <row r="45" spans="1:6" x14ac:dyDescent="0.3">
      <c r="A45" t="s">
        <v>127</v>
      </c>
      <c r="B45" t="s">
        <v>3093</v>
      </c>
      <c r="C45" t="s">
        <v>3151</v>
      </c>
      <c r="D45" t="s">
        <v>3094</v>
      </c>
      <c r="E45" t="s">
        <v>3534</v>
      </c>
    </row>
    <row r="46" spans="1:6" x14ac:dyDescent="0.3">
      <c r="A46" t="s">
        <v>118</v>
      </c>
      <c r="B46" t="s">
        <v>3095</v>
      </c>
      <c r="C46" t="s">
        <v>3149</v>
      </c>
      <c r="D46" t="s">
        <v>3096</v>
      </c>
      <c r="E46" t="s">
        <v>3097</v>
      </c>
    </row>
    <row r="48" spans="1:6" ht="15.6" x14ac:dyDescent="0.3">
      <c r="A48" s="155" t="s">
        <v>3098</v>
      </c>
    </row>
    <row r="49" spans="1:6" x14ac:dyDescent="0.3">
      <c r="A49" s="156" t="s">
        <v>107</v>
      </c>
      <c r="B49" s="156" t="s">
        <v>3090</v>
      </c>
      <c r="C49" s="156" t="s">
        <v>3099</v>
      </c>
      <c r="D49" s="156" t="s">
        <v>3100</v>
      </c>
      <c r="E49" s="156" t="s">
        <v>1919</v>
      </c>
      <c r="F49" s="156"/>
    </row>
    <row r="50" spans="1:6" x14ac:dyDescent="0.3">
      <c r="A50" t="s">
        <v>2166</v>
      </c>
      <c r="B50" t="s">
        <v>3101</v>
      </c>
      <c r="C50" t="s">
        <v>3102</v>
      </c>
      <c r="D50" t="s">
        <v>3103</v>
      </c>
      <c r="E50" t="s">
        <v>3104</v>
      </c>
    </row>
    <row r="51" spans="1:6" x14ac:dyDescent="0.3">
      <c r="A51" t="s">
        <v>128</v>
      </c>
      <c r="B51" t="s">
        <v>3105</v>
      </c>
      <c r="C51" t="s">
        <v>3106</v>
      </c>
      <c r="D51" t="s">
        <v>3107</v>
      </c>
      <c r="E51" t="s">
        <v>3108</v>
      </c>
    </row>
    <row r="52" spans="1:6" x14ac:dyDescent="0.3">
      <c r="A52" t="s">
        <v>127</v>
      </c>
      <c r="B52" t="s">
        <v>3109</v>
      </c>
      <c r="C52" t="s">
        <v>3110</v>
      </c>
      <c r="D52" t="s">
        <v>3111</v>
      </c>
      <c r="E52" t="s">
        <v>3112</v>
      </c>
    </row>
    <row r="53" spans="1:6" x14ac:dyDescent="0.3">
      <c r="A53" t="s">
        <v>118</v>
      </c>
      <c r="B53" t="s">
        <v>3113</v>
      </c>
      <c r="C53" t="s">
        <v>3114</v>
      </c>
      <c r="D53" t="s">
        <v>496</v>
      </c>
      <c r="E53" t="s">
        <v>3115</v>
      </c>
    </row>
    <row r="55" spans="1:6" ht="15.6" x14ac:dyDescent="0.3">
      <c r="A55" s="155" t="s">
        <v>3116</v>
      </c>
    </row>
    <row r="56" spans="1:6" x14ac:dyDescent="0.3">
      <c r="A56" s="156" t="s">
        <v>3117</v>
      </c>
      <c r="B56" s="156" t="s">
        <v>3118</v>
      </c>
      <c r="C56" s="156" t="s">
        <v>3119</v>
      </c>
      <c r="D56" s="156" t="s">
        <v>1919</v>
      </c>
      <c r="E56" s="156"/>
      <c r="F56" s="156"/>
    </row>
    <row r="57" spans="1:6" x14ac:dyDescent="0.3">
      <c r="A57" t="s">
        <v>3120</v>
      </c>
      <c r="B57" t="s">
        <v>2568</v>
      </c>
      <c r="C57" t="s">
        <v>3121</v>
      </c>
      <c r="D57" t="s">
        <v>3122</v>
      </c>
    </row>
    <row r="58" spans="1:6" x14ac:dyDescent="0.3">
      <c r="A58" t="s">
        <v>3123</v>
      </c>
      <c r="B58" t="s">
        <v>3124</v>
      </c>
      <c r="C58" t="s">
        <v>3125</v>
      </c>
      <c r="D58" t="s">
        <v>3126</v>
      </c>
    </row>
    <row r="59" spans="1:6" x14ac:dyDescent="0.3">
      <c r="A59" t="s">
        <v>3127</v>
      </c>
      <c r="B59" t="s">
        <v>2579</v>
      </c>
      <c r="C59" t="s">
        <v>3125</v>
      </c>
      <c r="D59" t="s">
        <v>3128</v>
      </c>
    </row>
    <row r="60" spans="1:6" x14ac:dyDescent="0.3">
      <c r="A60" t="s">
        <v>3129</v>
      </c>
      <c r="B60" t="s">
        <v>2578</v>
      </c>
      <c r="C60" t="s">
        <v>2555</v>
      </c>
      <c r="D60" t="s">
        <v>3130</v>
      </c>
    </row>
    <row r="61" spans="1:6" x14ac:dyDescent="0.3">
      <c r="A61" t="s">
        <v>3131</v>
      </c>
      <c r="B61" t="s">
        <v>2287</v>
      </c>
      <c r="C61" t="s">
        <v>874</v>
      </c>
      <c r="D61" t="s">
        <v>3132</v>
      </c>
    </row>
    <row r="62" spans="1:6" x14ac:dyDescent="0.3">
      <c r="A62" t="s">
        <v>3133</v>
      </c>
      <c r="B62" t="s">
        <v>2577</v>
      </c>
      <c r="C62" t="s">
        <v>3134</v>
      </c>
      <c r="D62" t="s">
        <v>3135</v>
      </c>
    </row>
    <row r="63" spans="1:6" x14ac:dyDescent="0.3">
      <c r="A63" t="s">
        <v>3136</v>
      </c>
      <c r="B63" t="s">
        <v>2550</v>
      </c>
      <c r="C63" t="s">
        <v>3134</v>
      </c>
      <c r="D63" t="s">
        <v>3137</v>
      </c>
    </row>
    <row r="64" spans="1:6" x14ac:dyDescent="0.3">
      <c r="A64" t="s">
        <v>3138</v>
      </c>
      <c r="B64" t="s">
        <v>3139</v>
      </c>
      <c r="C64" t="s">
        <v>3140</v>
      </c>
      <c r="D64" t="s">
        <v>3141</v>
      </c>
    </row>
    <row r="65" spans="1:6" x14ac:dyDescent="0.3">
      <c r="A65" t="s">
        <v>3142</v>
      </c>
      <c r="B65" t="s">
        <v>3143</v>
      </c>
      <c r="C65" t="s">
        <v>3140</v>
      </c>
      <c r="D65" t="s">
        <v>3144</v>
      </c>
    </row>
    <row r="66" spans="1:6" x14ac:dyDescent="0.3">
      <c r="A66" t="s">
        <v>3535</v>
      </c>
      <c r="B66" t="s">
        <v>3536</v>
      </c>
      <c r="C66" t="s">
        <v>3140</v>
      </c>
      <c r="D66" t="s">
        <v>3537</v>
      </c>
    </row>
    <row r="68" spans="1:6" ht="15.6" x14ac:dyDescent="0.3">
      <c r="A68" s="155" t="s">
        <v>3145</v>
      </c>
    </row>
    <row r="69" spans="1:6" x14ac:dyDescent="0.3">
      <c r="A69" s="156" t="s">
        <v>2738</v>
      </c>
      <c r="B69" s="156" t="s">
        <v>2737</v>
      </c>
      <c r="C69" s="156" t="s">
        <v>3146</v>
      </c>
      <c r="D69" s="156" t="s">
        <v>3147</v>
      </c>
      <c r="E69" s="156" t="s">
        <v>3148</v>
      </c>
      <c r="F69" s="156"/>
    </row>
    <row r="70" spans="1:6" x14ac:dyDescent="0.3">
      <c r="A70" t="s">
        <v>2740</v>
      </c>
      <c r="B70" t="s">
        <v>3043</v>
      </c>
      <c r="C70" t="s">
        <v>3149</v>
      </c>
      <c r="D70" t="s">
        <v>3150</v>
      </c>
      <c r="E70" t="s">
        <v>1057</v>
      </c>
    </row>
    <row r="71" spans="1:6" x14ac:dyDescent="0.3">
      <c r="A71" t="s">
        <v>2742</v>
      </c>
      <c r="B71" t="s">
        <v>2741</v>
      </c>
      <c r="C71" t="s">
        <v>3151</v>
      </c>
      <c r="D71" t="s">
        <v>3045</v>
      </c>
      <c r="E71" t="s">
        <v>3152</v>
      </c>
    </row>
    <row r="72" spans="1:6" x14ac:dyDescent="0.3">
      <c r="A72" t="s">
        <v>495</v>
      </c>
      <c r="B72" t="s">
        <v>2743</v>
      </c>
      <c r="C72" t="s">
        <v>3153</v>
      </c>
      <c r="D72" t="s">
        <v>3154</v>
      </c>
      <c r="E72" t="s">
        <v>3155</v>
      </c>
    </row>
    <row r="73" spans="1:6" x14ac:dyDescent="0.3">
      <c r="A73" t="s">
        <v>518</v>
      </c>
      <c r="B73" t="s">
        <v>2744</v>
      </c>
      <c r="C73" t="s">
        <v>3156</v>
      </c>
      <c r="D73" t="s">
        <v>3157</v>
      </c>
      <c r="E73" t="s">
        <v>3158</v>
      </c>
    </row>
    <row r="74" spans="1:6" x14ac:dyDescent="0.3">
      <c r="A74" t="s">
        <v>2745</v>
      </c>
      <c r="B74" t="s">
        <v>3048</v>
      </c>
      <c r="C74" t="s">
        <v>3159</v>
      </c>
      <c r="D74" t="s">
        <v>3160</v>
      </c>
      <c r="E74" t="s">
        <v>3161</v>
      </c>
    </row>
    <row r="76" spans="1:6" ht="15.6" x14ac:dyDescent="0.3">
      <c r="A76" s="155" t="s">
        <v>3162</v>
      </c>
    </row>
    <row r="77" spans="1:6" x14ac:dyDescent="0.3">
      <c r="A77" s="156" t="s">
        <v>2633</v>
      </c>
      <c r="B77" s="156" t="s">
        <v>3090</v>
      </c>
      <c r="C77" s="156" t="s">
        <v>2636</v>
      </c>
      <c r="D77" s="156" t="s">
        <v>3163</v>
      </c>
      <c r="E77" s="156" t="s">
        <v>3164</v>
      </c>
      <c r="F77" s="156"/>
    </row>
    <row r="78" spans="1:6" x14ac:dyDescent="0.3">
      <c r="A78" t="s">
        <v>3165</v>
      </c>
      <c r="B78" t="s">
        <v>3166</v>
      </c>
      <c r="C78" t="s">
        <v>3167</v>
      </c>
      <c r="D78">
        <v>24</v>
      </c>
      <c r="E78">
        <v>1</v>
      </c>
    </row>
    <row r="79" spans="1:6" x14ac:dyDescent="0.3">
      <c r="A79" t="s">
        <v>2648</v>
      </c>
      <c r="B79" t="s">
        <v>3168</v>
      </c>
      <c r="C79" t="s">
        <v>2854</v>
      </c>
      <c r="D79">
        <v>48</v>
      </c>
      <c r="E79">
        <v>2</v>
      </c>
    </row>
    <row r="80" spans="1:6" x14ac:dyDescent="0.3">
      <c r="A80" t="s">
        <v>2653</v>
      </c>
      <c r="B80" t="s">
        <v>3169</v>
      </c>
      <c r="C80" t="s">
        <v>3170</v>
      </c>
      <c r="D80">
        <v>24</v>
      </c>
      <c r="E80">
        <v>3</v>
      </c>
    </row>
    <row r="81" spans="1:6" x14ac:dyDescent="0.3">
      <c r="A81" t="s">
        <v>3171</v>
      </c>
      <c r="B81" t="s">
        <v>983</v>
      </c>
      <c r="C81" t="s">
        <v>982</v>
      </c>
      <c r="D81">
        <v>8</v>
      </c>
      <c r="E81">
        <v>4</v>
      </c>
    </row>
    <row r="82" spans="1:6" x14ac:dyDescent="0.3">
      <c r="A82" t="s">
        <v>3172</v>
      </c>
      <c r="B82" t="s">
        <v>3173</v>
      </c>
      <c r="C82" t="s">
        <v>3174</v>
      </c>
      <c r="D82">
        <v>48</v>
      </c>
      <c r="E82">
        <v>5</v>
      </c>
    </row>
    <row r="83" spans="1:6" x14ac:dyDescent="0.3">
      <c r="A83" t="s">
        <v>3175</v>
      </c>
      <c r="B83" t="s">
        <v>3176</v>
      </c>
      <c r="C83" t="s">
        <v>1057</v>
      </c>
      <c r="D83">
        <v>4</v>
      </c>
      <c r="E83">
        <v>6</v>
      </c>
    </row>
    <row r="85" spans="1:6" ht="15.6" x14ac:dyDescent="0.3">
      <c r="A85" s="155" t="s">
        <v>3177</v>
      </c>
    </row>
    <row r="86" spans="1:6" x14ac:dyDescent="0.3">
      <c r="A86" s="156" t="s">
        <v>383</v>
      </c>
      <c r="B86" s="156" t="s">
        <v>3090</v>
      </c>
      <c r="C86" s="156" t="s">
        <v>106</v>
      </c>
      <c r="D86" s="156" t="s">
        <v>1919</v>
      </c>
      <c r="E86" s="156"/>
      <c r="F86" s="156"/>
    </row>
    <row r="87" spans="1:6" x14ac:dyDescent="0.3">
      <c r="A87" t="s">
        <v>2587</v>
      </c>
      <c r="B87" t="s">
        <v>3178</v>
      </c>
      <c r="C87" t="s">
        <v>3179</v>
      </c>
      <c r="D87" t="s">
        <v>3180</v>
      </c>
    </row>
    <row r="88" spans="1:6" x14ac:dyDescent="0.3">
      <c r="A88" t="s">
        <v>2592</v>
      </c>
      <c r="B88" t="s">
        <v>3181</v>
      </c>
      <c r="C88" t="s">
        <v>3182</v>
      </c>
      <c r="D88" t="s">
        <v>3183</v>
      </c>
    </row>
    <row r="89" spans="1:6" x14ac:dyDescent="0.3">
      <c r="A89" t="s">
        <v>2349</v>
      </c>
      <c r="B89" t="s">
        <v>3166</v>
      </c>
      <c r="C89" t="s">
        <v>3179</v>
      </c>
      <c r="D89" t="s">
        <v>3184</v>
      </c>
    </row>
    <row r="90" spans="1:6" x14ac:dyDescent="0.3">
      <c r="A90" t="s">
        <v>2296</v>
      </c>
      <c r="B90" t="s">
        <v>3185</v>
      </c>
      <c r="C90" t="s">
        <v>3179</v>
      </c>
      <c r="D90" t="s">
        <v>3186</v>
      </c>
    </row>
    <row r="91" spans="1:6" x14ac:dyDescent="0.3">
      <c r="A91" t="s">
        <v>514</v>
      </c>
      <c r="B91" t="s">
        <v>3187</v>
      </c>
      <c r="C91" t="s">
        <v>3188</v>
      </c>
      <c r="D91" t="s">
        <v>3189</v>
      </c>
    </row>
    <row r="93" spans="1:6" ht="15.6" x14ac:dyDescent="0.3">
      <c r="A93" s="155" t="s">
        <v>3190</v>
      </c>
    </row>
    <row r="94" spans="1:6" x14ac:dyDescent="0.3">
      <c r="A94" s="156" t="s">
        <v>112</v>
      </c>
      <c r="B94" s="156" t="s">
        <v>3090</v>
      </c>
      <c r="C94" s="156" t="s">
        <v>3191</v>
      </c>
      <c r="D94" s="156" t="s">
        <v>1919</v>
      </c>
      <c r="E94" s="156"/>
      <c r="F94" s="156"/>
    </row>
    <row r="95" spans="1:6" x14ac:dyDescent="0.3">
      <c r="A95" t="s">
        <v>2588</v>
      </c>
      <c r="B95" t="s">
        <v>3192</v>
      </c>
      <c r="C95" t="s">
        <v>3149</v>
      </c>
      <c r="D95" t="s">
        <v>3193</v>
      </c>
    </row>
    <row r="96" spans="1:6" x14ac:dyDescent="0.3">
      <c r="A96" t="s">
        <v>2551</v>
      </c>
      <c r="B96" t="s">
        <v>3194</v>
      </c>
      <c r="C96" t="s">
        <v>3151</v>
      </c>
      <c r="D96" t="s">
        <v>3195</v>
      </c>
    </row>
    <row r="97" spans="1:6" x14ac:dyDescent="0.3">
      <c r="A97" t="s">
        <v>2577</v>
      </c>
      <c r="B97" t="s">
        <v>3196</v>
      </c>
      <c r="C97" t="s">
        <v>3156</v>
      </c>
      <c r="D97" t="s">
        <v>3197</v>
      </c>
    </row>
    <row r="98" spans="1:6" x14ac:dyDescent="0.3">
      <c r="A98" t="s">
        <v>2599</v>
      </c>
      <c r="B98" t="s">
        <v>3198</v>
      </c>
      <c r="C98" t="s">
        <v>3199</v>
      </c>
      <c r="D98" t="s">
        <v>3200</v>
      </c>
    </row>
    <row r="100" spans="1:6" ht="15.6" x14ac:dyDescent="0.3">
      <c r="A100" s="155" t="s">
        <v>3201</v>
      </c>
    </row>
    <row r="101" spans="1:6" x14ac:dyDescent="0.3">
      <c r="A101" s="156" t="s">
        <v>1942</v>
      </c>
      <c r="B101" s="156" t="s">
        <v>3090</v>
      </c>
      <c r="C101" s="156" t="s">
        <v>1945</v>
      </c>
      <c r="D101" s="156" t="s">
        <v>3202</v>
      </c>
      <c r="E101" s="156"/>
      <c r="F101" s="156"/>
    </row>
    <row r="102" spans="1:6" x14ac:dyDescent="0.3">
      <c r="A102" t="s">
        <v>1947</v>
      </c>
      <c r="B102" t="s">
        <v>3203</v>
      </c>
      <c r="C102" t="s">
        <v>3204</v>
      </c>
      <c r="D102" t="s">
        <v>3205</v>
      </c>
    </row>
    <row r="103" spans="1:6" x14ac:dyDescent="0.3">
      <c r="A103" t="s">
        <v>1952</v>
      </c>
      <c r="B103" t="s">
        <v>3206</v>
      </c>
      <c r="C103" t="s">
        <v>118</v>
      </c>
      <c r="D103" t="s">
        <v>3207</v>
      </c>
    </row>
    <row r="104" spans="1:6" x14ac:dyDescent="0.3">
      <c r="A104" t="s">
        <v>1956</v>
      </c>
      <c r="B104" t="s">
        <v>3208</v>
      </c>
      <c r="C104" t="s">
        <v>3188</v>
      </c>
      <c r="D104" t="s">
        <v>3209</v>
      </c>
    </row>
    <row r="105" spans="1:6" x14ac:dyDescent="0.3">
      <c r="A105" t="s">
        <v>1975</v>
      </c>
      <c r="B105" t="s">
        <v>3210</v>
      </c>
      <c r="C105" t="s">
        <v>118</v>
      </c>
      <c r="D105" t="s">
        <v>3211</v>
      </c>
    </row>
    <row r="106" spans="1:6" x14ac:dyDescent="0.3">
      <c r="A106" t="s">
        <v>2424</v>
      </c>
      <c r="B106" t="s">
        <v>3212</v>
      </c>
      <c r="C106" t="s">
        <v>118</v>
      </c>
      <c r="D106" t="s">
        <v>3213</v>
      </c>
    </row>
    <row r="108" spans="1:6" ht="15.6" x14ac:dyDescent="0.3">
      <c r="A108" s="155" t="s">
        <v>3214</v>
      </c>
    </row>
    <row r="109" spans="1:6" x14ac:dyDescent="0.3">
      <c r="A109" s="156" t="s">
        <v>936</v>
      </c>
      <c r="B109" s="156" t="s">
        <v>3090</v>
      </c>
      <c r="C109" s="156" t="s">
        <v>3215</v>
      </c>
      <c r="D109" s="156" t="s">
        <v>3216</v>
      </c>
      <c r="E109" s="156" t="s">
        <v>945</v>
      </c>
      <c r="F109" s="156"/>
    </row>
    <row r="110" spans="1:6" x14ac:dyDescent="0.3">
      <c r="A110" t="s">
        <v>3217</v>
      </c>
      <c r="B110" t="s">
        <v>3218</v>
      </c>
      <c r="C110" t="s">
        <v>3219</v>
      </c>
      <c r="D110" t="s">
        <v>3219</v>
      </c>
      <c r="E110" t="s">
        <v>3219</v>
      </c>
    </row>
    <row r="111" spans="1:6" x14ac:dyDescent="0.3">
      <c r="A111" t="s">
        <v>1057</v>
      </c>
      <c r="B111" t="s">
        <v>3220</v>
      </c>
      <c r="C111" t="s">
        <v>3219</v>
      </c>
      <c r="D111" t="s">
        <v>3219</v>
      </c>
      <c r="E111" t="s">
        <v>504</v>
      </c>
    </row>
    <row r="112" spans="1:6" x14ac:dyDescent="0.3">
      <c r="A112" t="s">
        <v>943</v>
      </c>
      <c r="B112" t="s">
        <v>3221</v>
      </c>
      <c r="C112" t="s">
        <v>3219</v>
      </c>
      <c r="D112" t="s">
        <v>3219</v>
      </c>
      <c r="E112" t="s">
        <v>2800</v>
      </c>
    </row>
    <row r="113" spans="1:6" x14ac:dyDescent="0.3">
      <c r="A113" t="s">
        <v>982</v>
      </c>
      <c r="B113" t="s">
        <v>3222</v>
      </c>
      <c r="C113" t="s">
        <v>2800</v>
      </c>
      <c r="D113" t="s">
        <v>3219</v>
      </c>
      <c r="E113" t="s">
        <v>2800</v>
      </c>
    </row>
    <row r="114" spans="1:6" x14ac:dyDescent="0.3">
      <c r="A114" t="s">
        <v>622</v>
      </c>
      <c r="B114" t="s">
        <v>3223</v>
      </c>
      <c r="C114" t="s">
        <v>3219</v>
      </c>
      <c r="D114" t="s">
        <v>3219</v>
      </c>
      <c r="E114" t="s">
        <v>2800</v>
      </c>
    </row>
    <row r="115" spans="1:6" x14ac:dyDescent="0.3">
      <c r="A115" t="s">
        <v>1020</v>
      </c>
      <c r="B115" t="s">
        <v>3224</v>
      </c>
      <c r="C115" t="s">
        <v>3219</v>
      </c>
      <c r="D115" t="s">
        <v>2800</v>
      </c>
      <c r="E115" t="s">
        <v>2800</v>
      </c>
    </row>
    <row r="116" spans="1:6" x14ac:dyDescent="0.3">
      <c r="A116" t="s">
        <v>3225</v>
      </c>
      <c r="B116" t="s">
        <v>3072</v>
      </c>
      <c r="C116" t="s">
        <v>504</v>
      </c>
      <c r="D116" t="s">
        <v>2800</v>
      </c>
      <c r="E116" t="s">
        <v>2800</v>
      </c>
    </row>
    <row r="117" spans="1:6" x14ac:dyDescent="0.3">
      <c r="A117" t="s">
        <v>3226</v>
      </c>
      <c r="B117" t="s">
        <v>3075</v>
      </c>
      <c r="C117" t="s">
        <v>2800</v>
      </c>
      <c r="D117" t="s">
        <v>2800</v>
      </c>
      <c r="E117" t="s">
        <v>2800</v>
      </c>
    </row>
    <row r="118" spans="1:6" x14ac:dyDescent="0.3">
      <c r="A118" t="s">
        <v>3227</v>
      </c>
      <c r="B118" t="s">
        <v>3228</v>
      </c>
      <c r="C118" t="s">
        <v>2800</v>
      </c>
      <c r="D118" t="s">
        <v>2800</v>
      </c>
      <c r="E118" t="s">
        <v>2800</v>
      </c>
    </row>
    <row r="119" spans="1:6" x14ac:dyDescent="0.3">
      <c r="A119" t="s">
        <v>3229</v>
      </c>
      <c r="B119" t="s">
        <v>3173</v>
      </c>
      <c r="C119" t="s">
        <v>2800</v>
      </c>
      <c r="D119" t="s">
        <v>3219</v>
      </c>
      <c r="E119" t="s">
        <v>2800</v>
      </c>
    </row>
    <row r="121" spans="1:6" ht="15.6" x14ac:dyDescent="0.3">
      <c r="A121" s="155" t="s">
        <v>3230</v>
      </c>
    </row>
    <row r="122" spans="1:6" x14ac:dyDescent="0.3">
      <c r="A122" s="156" t="s">
        <v>2700</v>
      </c>
      <c r="B122" s="156" t="s">
        <v>3090</v>
      </c>
      <c r="C122" s="156" t="s">
        <v>2278</v>
      </c>
      <c r="D122" s="156" t="s">
        <v>1919</v>
      </c>
      <c r="E122" s="156"/>
      <c r="F122" s="156"/>
    </row>
    <row r="123" spans="1:6" x14ac:dyDescent="0.3">
      <c r="A123" t="s">
        <v>1113</v>
      </c>
      <c r="B123" t="s">
        <v>3231</v>
      </c>
      <c r="C123" t="s">
        <v>128</v>
      </c>
      <c r="D123" t="s">
        <v>3232</v>
      </c>
    </row>
    <row r="124" spans="1:6" x14ac:dyDescent="0.3">
      <c r="A124" t="s">
        <v>2289</v>
      </c>
      <c r="B124" t="s">
        <v>3233</v>
      </c>
      <c r="C124" t="s">
        <v>127</v>
      </c>
      <c r="D124" t="s">
        <v>3234</v>
      </c>
    </row>
    <row r="125" spans="1:6" x14ac:dyDescent="0.3">
      <c r="A125" t="s">
        <v>2296</v>
      </c>
      <c r="B125" t="s">
        <v>3185</v>
      </c>
      <c r="C125" t="s">
        <v>128</v>
      </c>
      <c r="D125" t="s">
        <v>3235</v>
      </c>
    </row>
    <row r="126" spans="1:6" x14ac:dyDescent="0.3">
      <c r="A126" t="s">
        <v>514</v>
      </c>
      <c r="B126" t="s">
        <v>3187</v>
      </c>
      <c r="C126" t="s">
        <v>128</v>
      </c>
      <c r="D126" t="s">
        <v>3236</v>
      </c>
    </row>
    <row r="127" spans="1:6" x14ac:dyDescent="0.3">
      <c r="A127" t="s">
        <v>12</v>
      </c>
      <c r="B127" t="s">
        <v>3168</v>
      </c>
      <c r="C127" t="s">
        <v>2166</v>
      </c>
      <c r="D127" t="s">
        <v>3237</v>
      </c>
    </row>
    <row r="128" spans="1:6" x14ac:dyDescent="0.3">
      <c r="A128" t="s">
        <v>3090</v>
      </c>
      <c r="B128" t="s">
        <v>3238</v>
      </c>
      <c r="C128" t="s">
        <v>127</v>
      </c>
      <c r="D128" t="s">
        <v>3239</v>
      </c>
    </row>
    <row r="130" spans="1:6" ht="15.6" x14ac:dyDescent="0.3">
      <c r="A130" s="155" t="s">
        <v>3240</v>
      </c>
    </row>
    <row r="131" spans="1:6" x14ac:dyDescent="0.3">
      <c r="A131" s="156" t="s">
        <v>4</v>
      </c>
      <c r="B131" s="156" t="s">
        <v>383</v>
      </c>
      <c r="C131" s="156" t="s">
        <v>3241</v>
      </c>
      <c r="D131" s="156" t="s">
        <v>3242</v>
      </c>
      <c r="E131" s="156" t="s">
        <v>3243</v>
      </c>
      <c r="F131" s="156"/>
    </row>
    <row r="132" spans="1:6" x14ac:dyDescent="0.3">
      <c r="A132" t="s">
        <v>1934</v>
      </c>
      <c r="B132" t="s">
        <v>3244</v>
      </c>
      <c r="C132" t="s">
        <v>3245</v>
      </c>
      <c r="D132" t="s">
        <v>3246</v>
      </c>
      <c r="E132" t="s">
        <v>3247</v>
      </c>
    </row>
    <row r="133" spans="1:6" x14ac:dyDescent="0.3">
      <c r="A133" t="s">
        <v>3248</v>
      </c>
      <c r="B133" t="s">
        <v>3182</v>
      </c>
      <c r="C133" t="s">
        <v>1928</v>
      </c>
      <c r="D133" t="s">
        <v>3249</v>
      </c>
      <c r="E133" t="s">
        <v>3250</v>
      </c>
    </row>
    <row r="134" spans="1:6" x14ac:dyDescent="0.3">
      <c r="A134" t="s">
        <v>3251</v>
      </c>
      <c r="B134" t="s">
        <v>3182</v>
      </c>
      <c r="C134" t="s">
        <v>1928</v>
      </c>
      <c r="D134" t="s">
        <v>3252</v>
      </c>
      <c r="E134" t="s">
        <v>3250</v>
      </c>
    </row>
    <row r="135" spans="1:6" x14ac:dyDescent="0.3">
      <c r="A135" t="s">
        <v>3253</v>
      </c>
      <c r="B135" t="s">
        <v>3182</v>
      </c>
      <c r="C135" t="s">
        <v>1928</v>
      </c>
      <c r="D135" t="s">
        <v>3254</v>
      </c>
      <c r="E135" t="s">
        <v>3250</v>
      </c>
    </row>
    <row r="136" spans="1:6" x14ac:dyDescent="0.3">
      <c r="A136" t="s">
        <v>3255</v>
      </c>
      <c r="B136" t="s">
        <v>3188</v>
      </c>
      <c r="C136" t="s">
        <v>3256</v>
      </c>
      <c r="D136" t="s">
        <v>3257</v>
      </c>
      <c r="E136" t="s">
        <v>3258</v>
      </c>
    </row>
    <row r="137" spans="1:6" x14ac:dyDescent="0.3">
      <c r="A137" t="s">
        <v>3259</v>
      </c>
      <c r="B137" t="s">
        <v>3182</v>
      </c>
      <c r="C137" t="s">
        <v>3188</v>
      </c>
      <c r="D137" t="s">
        <v>3260</v>
      </c>
      <c r="E137" t="s">
        <v>3261</v>
      </c>
    </row>
    <row r="139" spans="1:6" ht="15.6" x14ac:dyDescent="0.3">
      <c r="A139" s="155" t="s">
        <v>3262</v>
      </c>
    </row>
    <row r="140" spans="1:6" x14ac:dyDescent="0.3">
      <c r="A140" s="156" t="s">
        <v>2700</v>
      </c>
      <c r="B140" s="156" t="s">
        <v>2701</v>
      </c>
      <c r="C140" s="156" t="s">
        <v>3263</v>
      </c>
      <c r="D140" s="156" t="s">
        <v>3264</v>
      </c>
      <c r="E140" s="156"/>
      <c r="F140" s="156"/>
    </row>
    <row r="141" spans="1:6" x14ac:dyDescent="0.3">
      <c r="A141" t="s">
        <v>2703</v>
      </c>
      <c r="B141" s="57">
        <v>0.12</v>
      </c>
      <c r="C141">
        <v>5</v>
      </c>
      <c r="D141" t="s">
        <v>3265</v>
      </c>
    </row>
    <row r="142" spans="1:6" x14ac:dyDescent="0.3">
      <c r="A142" t="s">
        <v>2712</v>
      </c>
      <c r="B142" s="57">
        <v>0.14000000000000001</v>
      </c>
      <c r="C142">
        <v>6</v>
      </c>
      <c r="D142" t="s">
        <v>3266</v>
      </c>
    </row>
    <row r="143" spans="1:6" x14ac:dyDescent="0.3">
      <c r="A143" t="s">
        <v>2846</v>
      </c>
      <c r="B143" s="57">
        <v>0.12</v>
      </c>
      <c r="C143">
        <v>5</v>
      </c>
      <c r="D143" t="s">
        <v>3267</v>
      </c>
    </row>
    <row r="144" spans="1:6" x14ac:dyDescent="0.3">
      <c r="A144" t="s">
        <v>2859</v>
      </c>
      <c r="B144" s="57">
        <v>0.1</v>
      </c>
      <c r="C144">
        <v>4</v>
      </c>
      <c r="D144" t="s">
        <v>3268</v>
      </c>
    </row>
    <row r="145" spans="1:6" x14ac:dyDescent="0.3">
      <c r="A145" t="s">
        <v>2722</v>
      </c>
      <c r="B145" s="57">
        <v>0.1</v>
      </c>
      <c r="C145">
        <v>4</v>
      </c>
      <c r="D145" t="s">
        <v>3269</v>
      </c>
    </row>
    <row r="146" spans="1:6" x14ac:dyDescent="0.3">
      <c r="A146" t="s">
        <v>3270</v>
      </c>
      <c r="B146" s="57">
        <v>0.1</v>
      </c>
      <c r="C146">
        <v>4</v>
      </c>
      <c r="D146" t="s">
        <v>3271</v>
      </c>
    </row>
    <row r="147" spans="1:6" x14ac:dyDescent="0.3">
      <c r="A147" t="s">
        <v>2731</v>
      </c>
      <c r="B147" s="57">
        <v>0.1</v>
      </c>
      <c r="C147">
        <v>5</v>
      </c>
      <c r="D147" t="s">
        <v>3272</v>
      </c>
    </row>
    <row r="148" spans="1:6" x14ac:dyDescent="0.3">
      <c r="A148" t="s">
        <v>2914</v>
      </c>
      <c r="B148" s="57">
        <v>0.08</v>
      </c>
      <c r="C148">
        <v>4</v>
      </c>
      <c r="D148" t="s">
        <v>3273</v>
      </c>
    </row>
    <row r="149" spans="1:6" x14ac:dyDescent="0.3">
      <c r="A149" t="s">
        <v>2771</v>
      </c>
      <c r="B149" s="57">
        <v>0.08</v>
      </c>
      <c r="C149">
        <v>5</v>
      </c>
      <c r="D149" t="s">
        <v>3274</v>
      </c>
    </row>
    <row r="150" spans="1:6" x14ac:dyDescent="0.3">
      <c r="A150" t="s">
        <v>2940</v>
      </c>
      <c r="B150" s="57">
        <v>0.06</v>
      </c>
      <c r="C150">
        <v>4</v>
      </c>
      <c r="D150" t="s">
        <v>3275</v>
      </c>
    </row>
    <row r="151" spans="1:6" x14ac:dyDescent="0.3">
      <c r="A151" s="1" t="s">
        <v>2736</v>
      </c>
      <c r="B151" s="72">
        <v>1</v>
      </c>
      <c r="C151" s="1">
        <v>46</v>
      </c>
      <c r="D151" s="1" t="s">
        <v>3276</v>
      </c>
      <c r="E151" s="1"/>
      <c r="F151" s="1"/>
    </row>
    <row r="153" spans="1:6" ht="15.6" x14ac:dyDescent="0.3">
      <c r="A153" s="155" t="s">
        <v>3277</v>
      </c>
    </row>
    <row r="154" spans="1:6" x14ac:dyDescent="0.3">
      <c r="A154" s="156" t="s">
        <v>487</v>
      </c>
      <c r="B154" s="156" t="s">
        <v>488</v>
      </c>
      <c r="C154" s="156" t="s">
        <v>490</v>
      </c>
      <c r="D154" s="156" t="s">
        <v>3278</v>
      </c>
      <c r="E154" s="156" t="s">
        <v>3279</v>
      </c>
      <c r="F154" s="156"/>
    </row>
    <row r="155" spans="1:6" x14ac:dyDescent="0.3">
      <c r="A155" t="s">
        <v>3280</v>
      </c>
      <c r="B155" t="s">
        <v>3281</v>
      </c>
      <c r="C155" t="s">
        <v>3219</v>
      </c>
      <c r="D155" t="s">
        <v>3282</v>
      </c>
      <c r="E155" t="s">
        <v>128</v>
      </c>
    </row>
    <row r="156" spans="1:6" x14ac:dyDescent="0.3">
      <c r="A156" t="s">
        <v>3283</v>
      </c>
      <c r="B156" t="s">
        <v>503</v>
      </c>
      <c r="C156" t="s">
        <v>3219</v>
      </c>
      <c r="D156" t="s">
        <v>3282</v>
      </c>
      <c r="E156" t="s">
        <v>127</v>
      </c>
    </row>
    <row r="157" spans="1:6" x14ac:dyDescent="0.3">
      <c r="A157" t="s">
        <v>3284</v>
      </c>
      <c r="B157" t="s">
        <v>390</v>
      </c>
      <c r="C157" t="s">
        <v>3219</v>
      </c>
      <c r="D157" t="s">
        <v>3285</v>
      </c>
      <c r="E157" t="s">
        <v>128</v>
      </c>
    </row>
    <row r="158" spans="1:6" x14ac:dyDescent="0.3">
      <c r="A158" t="s">
        <v>3286</v>
      </c>
      <c r="B158" t="s">
        <v>3287</v>
      </c>
      <c r="C158" t="s">
        <v>3219</v>
      </c>
      <c r="D158" t="s">
        <v>3288</v>
      </c>
      <c r="E158" t="s">
        <v>2166</v>
      </c>
    </row>
    <row r="159" spans="1:6" x14ac:dyDescent="0.3">
      <c r="A159" t="s">
        <v>3289</v>
      </c>
      <c r="B159" t="s">
        <v>390</v>
      </c>
      <c r="C159" t="s">
        <v>3219</v>
      </c>
      <c r="D159" t="s">
        <v>3288</v>
      </c>
      <c r="E159" t="s">
        <v>127</v>
      </c>
    </row>
    <row r="160" spans="1:6" x14ac:dyDescent="0.3">
      <c r="A160" t="s">
        <v>3290</v>
      </c>
      <c r="B160" t="s">
        <v>3291</v>
      </c>
      <c r="C160" t="s">
        <v>3219</v>
      </c>
      <c r="D160" t="s">
        <v>3288</v>
      </c>
      <c r="E160" t="s">
        <v>128</v>
      </c>
    </row>
    <row r="161" spans="1:6" x14ac:dyDescent="0.3">
      <c r="A161" t="s">
        <v>3292</v>
      </c>
      <c r="B161" t="s">
        <v>390</v>
      </c>
      <c r="C161" t="s">
        <v>3219</v>
      </c>
      <c r="D161" t="s">
        <v>3282</v>
      </c>
      <c r="E161" t="s">
        <v>127</v>
      </c>
    </row>
    <row r="162" spans="1:6" x14ac:dyDescent="0.3">
      <c r="A162" t="s">
        <v>2859</v>
      </c>
      <c r="B162" t="s">
        <v>3293</v>
      </c>
      <c r="C162" t="s">
        <v>3219</v>
      </c>
      <c r="D162" t="s">
        <v>3288</v>
      </c>
      <c r="E162" t="s">
        <v>128</v>
      </c>
    </row>
    <row r="164" spans="1:6" ht="15.6" x14ac:dyDescent="0.3">
      <c r="A164" s="155" t="s">
        <v>3294</v>
      </c>
    </row>
    <row r="165" spans="1:6" x14ac:dyDescent="0.3">
      <c r="A165" s="156" t="s">
        <v>383</v>
      </c>
      <c r="B165" s="156" t="s">
        <v>3090</v>
      </c>
      <c r="C165" s="156" t="s">
        <v>3295</v>
      </c>
      <c r="D165" s="156" t="s">
        <v>1919</v>
      </c>
      <c r="E165" s="156"/>
      <c r="F165" s="156"/>
    </row>
    <row r="166" spans="1:6" x14ac:dyDescent="0.3">
      <c r="A166" t="s">
        <v>3296</v>
      </c>
      <c r="B166" t="s">
        <v>3297</v>
      </c>
      <c r="C166" t="s">
        <v>3298</v>
      </c>
      <c r="D166" t="s">
        <v>3299</v>
      </c>
    </row>
    <row r="167" spans="1:6" x14ac:dyDescent="0.3">
      <c r="A167" t="s">
        <v>3300</v>
      </c>
      <c r="B167" t="s">
        <v>3301</v>
      </c>
      <c r="C167" t="s">
        <v>122</v>
      </c>
      <c r="D167" t="s">
        <v>3302</v>
      </c>
    </row>
    <row r="168" spans="1:6" x14ac:dyDescent="0.3">
      <c r="A168" t="s">
        <v>3303</v>
      </c>
      <c r="B168" t="s">
        <v>3304</v>
      </c>
      <c r="C168" t="s">
        <v>3305</v>
      </c>
      <c r="D168" t="s">
        <v>3306</v>
      </c>
    </row>
    <row r="169" spans="1:6" x14ac:dyDescent="0.3">
      <c r="A169" t="s">
        <v>3307</v>
      </c>
      <c r="B169" t="s">
        <v>3308</v>
      </c>
      <c r="C169" t="s">
        <v>3309</v>
      </c>
      <c r="D169" t="s">
        <v>3310</v>
      </c>
    </row>
    <row r="170" spans="1:6" x14ac:dyDescent="0.3">
      <c r="A170" t="s">
        <v>3311</v>
      </c>
      <c r="B170" t="s">
        <v>3312</v>
      </c>
      <c r="C170" t="s">
        <v>3313</v>
      </c>
      <c r="D170" t="s">
        <v>3314</v>
      </c>
    </row>
    <row r="171" spans="1:6" x14ac:dyDescent="0.3">
      <c r="A171" t="s">
        <v>3315</v>
      </c>
      <c r="B171" t="s">
        <v>3316</v>
      </c>
      <c r="C171" t="s">
        <v>3188</v>
      </c>
      <c r="D171" t="s">
        <v>3317</v>
      </c>
    </row>
    <row r="172" spans="1:6" x14ac:dyDescent="0.3">
      <c r="A172" t="s">
        <v>3318</v>
      </c>
      <c r="B172" t="s">
        <v>3319</v>
      </c>
      <c r="C172" t="s">
        <v>3320</v>
      </c>
      <c r="D172" t="s">
        <v>3321</v>
      </c>
    </row>
    <row r="174" spans="1:6" ht="15.6" x14ac:dyDescent="0.3">
      <c r="A174" s="155" t="s">
        <v>3322</v>
      </c>
    </row>
    <row r="175" spans="1:6" x14ac:dyDescent="0.3">
      <c r="A175" s="156" t="s">
        <v>3042</v>
      </c>
      <c r="B175" s="156" t="s">
        <v>3323</v>
      </c>
      <c r="C175" s="156" t="s">
        <v>3324</v>
      </c>
      <c r="D175" s="156" t="s">
        <v>1919</v>
      </c>
      <c r="E175" s="156"/>
      <c r="F175" s="156"/>
    </row>
    <row r="176" spans="1:6" x14ac:dyDescent="0.3">
      <c r="A176" t="s">
        <v>2506</v>
      </c>
      <c r="B176">
        <v>1</v>
      </c>
      <c r="C176" t="s">
        <v>3325</v>
      </c>
      <c r="D176" t="s">
        <v>3326</v>
      </c>
    </row>
    <row r="177" spans="1:6" x14ac:dyDescent="0.3">
      <c r="A177" t="s">
        <v>2508</v>
      </c>
      <c r="B177">
        <v>2</v>
      </c>
      <c r="C177" t="s">
        <v>3327</v>
      </c>
      <c r="D177" t="s">
        <v>3328</v>
      </c>
    </row>
    <row r="178" spans="1:6" x14ac:dyDescent="0.3">
      <c r="A178" t="s">
        <v>2510</v>
      </c>
      <c r="B178">
        <v>3</v>
      </c>
      <c r="C178" t="s">
        <v>3329</v>
      </c>
      <c r="D178" t="s">
        <v>3330</v>
      </c>
    </row>
    <row r="179" spans="1:6" x14ac:dyDescent="0.3">
      <c r="A179" t="s">
        <v>2512</v>
      </c>
      <c r="B179">
        <v>4</v>
      </c>
      <c r="C179" t="s">
        <v>3331</v>
      </c>
      <c r="D179" t="s">
        <v>3332</v>
      </c>
    </row>
    <row r="180" spans="1:6" x14ac:dyDescent="0.3">
      <c r="A180" t="s">
        <v>2514</v>
      </c>
      <c r="B180">
        <v>5</v>
      </c>
      <c r="C180" t="s">
        <v>3333</v>
      </c>
      <c r="D180" t="s">
        <v>3334</v>
      </c>
    </row>
    <row r="182" spans="1:6" ht="15.6" x14ac:dyDescent="0.3">
      <c r="A182" s="155" t="s">
        <v>3335</v>
      </c>
    </row>
    <row r="183" spans="1:6" x14ac:dyDescent="0.3">
      <c r="A183" s="156" t="s">
        <v>3042</v>
      </c>
      <c r="B183" s="156" t="s">
        <v>3323</v>
      </c>
      <c r="C183" s="156" t="s">
        <v>3336</v>
      </c>
      <c r="D183" s="156" t="s">
        <v>1919</v>
      </c>
      <c r="E183" s="156"/>
      <c r="F183" s="156"/>
    </row>
    <row r="184" spans="1:6" x14ac:dyDescent="0.3">
      <c r="A184" t="s">
        <v>2517</v>
      </c>
      <c r="B184">
        <v>1</v>
      </c>
      <c r="C184" t="s">
        <v>3337</v>
      </c>
      <c r="D184" t="s">
        <v>3338</v>
      </c>
    </row>
    <row r="185" spans="1:6" x14ac:dyDescent="0.3">
      <c r="A185" t="s">
        <v>2519</v>
      </c>
      <c r="B185">
        <v>2</v>
      </c>
      <c r="C185" t="s">
        <v>3339</v>
      </c>
      <c r="D185" t="s">
        <v>3340</v>
      </c>
    </row>
    <row r="186" spans="1:6" x14ac:dyDescent="0.3">
      <c r="A186" t="s">
        <v>2521</v>
      </c>
      <c r="B186">
        <v>3</v>
      </c>
      <c r="C186" t="s">
        <v>3341</v>
      </c>
      <c r="D186" t="s">
        <v>3342</v>
      </c>
    </row>
    <row r="187" spans="1:6" x14ac:dyDescent="0.3">
      <c r="A187" t="s">
        <v>2523</v>
      </c>
      <c r="B187">
        <v>4</v>
      </c>
      <c r="C187" t="s">
        <v>3343</v>
      </c>
      <c r="D187" t="s">
        <v>3344</v>
      </c>
    </row>
    <row r="188" spans="1:6" x14ac:dyDescent="0.3">
      <c r="A188" t="s">
        <v>3345</v>
      </c>
      <c r="B188">
        <v>5</v>
      </c>
      <c r="C188" t="s">
        <v>3346</v>
      </c>
      <c r="D188" t="s">
        <v>3347</v>
      </c>
    </row>
    <row r="190" spans="1:6" ht="15.6" x14ac:dyDescent="0.3">
      <c r="A190" s="155" t="s">
        <v>3348</v>
      </c>
    </row>
    <row r="191" spans="1:6" x14ac:dyDescent="0.3">
      <c r="A191" s="156" t="s">
        <v>2700</v>
      </c>
      <c r="B191" s="156" t="s">
        <v>3349</v>
      </c>
      <c r="C191" s="156" t="s">
        <v>3350</v>
      </c>
      <c r="D191" s="156" t="s">
        <v>3351</v>
      </c>
      <c r="E191" s="156"/>
      <c r="F191" s="156"/>
    </row>
    <row r="192" spans="1:6" x14ac:dyDescent="0.3">
      <c r="A192" t="s">
        <v>389</v>
      </c>
      <c r="B192" t="s">
        <v>3352</v>
      </c>
      <c r="C192" t="s">
        <v>3353</v>
      </c>
      <c r="D192" t="s">
        <v>3354</v>
      </c>
    </row>
    <row r="193" spans="1:6" x14ac:dyDescent="0.3">
      <c r="A193" t="s">
        <v>3355</v>
      </c>
      <c r="B193" t="s">
        <v>3352</v>
      </c>
      <c r="C193" t="s">
        <v>3353</v>
      </c>
      <c r="D193" t="s">
        <v>3356</v>
      </c>
    </row>
    <row r="194" spans="1:6" x14ac:dyDescent="0.3">
      <c r="A194" t="s">
        <v>3357</v>
      </c>
      <c r="B194" t="s">
        <v>3352</v>
      </c>
      <c r="C194" t="s">
        <v>128</v>
      </c>
      <c r="D194" t="s">
        <v>3358</v>
      </c>
    </row>
    <row r="195" spans="1:6" x14ac:dyDescent="0.3">
      <c r="A195" t="s">
        <v>3359</v>
      </c>
      <c r="B195" t="s">
        <v>3360</v>
      </c>
      <c r="C195" t="s">
        <v>128</v>
      </c>
      <c r="D195" t="s">
        <v>3361</v>
      </c>
    </row>
    <row r="196" spans="1:6" x14ac:dyDescent="0.3">
      <c r="A196" t="s">
        <v>3362</v>
      </c>
      <c r="B196" t="s">
        <v>3360</v>
      </c>
      <c r="C196" t="s">
        <v>127</v>
      </c>
      <c r="D196" t="s">
        <v>3363</v>
      </c>
    </row>
    <row r="197" spans="1:6" x14ac:dyDescent="0.3">
      <c r="A197" t="s">
        <v>3364</v>
      </c>
      <c r="B197" t="s">
        <v>3360</v>
      </c>
      <c r="C197" t="s">
        <v>128</v>
      </c>
      <c r="D197" t="s">
        <v>3365</v>
      </c>
    </row>
    <row r="198" spans="1:6" x14ac:dyDescent="0.3">
      <c r="A198" t="s">
        <v>3366</v>
      </c>
      <c r="B198" t="s">
        <v>3367</v>
      </c>
      <c r="C198" t="s">
        <v>127</v>
      </c>
      <c r="D198" t="s">
        <v>3368</v>
      </c>
    </row>
    <row r="199" spans="1:6" x14ac:dyDescent="0.3">
      <c r="A199" t="s">
        <v>3369</v>
      </c>
      <c r="B199" t="s">
        <v>3367</v>
      </c>
      <c r="C199" t="s">
        <v>118</v>
      </c>
      <c r="D199" t="s">
        <v>3370</v>
      </c>
    </row>
    <row r="200" spans="1:6" x14ac:dyDescent="0.3">
      <c r="A200" t="s">
        <v>3371</v>
      </c>
      <c r="B200" t="s">
        <v>3367</v>
      </c>
      <c r="C200" t="s">
        <v>118</v>
      </c>
      <c r="D200" t="s">
        <v>3372</v>
      </c>
    </row>
    <row r="202" spans="1:6" ht="15.6" x14ac:dyDescent="0.3">
      <c r="A202" s="155" t="s">
        <v>3373</v>
      </c>
    </row>
    <row r="203" spans="1:6" x14ac:dyDescent="0.3">
      <c r="A203" s="156" t="s">
        <v>383</v>
      </c>
      <c r="B203" s="156" t="s">
        <v>3374</v>
      </c>
      <c r="C203" s="156" t="s">
        <v>3375</v>
      </c>
      <c r="D203" s="156" t="s">
        <v>3376</v>
      </c>
      <c r="E203" s="156"/>
      <c r="F203" s="156"/>
    </row>
    <row r="204" spans="1:6" x14ac:dyDescent="0.3">
      <c r="A204" t="s">
        <v>3377</v>
      </c>
      <c r="B204" t="s">
        <v>3378</v>
      </c>
      <c r="C204" t="s">
        <v>3379</v>
      </c>
      <c r="D204" t="s">
        <v>3380</v>
      </c>
    </row>
    <row r="205" spans="1:6" x14ac:dyDescent="0.3">
      <c r="A205" t="s">
        <v>3381</v>
      </c>
      <c r="B205" t="s">
        <v>3382</v>
      </c>
      <c r="C205" t="s">
        <v>3383</v>
      </c>
      <c r="D205" t="s">
        <v>3380</v>
      </c>
    </row>
    <row r="206" spans="1:6" x14ac:dyDescent="0.3">
      <c r="A206" t="s">
        <v>3384</v>
      </c>
      <c r="B206" t="s">
        <v>3385</v>
      </c>
      <c r="C206" t="s">
        <v>3386</v>
      </c>
      <c r="D206" t="s">
        <v>3387</v>
      </c>
    </row>
    <row r="207" spans="1:6" x14ac:dyDescent="0.3">
      <c r="A207" t="s">
        <v>3388</v>
      </c>
      <c r="B207" t="s">
        <v>3389</v>
      </c>
      <c r="C207" t="s">
        <v>3390</v>
      </c>
      <c r="D207" t="s">
        <v>3391</v>
      </c>
    </row>
    <row r="208" spans="1:6" x14ac:dyDescent="0.3">
      <c r="A208" t="s">
        <v>3392</v>
      </c>
      <c r="B208" t="s">
        <v>3393</v>
      </c>
      <c r="C208" t="s">
        <v>3394</v>
      </c>
      <c r="D208" t="s">
        <v>3395</v>
      </c>
    </row>
    <row r="209" spans="1:6" x14ac:dyDescent="0.3">
      <c r="A209" t="s">
        <v>3396</v>
      </c>
      <c r="B209" t="s">
        <v>3397</v>
      </c>
      <c r="C209" t="s">
        <v>3386</v>
      </c>
      <c r="D209" t="s">
        <v>3380</v>
      </c>
    </row>
    <row r="210" spans="1:6" x14ac:dyDescent="0.3">
      <c r="A210" t="s">
        <v>3398</v>
      </c>
      <c r="B210" t="s">
        <v>3399</v>
      </c>
      <c r="C210" t="s">
        <v>3400</v>
      </c>
      <c r="D210" t="s">
        <v>3401</v>
      </c>
    </row>
    <row r="212" spans="1:6" ht="15.6" x14ac:dyDescent="0.3">
      <c r="A212" s="155" t="s">
        <v>3402</v>
      </c>
    </row>
    <row r="213" spans="1:6" x14ac:dyDescent="0.3">
      <c r="A213" s="156" t="s">
        <v>3403</v>
      </c>
      <c r="B213" s="156" t="s">
        <v>487</v>
      </c>
      <c r="C213" s="156" t="s">
        <v>3404</v>
      </c>
      <c r="D213" s="156" t="s">
        <v>3405</v>
      </c>
      <c r="E213" s="156" t="s">
        <v>3406</v>
      </c>
      <c r="F213" s="156"/>
    </row>
    <row r="214" spans="1:6" x14ac:dyDescent="0.3">
      <c r="A214" t="s">
        <v>3407</v>
      </c>
      <c r="B214" t="s">
        <v>3072</v>
      </c>
      <c r="C214" t="s">
        <v>3408</v>
      </c>
      <c r="D214" t="s">
        <v>3409</v>
      </c>
      <c r="E214" t="s">
        <v>3225</v>
      </c>
    </row>
    <row r="215" spans="1:6" x14ac:dyDescent="0.3">
      <c r="A215" t="s">
        <v>3410</v>
      </c>
      <c r="B215" t="s">
        <v>3075</v>
      </c>
      <c r="C215" t="s">
        <v>3411</v>
      </c>
      <c r="D215" t="s">
        <v>3412</v>
      </c>
      <c r="E215" t="s">
        <v>622</v>
      </c>
    </row>
    <row r="216" spans="1:6" x14ac:dyDescent="0.3">
      <c r="A216" t="s">
        <v>3413</v>
      </c>
      <c r="B216" t="s">
        <v>3075</v>
      </c>
      <c r="C216" t="s">
        <v>3414</v>
      </c>
      <c r="D216" t="s">
        <v>3415</v>
      </c>
      <c r="E216" t="s">
        <v>982</v>
      </c>
    </row>
    <row r="217" spans="1:6" x14ac:dyDescent="0.3">
      <c r="A217" t="s">
        <v>3416</v>
      </c>
      <c r="B217" t="s">
        <v>3417</v>
      </c>
      <c r="C217" t="s">
        <v>3418</v>
      </c>
      <c r="D217" t="s">
        <v>3419</v>
      </c>
      <c r="E217" t="s">
        <v>3420</v>
      </c>
    </row>
    <row r="218" spans="1:6" x14ac:dyDescent="0.3">
      <c r="A218" t="s">
        <v>3421</v>
      </c>
      <c r="B218" t="s">
        <v>3075</v>
      </c>
      <c r="C218" t="s">
        <v>3422</v>
      </c>
      <c r="D218" t="s">
        <v>3423</v>
      </c>
      <c r="E218" t="s">
        <v>2854</v>
      </c>
    </row>
    <row r="219" spans="1:6" x14ac:dyDescent="0.3">
      <c r="A219" t="s">
        <v>29</v>
      </c>
      <c r="B219" t="s">
        <v>29</v>
      </c>
      <c r="C219" t="s">
        <v>3418</v>
      </c>
      <c r="D219" t="s">
        <v>3424</v>
      </c>
      <c r="E219" t="s">
        <v>3170</v>
      </c>
    </row>
    <row r="220" spans="1:6" x14ac:dyDescent="0.3">
      <c r="A220" t="s">
        <v>3425</v>
      </c>
      <c r="B220" t="s">
        <v>3077</v>
      </c>
      <c r="C220" t="s">
        <v>3426</v>
      </c>
      <c r="D220" t="s">
        <v>3427</v>
      </c>
      <c r="E220" t="s">
        <v>1057</v>
      </c>
    </row>
    <row r="221" spans="1:6" x14ac:dyDescent="0.3">
      <c r="A221" t="s">
        <v>3428</v>
      </c>
      <c r="B221" t="s">
        <v>3320</v>
      </c>
      <c r="C221" t="s">
        <v>3429</v>
      </c>
      <c r="D221" t="s">
        <v>3430</v>
      </c>
      <c r="E221" t="s">
        <v>3173</v>
      </c>
    </row>
    <row r="223" spans="1:6" ht="15.6" x14ac:dyDescent="0.3">
      <c r="A223" s="155" t="s">
        <v>3431</v>
      </c>
    </row>
    <row r="224" spans="1:6" x14ac:dyDescent="0.3">
      <c r="A224" s="156" t="s">
        <v>3432</v>
      </c>
      <c r="B224" s="156" t="s">
        <v>2060</v>
      </c>
      <c r="C224" s="156" t="s">
        <v>3433</v>
      </c>
      <c r="D224" s="156" t="s">
        <v>3241</v>
      </c>
      <c r="E224" s="156" t="s">
        <v>3434</v>
      </c>
      <c r="F224" s="156"/>
    </row>
    <row r="225" spans="1:6" x14ac:dyDescent="0.3">
      <c r="A225" t="s">
        <v>496</v>
      </c>
      <c r="B225" t="s">
        <v>3435</v>
      </c>
      <c r="C225" t="s">
        <v>3436</v>
      </c>
      <c r="D225" t="s">
        <v>3106</v>
      </c>
      <c r="E225" t="s">
        <v>3437</v>
      </c>
    </row>
    <row r="226" spans="1:6" x14ac:dyDescent="0.3">
      <c r="A226" t="s">
        <v>3438</v>
      </c>
      <c r="B226" t="s">
        <v>3439</v>
      </c>
      <c r="C226" t="s">
        <v>3440</v>
      </c>
      <c r="D226" t="s">
        <v>3441</v>
      </c>
      <c r="E226" t="s">
        <v>3442</v>
      </c>
    </row>
    <row r="227" spans="1:6" x14ac:dyDescent="0.3">
      <c r="A227" t="s">
        <v>3443</v>
      </c>
      <c r="B227" t="s">
        <v>3444</v>
      </c>
      <c r="C227" t="s">
        <v>3445</v>
      </c>
      <c r="D227" t="s">
        <v>3446</v>
      </c>
      <c r="E227" t="s">
        <v>3447</v>
      </c>
    </row>
    <row r="228" spans="1:6" x14ac:dyDescent="0.3">
      <c r="A228" t="s">
        <v>3448</v>
      </c>
      <c r="B228" t="s">
        <v>3449</v>
      </c>
      <c r="C228" t="s">
        <v>3436</v>
      </c>
      <c r="D228" t="s">
        <v>3106</v>
      </c>
      <c r="E228" t="s">
        <v>3450</v>
      </c>
    </row>
    <row r="229" spans="1:6" x14ac:dyDescent="0.3">
      <c r="A229" t="s">
        <v>2559</v>
      </c>
      <c r="B229" t="s">
        <v>3451</v>
      </c>
      <c r="C229" t="s">
        <v>3452</v>
      </c>
      <c r="D229" t="s">
        <v>3188</v>
      </c>
      <c r="E229" t="s">
        <v>3453</v>
      </c>
    </row>
    <row r="230" spans="1:6" x14ac:dyDescent="0.3">
      <c r="A230" t="s">
        <v>2553</v>
      </c>
      <c r="B230" t="s">
        <v>2087</v>
      </c>
      <c r="C230" t="s">
        <v>3454</v>
      </c>
      <c r="D230" t="s">
        <v>3106</v>
      </c>
      <c r="E230" t="s">
        <v>3455</v>
      </c>
    </row>
    <row r="231" spans="1:6" x14ac:dyDescent="0.3">
      <c r="A231" t="s">
        <v>3456</v>
      </c>
      <c r="B231" t="s">
        <v>3439</v>
      </c>
      <c r="C231" t="s">
        <v>3457</v>
      </c>
      <c r="D231" t="s">
        <v>3458</v>
      </c>
      <c r="E231" t="s">
        <v>3459</v>
      </c>
    </row>
    <row r="233" spans="1:6" ht="15.6" x14ac:dyDescent="0.3">
      <c r="A233" s="155" t="s">
        <v>3460</v>
      </c>
    </row>
    <row r="234" spans="1:6" x14ac:dyDescent="0.3">
      <c r="A234" s="156" t="s">
        <v>1799</v>
      </c>
      <c r="B234" s="156" t="s">
        <v>3461</v>
      </c>
      <c r="C234" s="156" t="s">
        <v>3462</v>
      </c>
      <c r="D234" s="156" t="s">
        <v>2166</v>
      </c>
      <c r="E234" s="156" t="s">
        <v>3463</v>
      </c>
      <c r="F234" s="156"/>
    </row>
    <row r="235" spans="1:6" x14ac:dyDescent="0.3">
      <c r="A235" t="s">
        <v>3464</v>
      </c>
      <c r="B235" t="s">
        <v>3465</v>
      </c>
      <c r="C235" t="s">
        <v>3466</v>
      </c>
      <c r="D235" t="s">
        <v>3467</v>
      </c>
      <c r="E235" t="s">
        <v>3468</v>
      </c>
    </row>
    <row r="236" spans="1:6" x14ac:dyDescent="0.3">
      <c r="A236" t="s">
        <v>3469</v>
      </c>
      <c r="B236" t="s">
        <v>3470</v>
      </c>
      <c r="C236" t="s">
        <v>3471</v>
      </c>
      <c r="D236" t="s">
        <v>3472</v>
      </c>
      <c r="E236" t="s">
        <v>3473</v>
      </c>
    </row>
    <row r="237" spans="1:6" x14ac:dyDescent="0.3">
      <c r="A237" t="s">
        <v>3474</v>
      </c>
      <c r="B237" t="s">
        <v>3325</v>
      </c>
      <c r="C237" t="s">
        <v>3475</v>
      </c>
      <c r="D237" t="s">
        <v>3476</v>
      </c>
      <c r="E237" t="s">
        <v>3468</v>
      </c>
    </row>
    <row r="238" spans="1:6" x14ac:dyDescent="0.3">
      <c r="A238" t="s">
        <v>3477</v>
      </c>
      <c r="B238" t="s">
        <v>3478</v>
      </c>
      <c r="C238" t="s">
        <v>3479</v>
      </c>
      <c r="D238" t="s">
        <v>3480</v>
      </c>
      <c r="E238" t="s">
        <v>3473</v>
      </c>
    </row>
    <row r="239" spans="1:6" x14ac:dyDescent="0.3">
      <c r="A239" t="s">
        <v>3481</v>
      </c>
      <c r="B239" t="s">
        <v>3482</v>
      </c>
      <c r="C239" t="s">
        <v>3483</v>
      </c>
      <c r="D239" t="s">
        <v>3484</v>
      </c>
      <c r="E239" t="s">
        <v>3485</v>
      </c>
    </row>
    <row r="240" spans="1:6" x14ac:dyDescent="0.3">
      <c r="A240" t="s">
        <v>3486</v>
      </c>
      <c r="B240" t="s">
        <v>3487</v>
      </c>
      <c r="C240" t="s">
        <v>3488</v>
      </c>
      <c r="D240" t="s">
        <v>3484</v>
      </c>
      <c r="E240" t="s">
        <v>3473</v>
      </c>
    </row>
    <row r="241" spans="1:5" x14ac:dyDescent="0.3">
      <c r="A241" t="s">
        <v>3489</v>
      </c>
      <c r="B241" t="s">
        <v>2772</v>
      </c>
      <c r="C241" t="s">
        <v>3490</v>
      </c>
      <c r="D241" t="s">
        <v>3491</v>
      </c>
      <c r="E241" t="s">
        <v>3473</v>
      </c>
    </row>
    <row r="242" spans="1:5" x14ac:dyDescent="0.3">
      <c r="A242" t="s">
        <v>3492</v>
      </c>
      <c r="B242" t="s">
        <v>3493</v>
      </c>
      <c r="C242" t="s">
        <v>3494</v>
      </c>
      <c r="D242" t="s">
        <v>3495</v>
      </c>
      <c r="E242" t="s">
        <v>3496</v>
      </c>
    </row>
    <row r="243" spans="1:5" x14ac:dyDescent="0.3">
      <c r="A243" t="s">
        <v>3000</v>
      </c>
      <c r="B243" s="57">
        <v>1</v>
      </c>
      <c r="C243" t="s">
        <v>3497</v>
      </c>
      <c r="D243" t="s">
        <v>3484</v>
      </c>
      <c r="E243" t="s">
        <v>3473</v>
      </c>
    </row>
    <row r="244" spans="1:5" x14ac:dyDescent="0.3">
      <c r="A244" t="s">
        <v>3498</v>
      </c>
      <c r="B244" t="s">
        <v>3499</v>
      </c>
      <c r="C244" t="s">
        <v>3500</v>
      </c>
      <c r="D244" t="s">
        <v>3501</v>
      </c>
      <c r="E244" t="s">
        <v>3502</v>
      </c>
    </row>
  </sheetData>
  <mergeCells count="2">
    <mergeCell ref="A1:F1"/>
    <mergeCell ref="A2: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913E-794E-4566-9B2D-35074B185AE4}">
  <sheetPr>
    <tabColor theme="4"/>
  </sheetPr>
  <dimension ref="A1:F505"/>
  <sheetViews>
    <sheetView zoomScale="85" zoomScaleNormal="85" workbookViewId="0">
      <pane ySplit="1" topLeftCell="A242" activePane="bottomLeft" state="frozen"/>
      <selection activeCell="H3" sqref="H3"/>
      <selection pane="bottomLeft" activeCell="H3" sqref="H3"/>
    </sheetView>
  </sheetViews>
  <sheetFormatPr defaultRowHeight="14.4" x14ac:dyDescent="0.3"/>
  <cols>
    <col min="1" max="1" width="12.5546875" bestFit="1" customWidth="1"/>
    <col min="2" max="2" width="31.33203125" bestFit="1" customWidth="1"/>
    <col min="3" max="3" width="8.109375" bestFit="1" customWidth="1"/>
    <col min="4" max="4" width="15.77734375" bestFit="1" customWidth="1"/>
    <col min="5" max="5" width="15.5546875" bestFit="1" customWidth="1"/>
    <col min="6" max="6" width="24.44140625" bestFit="1" customWidth="1"/>
    <col min="12" max="12" width="9.6640625" bestFit="1" customWidth="1"/>
    <col min="13" max="13" width="36.5546875" bestFit="1" customWidth="1"/>
    <col min="14" max="14" width="12.5546875" bestFit="1" customWidth="1"/>
    <col min="15" max="15" width="29.88671875" bestFit="1" customWidth="1"/>
    <col min="16" max="16" width="11.44140625" bestFit="1" customWidth="1"/>
    <col min="17" max="17" width="7.44140625" bestFit="1" customWidth="1"/>
    <col min="18" max="18" width="10.88671875" bestFit="1" customWidth="1"/>
    <col min="19" max="20" width="23.109375" bestFit="1" customWidth="1"/>
    <col min="21" max="21" width="15.6640625" bestFit="1" customWidth="1"/>
    <col min="22" max="22" width="15.44140625" bestFit="1" customWidth="1"/>
    <col min="23" max="23" width="9.44140625" bestFit="1" customWidth="1"/>
    <col min="24" max="24" width="12.44140625" bestFit="1" customWidth="1"/>
    <col min="25" max="25" width="52.6640625" bestFit="1" customWidth="1"/>
  </cols>
  <sheetData>
    <row r="1" spans="1:6" x14ac:dyDescent="0.3">
      <c r="A1" s="4" t="s">
        <v>1</v>
      </c>
      <c r="B1" s="4" t="s">
        <v>2</v>
      </c>
      <c r="C1" s="4" t="s">
        <v>3</v>
      </c>
      <c r="D1" s="4" t="s">
        <v>862</v>
      </c>
      <c r="E1" s="4" t="s">
        <v>622</v>
      </c>
      <c r="F1" s="4" t="s">
        <v>789</v>
      </c>
    </row>
    <row r="2" spans="1:6" x14ac:dyDescent="0.3">
      <c r="A2" s="5" t="s">
        <v>5</v>
      </c>
      <c r="B2" s="5" t="s">
        <v>13</v>
      </c>
      <c r="C2" s="5" t="s">
        <v>27</v>
      </c>
      <c r="D2" s="5" t="s">
        <v>623</v>
      </c>
      <c r="E2" s="5" t="s">
        <v>624</v>
      </c>
      <c r="F2" s="5" t="s">
        <v>790</v>
      </c>
    </row>
    <row r="3" spans="1:6" x14ac:dyDescent="0.3">
      <c r="A3" s="5"/>
      <c r="B3" s="5" t="s">
        <v>13</v>
      </c>
      <c r="C3" s="5" t="s">
        <v>28</v>
      </c>
      <c r="D3" s="5"/>
      <c r="E3" s="5"/>
      <c r="F3" s="5" t="s">
        <v>791</v>
      </c>
    </row>
    <row r="4" spans="1:6" x14ac:dyDescent="0.3">
      <c r="A4" s="5"/>
      <c r="B4" s="5" t="s">
        <v>13</v>
      </c>
      <c r="C4" s="5" t="s">
        <v>29</v>
      </c>
      <c r="D4" s="5"/>
      <c r="E4" s="5"/>
      <c r="F4" s="5" t="s">
        <v>792</v>
      </c>
    </row>
    <row r="5" spans="1:6" x14ac:dyDescent="0.3">
      <c r="A5" s="5"/>
      <c r="B5" s="5" t="s">
        <v>13</v>
      </c>
      <c r="C5" s="5" t="s">
        <v>30</v>
      </c>
      <c r="D5" s="5"/>
      <c r="E5" s="5"/>
      <c r="F5" s="5" t="s">
        <v>793</v>
      </c>
    </row>
    <row r="6" spans="1:6" x14ac:dyDescent="0.3">
      <c r="A6" s="5"/>
      <c r="B6" s="5" t="s">
        <v>13</v>
      </c>
      <c r="C6" s="5" t="s">
        <v>31</v>
      </c>
      <c r="D6" s="5"/>
      <c r="E6" s="5"/>
      <c r="F6" s="5" t="s">
        <v>794</v>
      </c>
    </row>
    <row r="7" spans="1:6" x14ac:dyDescent="0.3">
      <c r="A7" s="5"/>
      <c r="B7" s="5" t="s">
        <v>13</v>
      </c>
      <c r="C7" s="5" t="s">
        <v>32</v>
      </c>
      <c r="D7" s="5"/>
      <c r="E7" s="5"/>
      <c r="F7" s="5" t="s">
        <v>795</v>
      </c>
    </row>
    <row r="8" spans="1:6" x14ac:dyDescent="0.3">
      <c r="A8" s="5"/>
      <c r="B8" s="5" t="s">
        <v>14</v>
      </c>
      <c r="C8" s="5" t="s">
        <v>27</v>
      </c>
      <c r="D8" s="5" t="s">
        <v>625</v>
      </c>
      <c r="E8" s="5" t="s">
        <v>626</v>
      </c>
      <c r="F8" s="5" t="s">
        <v>796</v>
      </c>
    </row>
    <row r="9" spans="1:6" x14ac:dyDescent="0.3">
      <c r="A9" s="5"/>
      <c r="B9" s="5" t="s">
        <v>14</v>
      </c>
      <c r="C9" s="5" t="s">
        <v>28</v>
      </c>
      <c r="D9" s="5"/>
      <c r="E9" s="5"/>
      <c r="F9" s="5" t="s">
        <v>797</v>
      </c>
    </row>
    <row r="10" spans="1:6" x14ac:dyDescent="0.3">
      <c r="A10" s="5"/>
      <c r="B10" s="5" t="s">
        <v>14</v>
      </c>
      <c r="C10" s="5" t="s">
        <v>29</v>
      </c>
      <c r="D10" s="5"/>
      <c r="E10" s="5"/>
      <c r="F10" s="5" t="s">
        <v>798</v>
      </c>
    </row>
    <row r="11" spans="1:6" x14ac:dyDescent="0.3">
      <c r="A11" s="5"/>
      <c r="B11" s="5" t="s">
        <v>14</v>
      </c>
      <c r="C11" s="5" t="s">
        <v>30</v>
      </c>
      <c r="D11" s="5"/>
      <c r="E11" s="5"/>
      <c r="F11" s="5" t="s">
        <v>799</v>
      </c>
    </row>
    <row r="12" spans="1:6" x14ac:dyDescent="0.3">
      <c r="A12" s="5"/>
      <c r="B12" s="5" t="s">
        <v>14</v>
      </c>
      <c r="C12" s="5" t="s">
        <v>31</v>
      </c>
      <c r="D12" s="5"/>
      <c r="E12" s="5"/>
      <c r="F12" s="5" t="s">
        <v>800</v>
      </c>
    </row>
    <row r="13" spans="1:6" x14ac:dyDescent="0.3">
      <c r="A13" s="5"/>
      <c r="B13" s="5" t="s">
        <v>14</v>
      </c>
      <c r="C13" s="5" t="s">
        <v>32</v>
      </c>
      <c r="D13" s="5"/>
      <c r="E13" s="5"/>
      <c r="F13" s="5" t="s">
        <v>801</v>
      </c>
    </row>
    <row r="14" spans="1:6" x14ac:dyDescent="0.3">
      <c r="A14" s="5"/>
      <c r="B14" s="5" t="s">
        <v>15</v>
      </c>
      <c r="C14" s="5" t="s">
        <v>27</v>
      </c>
      <c r="D14" s="5" t="s">
        <v>627</v>
      </c>
      <c r="E14" s="5" t="s">
        <v>628</v>
      </c>
      <c r="F14" s="5" t="s">
        <v>802</v>
      </c>
    </row>
    <row r="15" spans="1:6" x14ac:dyDescent="0.3">
      <c r="A15" s="5"/>
      <c r="B15" s="5" t="s">
        <v>15</v>
      </c>
      <c r="C15" s="5" t="s">
        <v>28</v>
      </c>
      <c r="D15" s="5"/>
      <c r="E15" s="5"/>
      <c r="F15" s="5" t="s">
        <v>803</v>
      </c>
    </row>
    <row r="16" spans="1:6" x14ac:dyDescent="0.3">
      <c r="A16" s="5"/>
      <c r="B16" s="5" t="s">
        <v>15</v>
      </c>
      <c r="C16" s="5" t="s">
        <v>29</v>
      </c>
      <c r="D16" s="5"/>
      <c r="E16" s="5"/>
      <c r="F16" s="5" t="s">
        <v>804</v>
      </c>
    </row>
    <row r="17" spans="1:6" x14ac:dyDescent="0.3">
      <c r="A17" s="5"/>
      <c r="B17" s="5" t="s">
        <v>15</v>
      </c>
      <c r="C17" s="5" t="s">
        <v>30</v>
      </c>
      <c r="D17" s="5"/>
      <c r="E17" s="5"/>
      <c r="F17" s="5" t="s">
        <v>805</v>
      </c>
    </row>
    <row r="18" spans="1:6" x14ac:dyDescent="0.3">
      <c r="A18" s="5"/>
      <c r="B18" s="5" t="s">
        <v>15</v>
      </c>
      <c r="C18" s="5" t="s">
        <v>31</v>
      </c>
      <c r="D18" s="5"/>
      <c r="E18" s="5"/>
      <c r="F18" s="5" t="s">
        <v>806</v>
      </c>
    </row>
    <row r="19" spans="1:6" x14ac:dyDescent="0.3">
      <c r="A19" s="5"/>
      <c r="B19" s="5" t="s">
        <v>15</v>
      </c>
      <c r="C19" s="5" t="s">
        <v>32</v>
      </c>
      <c r="D19" s="5"/>
      <c r="E19" s="5"/>
      <c r="F19" s="5" t="s">
        <v>807</v>
      </c>
    </row>
    <row r="20" spans="1:6" x14ac:dyDescent="0.3">
      <c r="A20" s="5"/>
      <c r="B20" s="5" t="s">
        <v>16</v>
      </c>
      <c r="C20" s="5" t="s">
        <v>27</v>
      </c>
      <c r="D20" s="5" t="s">
        <v>629</v>
      </c>
      <c r="E20" s="5" t="s">
        <v>630</v>
      </c>
      <c r="F20" s="5" t="s">
        <v>808</v>
      </c>
    </row>
    <row r="21" spans="1:6" x14ac:dyDescent="0.3">
      <c r="A21" s="5"/>
      <c r="B21" s="5" t="s">
        <v>16</v>
      </c>
      <c r="C21" s="5" t="s">
        <v>28</v>
      </c>
      <c r="D21" s="5"/>
      <c r="E21" s="5"/>
      <c r="F21" s="5" t="s">
        <v>809</v>
      </c>
    </row>
    <row r="22" spans="1:6" x14ac:dyDescent="0.3">
      <c r="A22" s="5"/>
      <c r="B22" s="5" t="s">
        <v>16</v>
      </c>
      <c r="C22" s="5" t="s">
        <v>29</v>
      </c>
      <c r="D22" s="5"/>
      <c r="E22" s="5"/>
      <c r="F22" s="5" t="s">
        <v>810</v>
      </c>
    </row>
    <row r="23" spans="1:6" x14ac:dyDescent="0.3">
      <c r="A23" s="5"/>
      <c r="B23" s="5" t="s">
        <v>16</v>
      </c>
      <c r="C23" s="5" t="s">
        <v>30</v>
      </c>
      <c r="D23" s="5"/>
      <c r="E23" s="5"/>
      <c r="F23" s="5" t="s">
        <v>811</v>
      </c>
    </row>
    <row r="24" spans="1:6" x14ac:dyDescent="0.3">
      <c r="A24" s="5"/>
      <c r="B24" s="5" t="s">
        <v>16</v>
      </c>
      <c r="C24" s="5" t="s">
        <v>31</v>
      </c>
      <c r="D24" s="5"/>
      <c r="E24" s="5"/>
      <c r="F24" s="5" t="s">
        <v>812</v>
      </c>
    </row>
    <row r="25" spans="1:6" x14ac:dyDescent="0.3">
      <c r="A25" s="5"/>
      <c r="B25" s="5" t="s">
        <v>16</v>
      </c>
      <c r="C25" s="5" t="s">
        <v>32</v>
      </c>
      <c r="D25" s="5"/>
      <c r="E25" s="5"/>
      <c r="F25" s="5" t="s">
        <v>813</v>
      </c>
    </row>
    <row r="26" spans="1:6" x14ac:dyDescent="0.3">
      <c r="A26" s="5"/>
      <c r="B26" s="5" t="s">
        <v>17</v>
      </c>
      <c r="C26" s="5" t="s">
        <v>27</v>
      </c>
      <c r="D26" s="5" t="s">
        <v>631</v>
      </c>
      <c r="E26" s="5" t="s">
        <v>632</v>
      </c>
      <c r="F26" s="5" t="s">
        <v>814</v>
      </c>
    </row>
    <row r="27" spans="1:6" x14ac:dyDescent="0.3">
      <c r="A27" s="5"/>
      <c r="B27" s="5" t="s">
        <v>17</v>
      </c>
      <c r="C27" s="5" t="s">
        <v>28</v>
      </c>
      <c r="D27" s="5"/>
      <c r="E27" s="5"/>
      <c r="F27" s="5" t="s">
        <v>815</v>
      </c>
    </row>
    <row r="28" spans="1:6" x14ac:dyDescent="0.3">
      <c r="A28" s="5"/>
      <c r="B28" s="5" t="s">
        <v>17</v>
      </c>
      <c r="C28" s="5" t="s">
        <v>29</v>
      </c>
      <c r="D28" s="5"/>
      <c r="E28" s="5"/>
      <c r="F28" s="5" t="s">
        <v>816</v>
      </c>
    </row>
    <row r="29" spans="1:6" x14ac:dyDescent="0.3">
      <c r="A29" s="5"/>
      <c r="B29" s="5" t="s">
        <v>17</v>
      </c>
      <c r="C29" s="5" t="s">
        <v>30</v>
      </c>
      <c r="D29" s="5"/>
      <c r="E29" s="5"/>
      <c r="F29" s="5" t="s">
        <v>817</v>
      </c>
    </row>
    <row r="30" spans="1:6" x14ac:dyDescent="0.3">
      <c r="A30" s="5"/>
      <c r="B30" s="5" t="s">
        <v>17</v>
      </c>
      <c r="C30" s="5" t="s">
        <v>31</v>
      </c>
      <c r="D30" s="5"/>
      <c r="E30" s="5"/>
      <c r="F30" s="5" t="s">
        <v>818</v>
      </c>
    </row>
    <row r="31" spans="1:6" x14ac:dyDescent="0.3">
      <c r="A31" s="5"/>
      <c r="B31" s="5" t="s">
        <v>17</v>
      </c>
      <c r="C31" s="5" t="s">
        <v>32</v>
      </c>
      <c r="D31" s="5"/>
      <c r="E31" s="5"/>
      <c r="F31" s="5" t="s">
        <v>819</v>
      </c>
    </row>
    <row r="32" spans="1:6" x14ac:dyDescent="0.3">
      <c r="A32" s="5"/>
      <c r="B32" s="5" t="s">
        <v>18</v>
      </c>
      <c r="C32" s="5" t="s">
        <v>27</v>
      </c>
      <c r="D32" s="5" t="s">
        <v>633</v>
      </c>
      <c r="E32" s="5" t="s">
        <v>634</v>
      </c>
      <c r="F32" s="5" t="s">
        <v>820</v>
      </c>
    </row>
    <row r="33" spans="1:6" x14ac:dyDescent="0.3">
      <c r="A33" s="5"/>
      <c r="B33" s="5" t="s">
        <v>18</v>
      </c>
      <c r="C33" s="5" t="s">
        <v>28</v>
      </c>
      <c r="D33" s="5"/>
      <c r="E33" s="5"/>
      <c r="F33" s="5" t="s">
        <v>821</v>
      </c>
    </row>
    <row r="34" spans="1:6" x14ac:dyDescent="0.3">
      <c r="A34" s="5"/>
      <c r="B34" s="5" t="s">
        <v>18</v>
      </c>
      <c r="C34" s="5" t="s">
        <v>29</v>
      </c>
      <c r="D34" s="5"/>
      <c r="E34" s="5"/>
      <c r="F34" s="5" t="s">
        <v>822</v>
      </c>
    </row>
    <row r="35" spans="1:6" x14ac:dyDescent="0.3">
      <c r="A35" s="5"/>
      <c r="B35" s="5" t="s">
        <v>18</v>
      </c>
      <c r="C35" s="5" t="s">
        <v>30</v>
      </c>
      <c r="D35" s="5"/>
      <c r="E35" s="5"/>
      <c r="F35" s="5" t="s">
        <v>823</v>
      </c>
    </row>
    <row r="36" spans="1:6" x14ac:dyDescent="0.3">
      <c r="A36" s="5"/>
      <c r="B36" s="5" t="s">
        <v>18</v>
      </c>
      <c r="C36" s="5" t="s">
        <v>31</v>
      </c>
      <c r="D36" s="5"/>
      <c r="E36" s="5"/>
      <c r="F36" s="5" t="s">
        <v>824</v>
      </c>
    </row>
    <row r="37" spans="1:6" x14ac:dyDescent="0.3">
      <c r="A37" s="5"/>
      <c r="B37" s="5" t="s">
        <v>18</v>
      </c>
      <c r="C37" s="5" t="s">
        <v>32</v>
      </c>
      <c r="D37" s="5"/>
      <c r="E37" s="5"/>
      <c r="F37" s="5" t="s">
        <v>825</v>
      </c>
    </row>
    <row r="38" spans="1:6" x14ac:dyDescent="0.3">
      <c r="A38" s="5"/>
      <c r="B38" s="5" t="s">
        <v>19</v>
      </c>
      <c r="C38" s="5" t="s">
        <v>27</v>
      </c>
      <c r="D38" s="5" t="s">
        <v>635</v>
      </c>
      <c r="E38" s="5" t="s">
        <v>636</v>
      </c>
      <c r="F38" s="5" t="s">
        <v>826</v>
      </c>
    </row>
    <row r="39" spans="1:6" x14ac:dyDescent="0.3">
      <c r="A39" s="5"/>
      <c r="B39" s="5" t="s">
        <v>19</v>
      </c>
      <c r="C39" s="5" t="s">
        <v>28</v>
      </c>
      <c r="D39" s="5"/>
      <c r="E39" s="5"/>
      <c r="F39" s="5" t="s">
        <v>827</v>
      </c>
    </row>
    <row r="40" spans="1:6" x14ac:dyDescent="0.3">
      <c r="A40" s="5"/>
      <c r="B40" s="5" t="s">
        <v>19</v>
      </c>
      <c r="C40" s="5" t="s">
        <v>29</v>
      </c>
      <c r="D40" s="5"/>
      <c r="E40" s="5"/>
      <c r="F40" s="5" t="s">
        <v>828</v>
      </c>
    </row>
    <row r="41" spans="1:6" x14ac:dyDescent="0.3">
      <c r="A41" s="5"/>
      <c r="B41" s="5" t="s">
        <v>19</v>
      </c>
      <c r="C41" s="5" t="s">
        <v>30</v>
      </c>
      <c r="D41" s="5"/>
      <c r="E41" s="5"/>
      <c r="F41" s="5" t="s">
        <v>829</v>
      </c>
    </row>
    <row r="42" spans="1:6" x14ac:dyDescent="0.3">
      <c r="A42" s="5"/>
      <c r="B42" s="5" t="s">
        <v>19</v>
      </c>
      <c r="C42" s="5" t="s">
        <v>31</v>
      </c>
      <c r="D42" s="5"/>
      <c r="E42" s="5"/>
      <c r="F42" s="5" t="s">
        <v>830</v>
      </c>
    </row>
    <row r="43" spans="1:6" x14ac:dyDescent="0.3">
      <c r="A43" s="5"/>
      <c r="B43" s="5" t="s">
        <v>19</v>
      </c>
      <c r="C43" s="5" t="s">
        <v>32</v>
      </c>
      <c r="D43" s="5"/>
      <c r="E43" s="5"/>
      <c r="F43" s="5" t="s">
        <v>831</v>
      </c>
    </row>
    <row r="44" spans="1:6" x14ac:dyDescent="0.3">
      <c r="A44" s="5"/>
      <c r="B44" s="5" t="s">
        <v>20</v>
      </c>
      <c r="C44" s="5" t="s">
        <v>27</v>
      </c>
      <c r="D44" s="5" t="s">
        <v>637</v>
      </c>
      <c r="E44" s="5" t="s">
        <v>638</v>
      </c>
      <c r="F44" s="5" t="s">
        <v>832</v>
      </c>
    </row>
    <row r="45" spans="1:6" x14ac:dyDescent="0.3">
      <c r="A45" s="5"/>
      <c r="B45" s="5" t="s">
        <v>20</v>
      </c>
      <c r="C45" s="5" t="s">
        <v>28</v>
      </c>
      <c r="D45" s="5"/>
      <c r="E45" s="5"/>
      <c r="F45" s="5" t="s">
        <v>833</v>
      </c>
    </row>
    <row r="46" spans="1:6" x14ac:dyDescent="0.3">
      <c r="A46" s="5"/>
      <c r="B46" s="5" t="s">
        <v>20</v>
      </c>
      <c r="C46" s="5" t="s">
        <v>29</v>
      </c>
      <c r="D46" s="5"/>
      <c r="E46" s="5"/>
      <c r="F46" s="5" t="s">
        <v>834</v>
      </c>
    </row>
    <row r="47" spans="1:6" x14ac:dyDescent="0.3">
      <c r="A47" s="5"/>
      <c r="B47" s="5" t="s">
        <v>20</v>
      </c>
      <c r="C47" s="5" t="s">
        <v>30</v>
      </c>
      <c r="D47" s="5"/>
      <c r="E47" s="5"/>
      <c r="F47" s="5" t="s">
        <v>835</v>
      </c>
    </row>
    <row r="48" spans="1:6" x14ac:dyDescent="0.3">
      <c r="A48" s="5"/>
      <c r="B48" s="5" t="s">
        <v>20</v>
      </c>
      <c r="C48" s="5" t="s">
        <v>31</v>
      </c>
      <c r="D48" s="5"/>
      <c r="E48" s="5"/>
      <c r="F48" s="5" t="s">
        <v>836</v>
      </c>
    </row>
    <row r="49" spans="1:6" x14ac:dyDescent="0.3">
      <c r="A49" s="5"/>
      <c r="B49" s="5" t="s">
        <v>20</v>
      </c>
      <c r="C49" s="5" t="s">
        <v>32</v>
      </c>
      <c r="D49" s="5"/>
      <c r="E49" s="5"/>
      <c r="F49" s="5" t="s">
        <v>837</v>
      </c>
    </row>
    <row r="50" spans="1:6" x14ac:dyDescent="0.3">
      <c r="A50" s="5"/>
      <c r="B50" s="5" t="s">
        <v>21</v>
      </c>
      <c r="C50" s="5" t="s">
        <v>27</v>
      </c>
      <c r="D50" s="5" t="s">
        <v>639</v>
      </c>
      <c r="E50" s="5" t="s">
        <v>640</v>
      </c>
      <c r="F50" s="5" t="s">
        <v>838</v>
      </c>
    </row>
    <row r="51" spans="1:6" x14ac:dyDescent="0.3">
      <c r="A51" s="5"/>
      <c r="B51" s="5" t="s">
        <v>21</v>
      </c>
      <c r="C51" s="5" t="s">
        <v>28</v>
      </c>
      <c r="D51" s="5"/>
      <c r="E51" s="5"/>
      <c r="F51" s="5" t="s">
        <v>839</v>
      </c>
    </row>
    <row r="52" spans="1:6" x14ac:dyDescent="0.3">
      <c r="A52" s="5"/>
      <c r="B52" s="5" t="s">
        <v>21</v>
      </c>
      <c r="C52" s="5" t="s">
        <v>29</v>
      </c>
      <c r="D52" s="5"/>
      <c r="E52" s="5"/>
      <c r="F52" s="5" t="s">
        <v>840</v>
      </c>
    </row>
    <row r="53" spans="1:6" x14ac:dyDescent="0.3">
      <c r="A53" s="5"/>
      <c r="B53" s="5" t="s">
        <v>21</v>
      </c>
      <c r="C53" s="5" t="s">
        <v>30</v>
      </c>
      <c r="D53" s="5"/>
      <c r="E53" s="5"/>
      <c r="F53" s="5" t="s">
        <v>841</v>
      </c>
    </row>
    <row r="54" spans="1:6" x14ac:dyDescent="0.3">
      <c r="A54" s="5"/>
      <c r="B54" s="5" t="s">
        <v>21</v>
      </c>
      <c r="C54" s="5" t="s">
        <v>31</v>
      </c>
      <c r="D54" s="5"/>
      <c r="E54" s="5"/>
      <c r="F54" s="5" t="s">
        <v>842</v>
      </c>
    </row>
    <row r="55" spans="1:6" x14ac:dyDescent="0.3">
      <c r="A55" s="5"/>
      <c r="B55" s="5" t="s">
        <v>21</v>
      </c>
      <c r="C55" s="5" t="s">
        <v>32</v>
      </c>
      <c r="D55" s="5"/>
      <c r="E55" s="5"/>
      <c r="F55" s="5" t="s">
        <v>843</v>
      </c>
    </row>
    <row r="56" spans="1:6" x14ac:dyDescent="0.3">
      <c r="A56" s="5"/>
      <c r="B56" s="5" t="s">
        <v>22</v>
      </c>
      <c r="C56" s="5" t="s">
        <v>27</v>
      </c>
      <c r="D56" s="5" t="s">
        <v>641</v>
      </c>
      <c r="E56" s="5" t="s">
        <v>642</v>
      </c>
      <c r="F56" s="5" t="s">
        <v>844</v>
      </c>
    </row>
    <row r="57" spans="1:6" x14ac:dyDescent="0.3">
      <c r="A57" s="5"/>
      <c r="B57" s="5" t="s">
        <v>22</v>
      </c>
      <c r="C57" s="5" t="s">
        <v>28</v>
      </c>
      <c r="D57" s="5"/>
      <c r="E57" s="5"/>
      <c r="F57" s="5" t="s">
        <v>845</v>
      </c>
    </row>
    <row r="58" spans="1:6" x14ac:dyDescent="0.3">
      <c r="A58" s="5"/>
      <c r="B58" s="5" t="s">
        <v>22</v>
      </c>
      <c r="C58" s="5" t="s">
        <v>29</v>
      </c>
      <c r="D58" s="5"/>
      <c r="E58" s="5"/>
      <c r="F58" s="5" t="s">
        <v>846</v>
      </c>
    </row>
    <row r="59" spans="1:6" x14ac:dyDescent="0.3">
      <c r="A59" s="5"/>
      <c r="B59" s="5" t="s">
        <v>22</v>
      </c>
      <c r="C59" s="5" t="s">
        <v>30</v>
      </c>
      <c r="D59" s="5"/>
      <c r="E59" s="5"/>
      <c r="F59" s="5" t="s">
        <v>847</v>
      </c>
    </row>
    <row r="60" spans="1:6" x14ac:dyDescent="0.3">
      <c r="A60" s="5"/>
      <c r="B60" s="5" t="s">
        <v>22</v>
      </c>
      <c r="C60" s="5" t="s">
        <v>31</v>
      </c>
      <c r="D60" s="5"/>
      <c r="E60" s="5"/>
      <c r="F60" s="5" t="s">
        <v>848</v>
      </c>
    </row>
    <row r="61" spans="1:6" x14ac:dyDescent="0.3">
      <c r="A61" s="5"/>
      <c r="B61" s="5" t="s">
        <v>22</v>
      </c>
      <c r="C61" s="5" t="s">
        <v>32</v>
      </c>
      <c r="D61" s="5"/>
      <c r="E61" s="5"/>
      <c r="F61" s="5" t="s">
        <v>849</v>
      </c>
    </row>
    <row r="62" spans="1:6" x14ac:dyDescent="0.3">
      <c r="A62" s="5"/>
      <c r="B62" s="5" t="s">
        <v>23</v>
      </c>
      <c r="C62" s="5" t="s">
        <v>27</v>
      </c>
      <c r="D62" s="5" t="s">
        <v>643</v>
      </c>
      <c r="E62" s="5" t="s">
        <v>644</v>
      </c>
      <c r="F62" s="5" t="s">
        <v>850</v>
      </c>
    </row>
    <row r="63" spans="1:6" x14ac:dyDescent="0.3">
      <c r="A63" s="5"/>
      <c r="B63" s="5" t="s">
        <v>23</v>
      </c>
      <c r="C63" s="5" t="s">
        <v>28</v>
      </c>
      <c r="D63" s="5"/>
      <c r="E63" s="5"/>
      <c r="F63" s="5" t="s">
        <v>851</v>
      </c>
    </row>
    <row r="64" spans="1:6" x14ac:dyDescent="0.3">
      <c r="A64" s="5"/>
      <c r="B64" s="5" t="s">
        <v>23</v>
      </c>
      <c r="C64" s="5" t="s">
        <v>29</v>
      </c>
      <c r="D64" s="5"/>
      <c r="E64" s="5"/>
      <c r="F64" s="5" t="s">
        <v>852</v>
      </c>
    </row>
    <row r="65" spans="1:6" x14ac:dyDescent="0.3">
      <c r="A65" s="5"/>
      <c r="B65" s="5" t="s">
        <v>23</v>
      </c>
      <c r="C65" s="5" t="s">
        <v>30</v>
      </c>
      <c r="D65" s="5"/>
      <c r="E65" s="5"/>
      <c r="F65" s="5" t="s">
        <v>853</v>
      </c>
    </row>
    <row r="66" spans="1:6" x14ac:dyDescent="0.3">
      <c r="A66" s="5"/>
      <c r="B66" s="5" t="s">
        <v>23</v>
      </c>
      <c r="C66" s="5" t="s">
        <v>31</v>
      </c>
      <c r="D66" s="5"/>
      <c r="E66" s="5"/>
      <c r="F66" s="5" t="s">
        <v>854</v>
      </c>
    </row>
    <row r="67" spans="1:6" x14ac:dyDescent="0.3">
      <c r="A67" s="5"/>
      <c r="B67" s="5" t="s">
        <v>23</v>
      </c>
      <c r="C67" s="5" t="s">
        <v>32</v>
      </c>
      <c r="D67" s="5"/>
      <c r="E67" s="5"/>
      <c r="F67" s="5" t="s">
        <v>855</v>
      </c>
    </row>
    <row r="68" spans="1:6" x14ac:dyDescent="0.3">
      <c r="A68" s="5"/>
      <c r="B68" s="5" t="s">
        <v>24</v>
      </c>
      <c r="C68" s="5" t="s">
        <v>27</v>
      </c>
      <c r="D68" s="5" t="s">
        <v>645</v>
      </c>
      <c r="E68" s="5" t="s">
        <v>646</v>
      </c>
      <c r="F68" s="5" t="s">
        <v>856</v>
      </c>
    </row>
    <row r="69" spans="1:6" x14ac:dyDescent="0.3">
      <c r="A69" s="5"/>
      <c r="B69" s="5" t="s">
        <v>24</v>
      </c>
      <c r="C69" s="5" t="s">
        <v>28</v>
      </c>
      <c r="D69" s="5"/>
      <c r="E69" s="5"/>
      <c r="F69" s="5" t="s">
        <v>857</v>
      </c>
    </row>
    <row r="70" spans="1:6" x14ac:dyDescent="0.3">
      <c r="A70" s="5"/>
      <c r="B70" s="5" t="s">
        <v>24</v>
      </c>
      <c r="C70" s="5" t="s">
        <v>29</v>
      </c>
      <c r="D70" s="5"/>
      <c r="E70" s="5"/>
      <c r="F70" s="5" t="s">
        <v>858</v>
      </c>
    </row>
    <row r="71" spans="1:6" x14ac:dyDescent="0.3">
      <c r="A71" s="5"/>
      <c r="B71" s="5" t="s">
        <v>24</v>
      </c>
      <c r="C71" s="5" t="s">
        <v>30</v>
      </c>
      <c r="D71" s="5"/>
      <c r="E71" s="5"/>
      <c r="F71" s="5" t="s">
        <v>859</v>
      </c>
    </row>
    <row r="72" spans="1:6" x14ac:dyDescent="0.3">
      <c r="A72" s="5"/>
      <c r="B72" s="5" t="s">
        <v>24</v>
      </c>
      <c r="C72" s="5" t="s">
        <v>31</v>
      </c>
      <c r="D72" s="5"/>
      <c r="E72" s="5"/>
      <c r="F72" s="5" t="s">
        <v>860</v>
      </c>
    </row>
    <row r="73" spans="1:6" x14ac:dyDescent="0.3">
      <c r="A73" s="5"/>
      <c r="B73" s="5" t="s">
        <v>24</v>
      </c>
      <c r="C73" s="5" t="s">
        <v>32</v>
      </c>
      <c r="D73" s="5"/>
      <c r="E73" s="5"/>
      <c r="F73" s="5" t="s">
        <v>861</v>
      </c>
    </row>
    <row r="74" spans="1:6" x14ac:dyDescent="0.3">
      <c r="A74" s="5"/>
      <c r="B74" s="5" t="s">
        <v>25</v>
      </c>
      <c r="C74" s="5" t="s">
        <v>27</v>
      </c>
      <c r="D74" s="5" t="s">
        <v>647</v>
      </c>
      <c r="E74" s="5" t="s">
        <v>648</v>
      </c>
      <c r="F74" s="5" t="s">
        <v>790</v>
      </c>
    </row>
    <row r="75" spans="1:6" x14ac:dyDescent="0.3">
      <c r="A75" s="5"/>
      <c r="B75" s="5" t="s">
        <v>25</v>
      </c>
      <c r="C75" s="5" t="s">
        <v>28</v>
      </c>
      <c r="D75" s="5"/>
      <c r="E75" s="5"/>
      <c r="F75" s="5" t="s">
        <v>791</v>
      </c>
    </row>
    <row r="76" spans="1:6" x14ac:dyDescent="0.3">
      <c r="A76" s="5"/>
      <c r="B76" s="5" t="s">
        <v>25</v>
      </c>
      <c r="C76" s="5" t="s">
        <v>29</v>
      </c>
      <c r="D76" s="5"/>
      <c r="E76" s="5"/>
      <c r="F76" s="5" t="s">
        <v>792</v>
      </c>
    </row>
    <row r="77" spans="1:6" x14ac:dyDescent="0.3">
      <c r="A77" s="5"/>
      <c r="B77" s="5" t="s">
        <v>25</v>
      </c>
      <c r="C77" s="5" t="s">
        <v>30</v>
      </c>
      <c r="D77" s="5"/>
      <c r="E77" s="5"/>
      <c r="F77" s="5" t="s">
        <v>793</v>
      </c>
    </row>
    <row r="78" spans="1:6" x14ac:dyDescent="0.3">
      <c r="A78" s="5"/>
      <c r="B78" s="5" t="s">
        <v>25</v>
      </c>
      <c r="C78" s="5" t="s">
        <v>31</v>
      </c>
      <c r="D78" s="5"/>
      <c r="E78" s="5"/>
      <c r="F78" s="5" t="s">
        <v>794</v>
      </c>
    </row>
    <row r="79" spans="1:6" x14ac:dyDescent="0.3">
      <c r="A79" s="5"/>
      <c r="B79" s="5" t="s">
        <v>25</v>
      </c>
      <c r="C79" s="5" t="s">
        <v>32</v>
      </c>
      <c r="D79" s="5"/>
      <c r="E79" s="5"/>
      <c r="F79" s="5" t="s">
        <v>795</v>
      </c>
    </row>
    <row r="80" spans="1:6" x14ac:dyDescent="0.3">
      <c r="A80" s="5"/>
      <c r="B80" s="5" t="s">
        <v>26</v>
      </c>
      <c r="C80" s="5" t="s">
        <v>27</v>
      </c>
      <c r="D80" s="5" t="s">
        <v>649</v>
      </c>
      <c r="E80" s="5" t="s">
        <v>650</v>
      </c>
      <c r="F80" s="5" t="s">
        <v>796</v>
      </c>
    </row>
    <row r="81" spans="1:6" x14ac:dyDescent="0.3">
      <c r="A81" s="5"/>
      <c r="B81" s="5" t="s">
        <v>26</v>
      </c>
      <c r="C81" s="5" t="s">
        <v>28</v>
      </c>
      <c r="D81" s="5"/>
      <c r="E81" s="5"/>
      <c r="F81" s="5" t="s">
        <v>797</v>
      </c>
    </row>
    <row r="82" spans="1:6" x14ac:dyDescent="0.3">
      <c r="A82" s="5"/>
      <c r="B82" s="5" t="s">
        <v>26</v>
      </c>
      <c r="C82" s="5" t="s">
        <v>29</v>
      </c>
      <c r="D82" s="5"/>
      <c r="E82" s="5"/>
      <c r="F82" s="5" t="s">
        <v>798</v>
      </c>
    </row>
    <row r="83" spans="1:6" x14ac:dyDescent="0.3">
      <c r="A83" s="5"/>
      <c r="B83" s="5" t="s">
        <v>26</v>
      </c>
      <c r="C83" s="5" t="s">
        <v>30</v>
      </c>
      <c r="D83" s="5"/>
      <c r="E83" s="5"/>
      <c r="F83" s="5" t="s">
        <v>799</v>
      </c>
    </row>
    <row r="84" spans="1:6" x14ac:dyDescent="0.3">
      <c r="A84" s="5"/>
      <c r="B84" s="5" t="s">
        <v>26</v>
      </c>
      <c r="C84" s="5" t="s">
        <v>31</v>
      </c>
      <c r="D84" s="5"/>
      <c r="E84" s="5"/>
      <c r="F84" s="5" t="s">
        <v>800</v>
      </c>
    </row>
    <row r="85" spans="1:6" x14ac:dyDescent="0.3">
      <c r="A85" s="5"/>
      <c r="B85" s="5" t="s">
        <v>26</v>
      </c>
      <c r="C85" s="5" t="s">
        <v>32</v>
      </c>
      <c r="D85" s="5"/>
      <c r="E85" s="5"/>
      <c r="F85" s="5" t="s">
        <v>801</v>
      </c>
    </row>
    <row r="86" spans="1:6" x14ac:dyDescent="0.3">
      <c r="A86" s="5" t="s">
        <v>6</v>
      </c>
      <c r="B86" s="5" t="s">
        <v>33</v>
      </c>
      <c r="C86" s="5" t="s">
        <v>27</v>
      </c>
      <c r="D86" s="5" t="s">
        <v>651</v>
      </c>
      <c r="E86" s="5" t="s">
        <v>652</v>
      </c>
      <c r="F86" s="5" t="s">
        <v>790</v>
      </c>
    </row>
    <row r="87" spans="1:6" x14ac:dyDescent="0.3">
      <c r="A87" s="5"/>
      <c r="B87" s="5" t="s">
        <v>33</v>
      </c>
      <c r="C87" s="5" t="s">
        <v>28</v>
      </c>
      <c r="D87" s="5"/>
      <c r="E87" s="5"/>
      <c r="F87" s="5" t="s">
        <v>791</v>
      </c>
    </row>
    <row r="88" spans="1:6" x14ac:dyDescent="0.3">
      <c r="A88" s="5"/>
      <c r="B88" s="5" t="s">
        <v>33</v>
      </c>
      <c r="C88" s="5" t="s">
        <v>29</v>
      </c>
      <c r="D88" s="5"/>
      <c r="E88" s="5"/>
      <c r="F88" s="5" t="s">
        <v>792</v>
      </c>
    </row>
    <row r="89" spans="1:6" x14ac:dyDescent="0.3">
      <c r="A89" s="5"/>
      <c r="B89" s="5" t="s">
        <v>33</v>
      </c>
      <c r="C89" s="5" t="s">
        <v>30</v>
      </c>
      <c r="D89" s="5"/>
      <c r="E89" s="5"/>
      <c r="F89" s="5" t="s">
        <v>793</v>
      </c>
    </row>
    <row r="90" spans="1:6" x14ac:dyDescent="0.3">
      <c r="A90" s="5"/>
      <c r="B90" s="5" t="s">
        <v>33</v>
      </c>
      <c r="C90" s="5" t="s">
        <v>31</v>
      </c>
      <c r="D90" s="5"/>
      <c r="E90" s="5"/>
      <c r="F90" s="5" t="s">
        <v>794</v>
      </c>
    </row>
    <row r="91" spans="1:6" x14ac:dyDescent="0.3">
      <c r="A91" s="5"/>
      <c r="B91" s="5" t="s">
        <v>33</v>
      </c>
      <c r="C91" s="5" t="s">
        <v>32</v>
      </c>
      <c r="D91" s="5"/>
      <c r="E91" s="5"/>
      <c r="F91" s="5" t="s">
        <v>795</v>
      </c>
    </row>
    <row r="92" spans="1:6" x14ac:dyDescent="0.3">
      <c r="A92" s="5"/>
      <c r="B92" s="5" t="s">
        <v>34</v>
      </c>
      <c r="C92" s="5" t="s">
        <v>27</v>
      </c>
      <c r="D92" s="5" t="s">
        <v>653</v>
      </c>
      <c r="E92" s="5" t="s">
        <v>654</v>
      </c>
      <c r="F92" s="5" t="s">
        <v>796</v>
      </c>
    </row>
    <row r="93" spans="1:6" x14ac:dyDescent="0.3">
      <c r="A93" s="5"/>
      <c r="B93" s="5" t="s">
        <v>34</v>
      </c>
      <c r="C93" s="5" t="s">
        <v>28</v>
      </c>
      <c r="D93" s="5"/>
      <c r="E93" s="5"/>
      <c r="F93" s="5" t="s">
        <v>797</v>
      </c>
    </row>
    <row r="94" spans="1:6" x14ac:dyDescent="0.3">
      <c r="A94" s="5"/>
      <c r="B94" s="5" t="s">
        <v>34</v>
      </c>
      <c r="C94" s="5" t="s">
        <v>29</v>
      </c>
      <c r="D94" s="5"/>
      <c r="E94" s="5"/>
      <c r="F94" s="5" t="s">
        <v>798</v>
      </c>
    </row>
    <row r="95" spans="1:6" x14ac:dyDescent="0.3">
      <c r="A95" s="5"/>
      <c r="B95" s="5" t="s">
        <v>34</v>
      </c>
      <c r="C95" s="5" t="s">
        <v>30</v>
      </c>
      <c r="D95" s="5"/>
      <c r="E95" s="5"/>
      <c r="F95" s="5" t="s">
        <v>799</v>
      </c>
    </row>
    <row r="96" spans="1:6" x14ac:dyDescent="0.3">
      <c r="A96" s="5"/>
      <c r="B96" s="5" t="s">
        <v>34</v>
      </c>
      <c r="C96" s="5" t="s">
        <v>31</v>
      </c>
      <c r="D96" s="5"/>
      <c r="E96" s="5"/>
      <c r="F96" s="5" t="s">
        <v>800</v>
      </c>
    </row>
    <row r="97" spans="1:6" x14ac:dyDescent="0.3">
      <c r="A97" s="5"/>
      <c r="B97" s="5" t="s">
        <v>34</v>
      </c>
      <c r="C97" s="5" t="s">
        <v>32</v>
      </c>
      <c r="D97" s="5"/>
      <c r="E97" s="5"/>
      <c r="F97" s="5" t="s">
        <v>801</v>
      </c>
    </row>
    <row r="98" spans="1:6" x14ac:dyDescent="0.3">
      <c r="A98" s="5"/>
      <c r="B98" s="5" t="s">
        <v>35</v>
      </c>
      <c r="C98" s="5" t="s">
        <v>27</v>
      </c>
      <c r="D98" s="5" t="s">
        <v>655</v>
      </c>
      <c r="E98" s="5" t="s">
        <v>656</v>
      </c>
      <c r="F98" s="5" t="s">
        <v>802</v>
      </c>
    </row>
    <row r="99" spans="1:6" x14ac:dyDescent="0.3">
      <c r="A99" s="5"/>
      <c r="B99" s="5" t="s">
        <v>35</v>
      </c>
      <c r="C99" s="5" t="s">
        <v>28</v>
      </c>
      <c r="D99" s="5"/>
      <c r="E99" s="5"/>
      <c r="F99" s="5" t="s">
        <v>803</v>
      </c>
    </row>
    <row r="100" spans="1:6" x14ac:dyDescent="0.3">
      <c r="A100" s="5"/>
      <c r="B100" s="5" t="s">
        <v>35</v>
      </c>
      <c r="C100" s="5" t="s">
        <v>29</v>
      </c>
      <c r="D100" s="5"/>
      <c r="E100" s="5"/>
      <c r="F100" s="5" t="s">
        <v>804</v>
      </c>
    </row>
    <row r="101" spans="1:6" x14ac:dyDescent="0.3">
      <c r="A101" s="5"/>
      <c r="B101" s="5" t="s">
        <v>35</v>
      </c>
      <c r="C101" s="5" t="s">
        <v>30</v>
      </c>
      <c r="D101" s="5"/>
      <c r="E101" s="5"/>
      <c r="F101" s="5" t="s">
        <v>805</v>
      </c>
    </row>
    <row r="102" spans="1:6" x14ac:dyDescent="0.3">
      <c r="A102" s="5"/>
      <c r="B102" s="5" t="s">
        <v>35</v>
      </c>
      <c r="C102" s="5" t="s">
        <v>31</v>
      </c>
      <c r="D102" s="5"/>
      <c r="E102" s="5"/>
      <c r="F102" s="5" t="s">
        <v>806</v>
      </c>
    </row>
    <row r="103" spans="1:6" x14ac:dyDescent="0.3">
      <c r="A103" s="5"/>
      <c r="B103" s="5" t="s">
        <v>35</v>
      </c>
      <c r="C103" s="5" t="s">
        <v>32</v>
      </c>
      <c r="D103" s="5"/>
      <c r="E103" s="5"/>
      <c r="F103" s="5" t="s">
        <v>807</v>
      </c>
    </row>
    <row r="104" spans="1:6" x14ac:dyDescent="0.3">
      <c r="A104" s="5"/>
      <c r="B104" s="5" t="s">
        <v>36</v>
      </c>
      <c r="C104" s="5" t="s">
        <v>27</v>
      </c>
      <c r="D104" s="5" t="s">
        <v>657</v>
      </c>
      <c r="E104" s="5" t="s">
        <v>658</v>
      </c>
      <c r="F104" s="5" t="s">
        <v>808</v>
      </c>
    </row>
    <row r="105" spans="1:6" x14ac:dyDescent="0.3">
      <c r="A105" s="5"/>
      <c r="B105" s="5" t="s">
        <v>36</v>
      </c>
      <c r="C105" s="5" t="s">
        <v>28</v>
      </c>
      <c r="D105" s="5"/>
      <c r="E105" s="5"/>
      <c r="F105" s="5" t="s">
        <v>809</v>
      </c>
    </row>
    <row r="106" spans="1:6" x14ac:dyDescent="0.3">
      <c r="A106" s="5"/>
      <c r="B106" s="5" t="s">
        <v>36</v>
      </c>
      <c r="C106" s="5" t="s">
        <v>29</v>
      </c>
      <c r="D106" s="5"/>
      <c r="E106" s="5"/>
      <c r="F106" s="5" t="s">
        <v>810</v>
      </c>
    </row>
    <row r="107" spans="1:6" x14ac:dyDescent="0.3">
      <c r="A107" s="5"/>
      <c r="B107" s="5" t="s">
        <v>36</v>
      </c>
      <c r="C107" s="5" t="s">
        <v>30</v>
      </c>
      <c r="D107" s="5"/>
      <c r="E107" s="5"/>
      <c r="F107" s="5" t="s">
        <v>811</v>
      </c>
    </row>
    <row r="108" spans="1:6" x14ac:dyDescent="0.3">
      <c r="A108" s="5"/>
      <c r="B108" s="5" t="s">
        <v>36</v>
      </c>
      <c r="C108" s="5" t="s">
        <v>31</v>
      </c>
      <c r="D108" s="5"/>
      <c r="E108" s="5"/>
      <c r="F108" s="5" t="s">
        <v>812</v>
      </c>
    </row>
    <row r="109" spans="1:6" x14ac:dyDescent="0.3">
      <c r="A109" s="5"/>
      <c r="B109" s="5" t="s">
        <v>36</v>
      </c>
      <c r="C109" s="5" t="s">
        <v>32</v>
      </c>
      <c r="D109" s="5"/>
      <c r="E109" s="5"/>
      <c r="F109" s="5" t="s">
        <v>813</v>
      </c>
    </row>
    <row r="110" spans="1:6" x14ac:dyDescent="0.3">
      <c r="A110" s="5"/>
      <c r="B110" s="5" t="s">
        <v>37</v>
      </c>
      <c r="C110" s="5" t="s">
        <v>27</v>
      </c>
      <c r="D110" s="5" t="s">
        <v>659</v>
      </c>
      <c r="E110" s="5" t="s">
        <v>660</v>
      </c>
      <c r="F110" s="5" t="s">
        <v>814</v>
      </c>
    </row>
    <row r="111" spans="1:6" x14ac:dyDescent="0.3">
      <c r="A111" s="5"/>
      <c r="B111" s="5" t="s">
        <v>37</v>
      </c>
      <c r="C111" s="5" t="s">
        <v>28</v>
      </c>
      <c r="D111" s="5"/>
      <c r="E111" s="5"/>
      <c r="F111" s="5" t="s">
        <v>815</v>
      </c>
    </row>
    <row r="112" spans="1:6" x14ac:dyDescent="0.3">
      <c r="A112" s="5"/>
      <c r="B112" s="5" t="s">
        <v>37</v>
      </c>
      <c r="C112" s="5" t="s">
        <v>29</v>
      </c>
      <c r="D112" s="5"/>
      <c r="E112" s="5"/>
      <c r="F112" s="5" t="s">
        <v>816</v>
      </c>
    </row>
    <row r="113" spans="1:6" x14ac:dyDescent="0.3">
      <c r="A113" s="5"/>
      <c r="B113" s="5" t="s">
        <v>37</v>
      </c>
      <c r="C113" s="5" t="s">
        <v>30</v>
      </c>
      <c r="D113" s="5"/>
      <c r="E113" s="5"/>
      <c r="F113" s="5" t="s">
        <v>817</v>
      </c>
    </row>
    <row r="114" spans="1:6" x14ac:dyDescent="0.3">
      <c r="A114" s="5"/>
      <c r="B114" s="5" t="s">
        <v>37</v>
      </c>
      <c r="C114" s="5" t="s">
        <v>31</v>
      </c>
      <c r="D114" s="5"/>
      <c r="E114" s="5"/>
      <c r="F114" s="5" t="s">
        <v>818</v>
      </c>
    </row>
    <row r="115" spans="1:6" x14ac:dyDescent="0.3">
      <c r="A115" s="5"/>
      <c r="B115" s="5" t="s">
        <v>37</v>
      </c>
      <c r="C115" s="5" t="s">
        <v>32</v>
      </c>
      <c r="D115" s="5"/>
      <c r="E115" s="5"/>
      <c r="F115" s="5" t="s">
        <v>819</v>
      </c>
    </row>
    <row r="116" spans="1:6" x14ac:dyDescent="0.3">
      <c r="A116" s="5"/>
      <c r="B116" s="5" t="s">
        <v>38</v>
      </c>
      <c r="C116" s="5" t="s">
        <v>27</v>
      </c>
      <c r="D116" s="5" t="s">
        <v>661</v>
      </c>
      <c r="E116" s="5" t="s">
        <v>662</v>
      </c>
      <c r="F116" s="5" t="s">
        <v>820</v>
      </c>
    </row>
    <row r="117" spans="1:6" x14ac:dyDescent="0.3">
      <c r="A117" s="5"/>
      <c r="B117" s="5" t="s">
        <v>38</v>
      </c>
      <c r="C117" s="5" t="s">
        <v>28</v>
      </c>
      <c r="D117" s="5"/>
      <c r="E117" s="5"/>
      <c r="F117" s="5" t="s">
        <v>821</v>
      </c>
    </row>
    <row r="118" spans="1:6" x14ac:dyDescent="0.3">
      <c r="A118" s="5"/>
      <c r="B118" s="5" t="s">
        <v>38</v>
      </c>
      <c r="C118" s="5" t="s">
        <v>29</v>
      </c>
      <c r="D118" s="5"/>
      <c r="E118" s="5"/>
      <c r="F118" s="5" t="s">
        <v>822</v>
      </c>
    </row>
    <row r="119" spans="1:6" x14ac:dyDescent="0.3">
      <c r="A119" s="5"/>
      <c r="B119" s="5" t="s">
        <v>38</v>
      </c>
      <c r="C119" s="5" t="s">
        <v>30</v>
      </c>
      <c r="D119" s="5"/>
      <c r="E119" s="5"/>
      <c r="F119" s="5" t="s">
        <v>823</v>
      </c>
    </row>
    <row r="120" spans="1:6" x14ac:dyDescent="0.3">
      <c r="A120" s="5"/>
      <c r="B120" s="5" t="s">
        <v>38</v>
      </c>
      <c r="C120" s="5" t="s">
        <v>31</v>
      </c>
      <c r="D120" s="5"/>
      <c r="E120" s="5"/>
      <c r="F120" s="5" t="s">
        <v>824</v>
      </c>
    </row>
    <row r="121" spans="1:6" x14ac:dyDescent="0.3">
      <c r="A121" s="5"/>
      <c r="B121" s="5" t="s">
        <v>38</v>
      </c>
      <c r="C121" s="5" t="s">
        <v>32</v>
      </c>
      <c r="D121" s="5"/>
      <c r="E121" s="5"/>
      <c r="F121" s="5" t="s">
        <v>825</v>
      </c>
    </row>
    <row r="122" spans="1:6" x14ac:dyDescent="0.3">
      <c r="A122" s="5"/>
      <c r="B122" s="5" t="s">
        <v>39</v>
      </c>
      <c r="C122" s="5" t="s">
        <v>27</v>
      </c>
      <c r="D122" s="5" t="s">
        <v>663</v>
      </c>
      <c r="E122" s="5" t="s">
        <v>664</v>
      </c>
      <c r="F122" s="5" t="s">
        <v>826</v>
      </c>
    </row>
    <row r="123" spans="1:6" x14ac:dyDescent="0.3">
      <c r="A123" s="5"/>
      <c r="B123" s="5" t="s">
        <v>39</v>
      </c>
      <c r="C123" s="5" t="s">
        <v>28</v>
      </c>
      <c r="D123" s="5"/>
      <c r="E123" s="5"/>
      <c r="F123" s="5" t="s">
        <v>827</v>
      </c>
    </row>
    <row r="124" spans="1:6" x14ac:dyDescent="0.3">
      <c r="A124" s="5"/>
      <c r="B124" s="5" t="s">
        <v>39</v>
      </c>
      <c r="C124" s="5" t="s">
        <v>29</v>
      </c>
      <c r="D124" s="5"/>
      <c r="E124" s="5"/>
      <c r="F124" s="5" t="s">
        <v>828</v>
      </c>
    </row>
    <row r="125" spans="1:6" x14ac:dyDescent="0.3">
      <c r="A125" s="5"/>
      <c r="B125" s="5" t="s">
        <v>39</v>
      </c>
      <c r="C125" s="5" t="s">
        <v>30</v>
      </c>
      <c r="D125" s="5"/>
      <c r="E125" s="5"/>
      <c r="F125" s="5" t="s">
        <v>829</v>
      </c>
    </row>
    <row r="126" spans="1:6" x14ac:dyDescent="0.3">
      <c r="A126" s="5"/>
      <c r="B126" s="5" t="s">
        <v>39</v>
      </c>
      <c r="C126" s="5" t="s">
        <v>31</v>
      </c>
      <c r="D126" s="5"/>
      <c r="E126" s="5"/>
      <c r="F126" s="5" t="s">
        <v>830</v>
      </c>
    </row>
    <row r="127" spans="1:6" x14ac:dyDescent="0.3">
      <c r="A127" s="5"/>
      <c r="B127" s="5" t="s">
        <v>39</v>
      </c>
      <c r="C127" s="5" t="s">
        <v>32</v>
      </c>
      <c r="D127" s="5"/>
      <c r="E127" s="5"/>
      <c r="F127" s="5" t="s">
        <v>831</v>
      </c>
    </row>
    <row r="128" spans="1:6" x14ac:dyDescent="0.3">
      <c r="A128" s="5"/>
      <c r="B128" s="5" t="s">
        <v>40</v>
      </c>
      <c r="C128" s="5" t="s">
        <v>27</v>
      </c>
      <c r="D128" s="5" t="s">
        <v>665</v>
      </c>
      <c r="E128" s="5" t="s">
        <v>666</v>
      </c>
      <c r="F128" s="5" t="s">
        <v>832</v>
      </c>
    </row>
    <row r="129" spans="1:6" x14ac:dyDescent="0.3">
      <c r="A129" s="5"/>
      <c r="B129" s="5" t="s">
        <v>40</v>
      </c>
      <c r="C129" s="5" t="s">
        <v>28</v>
      </c>
      <c r="D129" s="5"/>
      <c r="E129" s="5"/>
      <c r="F129" s="5" t="s">
        <v>833</v>
      </c>
    </row>
    <row r="130" spans="1:6" x14ac:dyDescent="0.3">
      <c r="A130" s="5"/>
      <c r="B130" s="5" t="s">
        <v>40</v>
      </c>
      <c r="C130" s="5" t="s">
        <v>29</v>
      </c>
      <c r="D130" s="5"/>
      <c r="E130" s="5"/>
      <c r="F130" s="5" t="s">
        <v>834</v>
      </c>
    </row>
    <row r="131" spans="1:6" x14ac:dyDescent="0.3">
      <c r="A131" s="5"/>
      <c r="B131" s="5" t="s">
        <v>40</v>
      </c>
      <c r="C131" s="5" t="s">
        <v>30</v>
      </c>
      <c r="D131" s="5"/>
      <c r="E131" s="5"/>
      <c r="F131" s="5" t="s">
        <v>835</v>
      </c>
    </row>
    <row r="132" spans="1:6" x14ac:dyDescent="0.3">
      <c r="A132" s="5"/>
      <c r="B132" s="5" t="s">
        <v>40</v>
      </c>
      <c r="C132" s="5" t="s">
        <v>31</v>
      </c>
      <c r="D132" s="5"/>
      <c r="E132" s="5"/>
      <c r="F132" s="5" t="s">
        <v>836</v>
      </c>
    </row>
    <row r="133" spans="1:6" x14ac:dyDescent="0.3">
      <c r="A133" s="5"/>
      <c r="B133" s="5" t="s">
        <v>40</v>
      </c>
      <c r="C133" s="5" t="s">
        <v>32</v>
      </c>
      <c r="D133" s="5"/>
      <c r="E133" s="5"/>
      <c r="F133" s="5" t="s">
        <v>837</v>
      </c>
    </row>
    <row r="134" spans="1:6" x14ac:dyDescent="0.3">
      <c r="A134" s="5"/>
      <c r="B134" s="5" t="s">
        <v>41</v>
      </c>
      <c r="C134" s="5" t="s">
        <v>27</v>
      </c>
      <c r="D134" s="5" t="s">
        <v>667</v>
      </c>
      <c r="E134" s="5" t="s">
        <v>668</v>
      </c>
      <c r="F134" s="5" t="s">
        <v>838</v>
      </c>
    </row>
    <row r="135" spans="1:6" x14ac:dyDescent="0.3">
      <c r="A135" s="5"/>
      <c r="B135" s="5" t="s">
        <v>41</v>
      </c>
      <c r="C135" s="5" t="s">
        <v>28</v>
      </c>
      <c r="D135" s="5"/>
      <c r="E135" s="5"/>
      <c r="F135" s="5" t="s">
        <v>839</v>
      </c>
    </row>
    <row r="136" spans="1:6" x14ac:dyDescent="0.3">
      <c r="A136" s="5"/>
      <c r="B136" s="5" t="s">
        <v>41</v>
      </c>
      <c r="C136" s="5" t="s">
        <v>29</v>
      </c>
      <c r="D136" s="5"/>
      <c r="E136" s="5"/>
      <c r="F136" s="5" t="s">
        <v>840</v>
      </c>
    </row>
    <row r="137" spans="1:6" x14ac:dyDescent="0.3">
      <c r="A137" s="5"/>
      <c r="B137" s="5" t="s">
        <v>41</v>
      </c>
      <c r="C137" s="5" t="s">
        <v>30</v>
      </c>
      <c r="D137" s="5"/>
      <c r="E137" s="5"/>
      <c r="F137" s="5" t="s">
        <v>841</v>
      </c>
    </row>
    <row r="138" spans="1:6" x14ac:dyDescent="0.3">
      <c r="A138" s="5"/>
      <c r="B138" s="5" t="s">
        <v>41</v>
      </c>
      <c r="C138" s="5" t="s">
        <v>31</v>
      </c>
      <c r="D138" s="5"/>
      <c r="E138" s="5"/>
      <c r="F138" s="5" t="s">
        <v>842</v>
      </c>
    </row>
    <row r="139" spans="1:6" x14ac:dyDescent="0.3">
      <c r="A139" s="5"/>
      <c r="B139" s="5" t="s">
        <v>41</v>
      </c>
      <c r="C139" s="5" t="s">
        <v>32</v>
      </c>
      <c r="D139" s="5"/>
      <c r="E139" s="5"/>
      <c r="F139" s="5" t="s">
        <v>843</v>
      </c>
    </row>
    <row r="140" spans="1:6" x14ac:dyDescent="0.3">
      <c r="A140" s="5"/>
      <c r="B140" s="5" t="s">
        <v>42</v>
      </c>
      <c r="C140" s="5" t="s">
        <v>27</v>
      </c>
      <c r="D140" s="5" t="s">
        <v>669</v>
      </c>
      <c r="E140" s="5" t="s">
        <v>670</v>
      </c>
      <c r="F140" s="5" t="s">
        <v>844</v>
      </c>
    </row>
    <row r="141" spans="1:6" x14ac:dyDescent="0.3">
      <c r="A141" s="5"/>
      <c r="B141" s="5" t="s">
        <v>42</v>
      </c>
      <c r="C141" s="5" t="s">
        <v>28</v>
      </c>
      <c r="D141" s="5"/>
      <c r="E141" s="5"/>
      <c r="F141" s="5" t="s">
        <v>845</v>
      </c>
    </row>
    <row r="142" spans="1:6" x14ac:dyDescent="0.3">
      <c r="A142" s="5"/>
      <c r="B142" s="5" t="s">
        <v>42</v>
      </c>
      <c r="C142" s="5" t="s">
        <v>29</v>
      </c>
      <c r="D142" s="5"/>
      <c r="E142" s="5"/>
      <c r="F142" s="5" t="s">
        <v>846</v>
      </c>
    </row>
    <row r="143" spans="1:6" x14ac:dyDescent="0.3">
      <c r="A143" s="5"/>
      <c r="B143" s="5" t="s">
        <v>42</v>
      </c>
      <c r="C143" s="5" t="s">
        <v>30</v>
      </c>
      <c r="D143" s="5"/>
      <c r="E143" s="5"/>
      <c r="F143" s="5" t="s">
        <v>847</v>
      </c>
    </row>
    <row r="144" spans="1:6" x14ac:dyDescent="0.3">
      <c r="A144" s="5"/>
      <c r="B144" s="5" t="s">
        <v>42</v>
      </c>
      <c r="C144" s="5" t="s">
        <v>31</v>
      </c>
      <c r="D144" s="5"/>
      <c r="E144" s="5"/>
      <c r="F144" s="5" t="s">
        <v>848</v>
      </c>
    </row>
    <row r="145" spans="1:6" x14ac:dyDescent="0.3">
      <c r="A145" s="5"/>
      <c r="B145" s="5" t="s">
        <v>42</v>
      </c>
      <c r="C145" s="5" t="s">
        <v>32</v>
      </c>
      <c r="D145" s="5"/>
      <c r="E145" s="5"/>
      <c r="F145" s="5" t="s">
        <v>849</v>
      </c>
    </row>
    <row r="146" spans="1:6" x14ac:dyDescent="0.3">
      <c r="A146" s="5" t="s">
        <v>7</v>
      </c>
      <c r="B146" s="5" t="s">
        <v>43</v>
      </c>
      <c r="C146" s="5" t="s">
        <v>27</v>
      </c>
      <c r="D146" s="5" t="s">
        <v>671</v>
      </c>
      <c r="E146" s="5" t="s">
        <v>672</v>
      </c>
      <c r="F146" s="5" t="s">
        <v>790</v>
      </c>
    </row>
    <row r="147" spans="1:6" x14ac:dyDescent="0.3">
      <c r="A147" s="5"/>
      <c r="B147" s="5" t="s">
        <v>43</v>
      </c>
      <c r="C147" s="5" t="s">
        <v>28</v>
      </c>
      <c r="D147" s="5"/>
      <c r="E147" s="5"/>
      <c r="F147" s="5" t="s">
        <v>791</v>
      </c>
    </row>
    <row r="148" spans="1:6" x14ac:dyDescent="0.3">
      <c r="A148" s="5"/>
      <c r="B148" s="5" t="s">
        <v>43</v>
      </c>
      <c r="C148" s="5" t="s">
        <v>29</v>
      </c>
      <c r="D148" s="5"/>
      <c r="E148" s="5"/>
      <c r="F148" s="5" t="s">
        <v>792</v>
      </c>
    </row>
    <row r="149" spans="1:6" x14ac:dyDescent="0.3">
      <c r="A149" s="5"/>
      <c r="B149" s="5" t="s">
        <v>43</v>
      </c>
      <c r="C149" s="5" t="s">
        <v>30</v>
      </c>
      <c r="D149" s="5"/>
      <c r="E149" s="5"/>
      <c r="F149" s="5" t="s">
        <v>793</v>
      </c>
    </row>
    <row r="150" spans="1:6" x14ac:dyDescent="0.3">
      <c r="A150" s="5"/>
      <c r="B150" s="5" t="s">
        <v>43</v>
      </c>
      <c r="C150" s="5" t="s">
        <v>31</v>
      </c>
      <c r="D150" s="5"/>
      <c r="E150" s="5"/>
      <c r="F150" s="5" t="s">
        <v>794</v>
      </c>
    </row>
    <row r="151" spans="1:6" x14ac:dyDescent="0.3">
      <c r="A151" s="5"/>
      <c r="B151" s="5" t="s">
        <v>43</v>
      </c>
      <c r="C151" s="5" t="s">
        <v>32</v>
      </c>
      <c r="D151" s="5"/>
      <c r="E151" s="5"/>
      <c r="F151" s="5" t="s">
        <v>795</v>
      </c>
    </row>
    <row r="152" spans="1:6" x14ac:dyDescent="0.3">
      <c r="A152" s="5"/>
      <c r="B152" s="5" t="s">
        <v>44</v>
      </c>
      <c r="C152" s="5" t="s">
        <v>27</v>
      </c>
      <c r="D152" s="5" t="s">
        <v>673</v>
      </c>
      <c r="E152" s="5" t="s">
        <v>674</v>
      </c>
      <c r="F152" s="5" t="s">
        <v>796</v>
      </c>
    </row>
    <row r="153" spans="1:6" x14ac:dyDescent="0.3">
      <c r="A153" s="5"/>
      <c r="B153" s="5" t="s">
        <v>44</v>
      </c>
      <c r="C153" s="5" t="s">
        <v>28</v>
      </c>
      <c r="D153" s="5"/>
      <c r="E153" s="5"/>
      <c r="F153" s="5" t="s">
        <v>797</v>
      </c>
    </row>
    <row r="154" spans="1:6" x14ac:dyDescent="0.3">
      <c r="A154" s="5"/>
      <c r="B154" s="5" t="s">
        <v>44</v>
      </c>
      <c r="C154" s="5" t="s">
        <v>29</v>
      </c>
      <c r="D154" s="5"/>
      <c r="E154" s="5"/>
      <c r="F154" s="5" t="s">
        <v>798</v>
      </c>
    </row>
    <row r="155" spans="1:6" x14ac:dyDescent="0.3">
      <c r="A155" s="5"/>
      <c r="B155" s="5" t="s">
        <v>44</v>
      </c>
      <c r="C155" s="5" t="s">
        <v>30</v>
      </c>
      <c r="D155" s="5"/>
      <c r="E155" s="5"/>
      <c r="F155" s="5" t="s">
        <v>799</v>
      </c>
    </row>
    <row r="156" spans="1:6" x14ac:dyDescent="0.3">
      <c r="A156" s="5"/>
      <c r="B156" s="5" t="s">
        <v>44</v>
      </c>
      <c r="C156" s="5" t="s">
        <v>31</v>
      </c>
      <c r="D156" s="5"/>
      <c r="E156" s="5"/>
      <c r="F156" s="5" t="s">
        <v>800</v>
      </c>
    </row>
    <row r="157" spans="1:6" x14ac:dyDescent="0.3">
      <c r="A157" s="5"/>
      <c r="B157" s="5" t="s">
        <v>44</v>
      </c>
      <c r="C157" s="5" t="s">
        <v>32</v>
      </c>
      <c r="D157" s="5"/>
      <c r="E157" s="5"/>
      <c r="F157" s="5" t="s">
        <v>801</v>
      </c>
    </row>
    <row r="158" spans="1:6" x14ac:dyDescent="0.3">
      <c r="A158" s="5"/>
      <c r="B158" s="5" t="s">
        <v>45</v>
      </c>
      <c r="C158" s="5" t="s">
        <v>27</v>
      </c>
      <c r="D158" s="5" t="s">
        <v>675</v>
      </c>
      <c r="E158" s="5" t="s">
        <v>676</v>
      </c>
      <c r="F158" s="5" t="s">
        <v>802</v>
      </c>
    </row>
    <row r="159" spans="1:6" x14ac:dyDescent="0.3">
      <c r="A159" s="5"/>
      <c r="B159" s="5" t="s">
        <v>45</v>
      </c>
      <c r="C159" s="5" t="s">
        <v>28</v>
      </c>
      <c r="D159" s="5"/>
      <c r="E159" s="5"/>
      <c r="F159" s="5" t="s">
        <v>803</v>
      </c>
    </row>
    <row r="160" spans="1:6" x14ac:dyDescent="0.3">
      <c r="A160" s="5"/>
      <c r="B160" s="5" t="s">
        <v>45</v>
      </c>
      <c r="C160" s="5" t="s">
        <v>29</v>
      </c>
      <c r="D160" s="5"/>
      <c r="E160" s="5"/>
      <c r="F160" s="5" t="s">
        <v>804</v>
      </c>
    </row>
    <row r="161" spans="1:6" x14ac:dyDescent="0.3">
      <c r="A161" s="5"/>
      <c r="B161" s="5" t="s">
        <v>45</v>
      </c>
      <c r="C161" s="5" t="s">
        <v>30</v>
      </c>
      <c r="D161" s="5"/>
      <c r="E161" s="5"/>
      <c r="F161" s="5" t="s">
        <v>805</v>
      </c>
    </row>
    <row r="162" spans="1:6" x14ac:dyDescent="0.3">
      <c r="A162" s="5"/>
      <c r="B162" s="5" t="s">
        <v>45</v>
      </c>
      <c r="C162" s="5" t="s">
        <v>31</v>
      </c>
      <c r="D162" s="5"/>
      <c r="E162" s="5"/>
      <c r="F162" s="5" t="s">
        <v>806</v>
      </c>
    </row>
    <row r="163" spans="1:6" x14ac:dyDescent="0.3">
      <c r="A163" s="5"/>
      <c r="B163" s="5" t="s">
        <v>45</v>
      </c>
      <c r="C163" s="5" t="s">
        <v>32</v>
      </c>
      <c r="D163" s="5"/>
      <c r="E163" s="5"/>
      <c r="F163" s="5" t="s">
        <v>807</v>
      </c>
    </row>
    <row r="164" spans="1:6" x14ac:dyDescent="0.3">
      <c r="A164" s="5"/>
      <c r="B164" s="5" t="s">
        <v>46</v>
      </c>
      <c r="C164" s="5" t="s">
        <v>27</v>
      </c>
      <c r="D164" s="5" t="s">
        <v>677</v>
      </c>
      <c r="E164" s="5" t="s">
        <v>678</v>
      </c>
      <c r="F164" s="5" t="s">
        <v>808</v>
      </c>
    </row>
    <row r="165" spans="1:6" x14ac:dyDescent="0.3">
      <c r="A165" s="5"/>
      <c r="B165" s="5" t="s">
        <v>46</v>
      </c>
      <c r="C165" s="5" t="s">
        <v>28</v>
      </c>
      <c r="D165" s="5"/>
      <c r="E165" s="5"/>
      <c r="F165" s="5" t="s">
        <v>809</v>
      </c>
    </row>
    <row r="166" spans="1:6" x14ac:dyDescent="0.3">
      <c r="A166" s="5"/>
      <c r="B166" s="5" t="s">
        <v>46</v>
      </c>
      <c r="C166" s="5" t="s">
        <v>29</v>
      </c>
      <c r="D166" s="5"/>
      <c r="E166" s="5"/>
      <c r="F166" s="5" t="s">
        <v>810</v>
      </c>
    </row>
    <row r="167" spans="1:6" x14ac:dyDescent="0.3">
      <c r="A167" s="5"/>
      <c r="B167" s="5" t="s">
        <v>46</v>
      </c>
      <c r="C167" s="5" t="s">
        <v>30</v>
      </c>
      <c r="D167" s="5"/>
      <c r="E167" s="5"/>
      <c r="F167" s="5" t="s">
        <v>811</v>
      </c>
    </row>
    <row r="168" spans="1:6" x14ac:dyDescent="0.3">
      <c r="A168" s="5"/>
      <c r="B168" s="5" t="s">
        <v>46</v>
      </c>
      <c r="C168" s="5" t="s">
        <v>31</v>
      </c>
      <c r="D168" s="5"/>
      <c r="E168" s="5"/>
      <c r="F168" s="5" t="s">
        <v>812</v>
      </c>
    </row>
    <row r="169" spans="1:6" x14ac:dyDescent="0.3">
      <c r="A169" s="5"/>
      <c r="B169" s="5" t="s">
        <v>46</v>
      </c>
      <c r="C169" s="5" t="s">
        <v>32</v>
      </c>
      <c r="D169" s="5"/>
      <c r="E169" s="5"/>
      <c r="F169" s="5" t="s">
        <v>813</v>
      </c>
    </row>
    <row r="170" spans="1:6" x14ac:dyDescent="0.3">
      <c r="A170" s="5"/>
      <c r="B170" s="5" t="s">
        <v>47</v>
      </c>
      <c r="C170" s="5" t="s">
        <v>27</v>
      </c>
      <c r="D170" s="5" t="s">
        <v>679</v>
      </c>
      <c r="E170" s="5" t="s">
        <v>680</v>
      </c>
      <c r="F170" s="5" t="s">
        <v>814</v>
      </c>
    </row>
    <row r="171" spans="1:6" x14ac:dyDescent="0.3">
      <c r="A171" s="5"/>
      <c r="B171" s="5" t="s">
        <v>47</v>
      </c>
      <c r="C171" s="5" t="s">
        <v>28</v>
      </c>
      <c r="D171" s="5"/>
      <c r="E171" s="5"/>
      <c r="F171" s="5" t="s">
        <v>815</v>
      </c>
    </row>
    <row r="172" spans="1:6" x14ac:dyDescent="0.3">
      <c r="A172" s="5"/>
      <c r="B172" s="5" t="s">
        <v>47</v>
      </c>
      <c r="C172" s="5" t="s">
        <v>29</v>
      </c>
      <c r="D172" s="5"/>
      <c r="E172" s="5"/>
      <c r="F172" s="5" t="s">
        <v>816</v>
      </c>
    </row>
    <row r="173" spans="1:6" x14ac:dyDescent="0.3">
      <c r="A173" s="5"/>
      <c r="B173" s="5" t="s">
        <v>47</v>
      </c>
      <c r="C173" s="5" t="s">
        <v>30</v>
      </c>
      <c r="D173" s="5"/>
      <c r="E173" s="5"/>
      <c r="F173" s="5" t="s">
        <v>817</v>
      </c>
    </row>
    <row r="174" spans="1:6" x14ac:dyDescent="0.3">
      <c r="A174" s="5"/>
      <c r="B174" s="5" t="s">
        <v>47</v>
      </c>
      <c r="C174" s="5" t="s">
        <v>31</v>
      </c>
      <c r="D174" s="5"/>
      <c r="E174" s="5"/>
      <c r="F174" s="5" t="s">
        <v>818</v>
      </c>
    </row>
    <row r="175" spans="1:6" x14ac:dyDescent="0.3">
      <c r="A175" s="5"/>
      <c r="B175" s="5" t="s">
        <v>47</v>
      </c>
      <c r="C175" s="5" t="s">
        <v>32</v>
      </c>
      <c r="D175" s="5"/>
      <c r="E175" s="5"/>
      <c r="F175" s="5" t="s">
        <v>819</v>
      </c>
    </row>
    <row r="176" spans="1:6" x14ac:dyDescent="0.3">
      <c r="A176" s="5"/>
      <c r="B176" s="5" t="s">
        <v>48</v>
      </c>
      <c r="C176" s="5" t="s">
        <v>27</v>
      </c>
      <c r="D176" s="5" t="s">
        <v>681</v>
      </c>
      <c r="E176" s="5" t="s">
        <v>682</v>
      </c>
      <c r="F176" s="5" t="s">
        <v>820</v>
      </c>
    </row>
    <row r="177" spans="1:6" x14ac:dyDescent="0.3">
      <c r="A177" s="5"/>
      <c r="B177" s="5" t="s">
        <v>48</v>
      </c>
      <c r="C177" s="5" t="s">
        <v>28</v>
      </c>
      <c r="D177" s="5"/>
      <c r="E177" s="5"/>
      <c r="F177" s="5" t="s">
        <v>821</v>
      </c>
    </row>
    <row r="178" spans="1:6" x14ac:dyDescent="0.3">
      <c r="A178" s="5"/>
      <c r="B178" s="5" t="s">
        <v>48</v>
      </c>
      <c r="C178" s="5" t="s">
        <v>29</v>
      </c>
      <c r="D178" s="5"/>
      <c r="E178" s="5"/>
      <c r="F178" s="5" t="s">
        <v>822</v>
      </c>
    </row>
    <row r="179" spans="1:6" x14ac:dyDescent="0.3">
      <c r="A179" s="5"/>
      <c r="B179" s="5" t="s">
        <v>48</v>
      </c>
      <c r="C179" s="5" t="s">
        <v>30</v>
      </c>
      <c r="D179" s="5"/>
      <c r="E179" s="5"/>
      <c r="F179" s="5" t="s">
        <v>823</v>
      </c>
    </row>
    <row r="180" spans="1:6" x14ac:dyDescent="0.3">
      <c r="A180" s="5"/>
      <c r="B180" s="5" t="s">
        <v>48</v>
      </c>
      <c r="C180" s="5" t="s">
        <v>31</v>
      </c>
      <c r="D180" s="5"/>
      <c r="E180" s="5"/>
      <c r="F180" s="5" t="s">
        <v>824</v>
      </c>
    </row>
    <row r="181" spans="1:6" x14ac:dyDescent="0.3">
      <c r="A181" s="5"/>
      <c r="B181" s="5" t="s">
        <v>48</v>
      </c>
      <c r="C181" s="5" t="s">
        <v>32</v>
      </c>
      <c r="D181" s="5"/>
      <c r="E181" s="5"/>
      <c r="F181" s="5" t="s">
        <v>825</v>
      </c>
    </row>
    <row r="182" spans="1:6" x14ac:dyDescent="0.3">
      <c r="A182" s="5"/>
      <c r="B182" s="5" t="s">
        <v>49</v>
      </c>
      <c r="C182" s="5" t="s">
        <v>27</v>
      </c>
      <c r="D182" s="5" t="s">
        <v>683</v>
      </c>
      <c r="E182" s="5" t="s">
        <v>684</v>
      </c>
      <c r="F182" s="5" t="s">
        <v>826</v>
      </c>
    </row>
    <row r="183" spans="1:6" x14ac:dyDescent="0.3">
      <c r="A183" s="5"/>
      <c r="B183" s="5" t="s">
        <v>49</v>
      </c>
      <c r="C183" s="5" t="s">
        <v>28</v>
      </c>
      <c r="D183" s="5"/>
      <c r="E183" s="5"/>
      <c r="F183" s="5" t="s">
        <v>827</v>
      </c>
    </row>
    <row r="184" spans="1:6" x14ac:dyDescent="0.3">
      <c r="A184" s="5"/>
      <c r="B184" s="5" t="s">
        <v>49</v>
      </c>
      <c r="C184" s="5" t="s">
        <v>29</v>
      </c>
      <c r="D184" s="5"/>
      <c r="E184" s="5"/>
      <c r="F184" s="5" t="s">
        <v>828</v>
      </c>
    </row>
    <row r="185" spans="1:6" x14ac:dyDescent="0.3">
      <c r="A185" s="5"/>
      <c r="B185" s="5" t="s">
        <v>49</v>
      </c>
      <c r="C185" s="5" t="s">
        <v>30</v>
      </c>
      <c r="D185" s="5"/>
      <c r="E185" s="5"/>
      <c r="F185" s="5" t="s">
        <v>829</v>
      </c>
    </row>
    <row r="186" spans="1:6" x14ac:dyDescent="0.3">
      <c r="A186" s="5"/>
      <c r="B186" s="5" t="s">
        <v>49</v>
      </c>
      <c r="C186" s="5" t="s">
        <v>31</v>
      </c>
      <c r="D186" s="5"/>
      <c r="E186" s="5"/>
      <c r="F186" s="5" t="s">
        <v>830</v>
      </c>
    </row>
    <row r="187" spans="1:6" x14ac:dyDescent="0.3">
      <c r="A187" s="5"/>
      <c r="B187" s="5" t="s">
        <v>49</v>
      </c>
      <c r="C187" s="5" t="s">
        <v>32</v>
      </c>
      <c r="D187" s="5"/>
      <c r="E187" s="5"/>
      <c r="F187" s="5" t="s">
        <v>831</v>
      </c>
    </row>
    <row r="188" spans="1:6" x14ac:dyDescent="0.3">
      <c r="A188" s="5"/>
      <c r="B188" s="5" t="s">
        <v>50</v>
      </c>
      <c r="C188" s="5" t="s">
        <v>27</v>
      </c>
      <c r="D188" s="5" t="s">
        <v>685</v>
      </c>
      <c r="E188" s="5" t="s">
        <v>686</v>
      </c>
      <c r="F188" s="5" t="s">
        <v>832</v>
      </c>
    </row>
    <row r="189" spans="1:6" x14ac:dyDescent="0.3">
      <c r="A189" s="5"/>
      <c r="B189" s="5" t="s">
        <v>50</v>
      </c>
      <c r="C189" s="5" t="s">
        <v>28</v>
      </c>
      <c r="D189" s="5"/>
      <c r="E189" s="5"/>
      <c r="F189" s="5" t="s">
        <v>833</v>
      </c>
    </row>
    <row r="190" spans="1:6" x14ac:dyDescent="0.3">
      <c r="A190" s="5"/>
      <c r="B190" s="5" t="s">
        <v>50</v>
      </c>
      <c r="C190" s="5" t="s">
        <v>29</v>
      </c>
      <c r="D190" s="5"/>
      <c r="E190" s="5"/>
      <c r="F190" s="5" t="s">
        <v>834</v>
      </c>
    </row>
    <row r="191" spans="1:6" x14ac:dyDescent="0.3">
      <c r="A191" s="5"/>
      <c r="B191" s="5" t="s">
        <v>50</v>
      </c>
      <c r="C191" s="5" t="s">
        <v>30</v>
      </c>
      <c r="D191" s="5"/>
      <c r="E191" s="5"/>
      <c r="F191" s="5" t="s">
        <v>835</v>
      </c>
    </row>
    <row r="192" spans="1:6" x14ac:dyDescent="0.3">
      <c r="A192" s="5"/>
      <c r="B192" s="5" t="s">
        <v>50</v>
      </c>
      <c r="C192" s="5" t="s">
        <v>31</v>
      </c>
      <c r="D192" s="5"/>
      <c r="E192" s="5"/>
      <c r="F192" s="5" t="s">
        <v>836</v>
      </c>
    </row>
    <row r="193" spans="1:6" x14ac:dyDescent="0.3">
      <c r="A193" s="5"/>
      <c r="B193" s="5" t="s">
        <v>50</v>
      </c>
      <c r="C193" s="5" t="s">
        <v>32</v>
      </c>
      <c r="D193" s="5"/>
      <c r="E193" s="5"/>
      <c r="F193" s="5" t="s">
        <v>837</v>
      </c>
    </row>
    <row r="194" spans="1:6" x14ac:dyDescent="0.3">
      <c r="A194" s="5"/>
      <c r="B194" s="5" t="s">
        <v>51</v>
      </c>
      <c r="C194" s="5" t="s">
        <v>27</v>
      </c>
      <c r="D194" s="5" t="s">
        <v>687</v>
      </c>
      <c r="E194" s="5" t="s">
        <v>688</v>
      </c>
      <c r="F194" s="5" t="s">
        <v>838</v>
      </c>
    </row>
    <row r="195" spans="1:6" x14ac:dyDescent="0.3">
      <c r="A195" s="5"/>
      <c r="B195" s="5" t="s">
        <v>51</v>
      </c>
      <c r="C195" s="5" t="s">
        <v>28</v>
      </c>
      <c r="D195" s="5"/>
      <c r="E195" s="5"/>
      <c r="F195" s="5" t="s">
        <v>839</v>
      </c>
    </row>
    <row r="196" spans="1:6" x14ac:dyDescent="0.3">
      <c r="A196" s="5"/>
      <c r="B196" s="5" t="s">
        <v>51</v>
      </c>
      <c r="C196" s="5" t="s">
        <v>29</v>
      </c>
      <c r="D196" s="5"/>
      <c r="E196" s="5"/>
      <c r="F196" s="5" t="s">
        <v>840</v>
      </c>
    </row>
    <row r="197" spans="1:6" x14ac:dyDescent="0.3">
      <c r="A197" s="5"/>
      <c r="B197" s="5" t="s">
        <v>51</v>
      </c>
      <c r="C197" s="5" t="s">
        <v>30</v>
      </c>
      <c r="D197" s="5"/>
      <c r="E197" s="5"/>
      <c r="F197" s="5" t="s">
        <v>841</v>
      </c>
    </row>
    <row r="198" spans="1:6" x14ac:dyDescent="0.3">
      <c r="A198" s="5"/>
      <c r="B198" s="5" t="s">
        <v>51</v>
      </c>
      <c r="C198" s="5" t="s">
        <v>31</v>
      </c>
      <c r="D198" s="5"/>
      <c r="E198" s="5"/>
      <c r="F198" s="5" t="s">
        <v>842</v>
      </c>
    </row>
    <row r="199" spans="1:6" x14ac:dyDescent="0.3">
      <c r="A199" s="5"/>
      <c r="B199" s="5" t="s">
        <v>51</v>
      </c>
      <c r="C199" s="5" t="s">
        <v>32</v>
      </c>
      <c r="D199" s="5"/>
      <c r="E199" s="5"/>
      <c r="F199" s="5" t="s">
        <v>843</v>
      </c>
    </row>
    <row r="200" spans="1:6" x14ac:dyDescent="0.3">
      <c r="A200" s="5"/>
      <c r="B200" s="5" t="s">
        <v>52</v>
      </c>
      <c r="C200" s="5" t="s">
        <v>27</v>
      </c>
      <c r="D200" s="5" t="s">
        <v>689</v>
      </c>
      <c r="E200" s="5" t="s">
        <v>690</v>
      </c>
      <c r="F200" s="5" t="s">
        <v>844</v>
      </c>
    </row>
    <row r="201" spans="1:6" x14ac:dyDescent="0.3">
      <c r="A201" s="5"/>
      <c r="B201" s="5" t="s">
        <v>52</v>
      </c>
      <c r="C201" s="5" t="s">
        <v>28</v>
      </c>
      <c r="D201" s="5"/>
      <c r="E201" s="5"/>
      <c r="F201" s="5" t="s">
        <v>845</v>
      </c>
    </row>
    <row r="202" spans="1:6" x14ac:dyDescent="0.3">
      <c r="A202" s="5"/>
      <c r="B202" s="5" t="s">
        <v>52</v>
      </c>
      <c r="C202" s="5" t="s">
        <v>29</v>
      </c>
      <c r="D202" s="5"/>
      <c r="E202" s="5"/>
      <c r="F202" s="5" t="s">
        <v>846</v>
      </c>
    </row>
    <row r="203" spans="1:6" x14ac:dyDescent="0.3">
      <c r="A203" s="5"/>
      <c r="B203" s="5" t="s">
        <v>52</v>
      </c>
      <c r="C203" s="5" t="s">
        <v>30</v>
      </c>
      <c r="D203" s="5"/>
      <c r="E203" s="5"/>
      <c r="F203" s="5" t="s">
        <v>847</v>
      </c>
    </row>
    <row r="204" spans="1:6" x14ac:dyDescent="0.3">
      <c r="A204" s="5"/>
      <c r="B204" s="5" t="s">
        <v>52</v>
      </c>
      <c r="C204" s="5" t="s">
        <v>31</v>
      </c>
      <c r="D204" s="5"/>
      <c r="E204" s="5"/>
      <c r="F204" s="5" t="s">
        <v>848</v>
      </c>
    </row>
    <row r="205" spans="1:6" x14ac:dyDescent="0.3">
      <c r="A205" s="5"/>
      <c r="B205" s="5" t="s">
        <v>52</v>
      </c>
      <c r="C205" s="5" t="s">
        <v>32</v>
      </c>
      <c r="D205" s="5"/>
      <c r="E205" s="5"/>
      <c r="F205" s="5" t="s">
        <v>849</v>
      </c>
    </row>
    <row r="206" spans="1:6" x14ac:dyDescent="0.3">
      <c r="A206" s="5" t="s">
        <v>8</v>
      </c>
      <c r="B206" s="5" t="s">
        <v>53</v>
      </c>
      <c r="C206" s="5" t="s">
        <v>27</v>
      </c>
      <c r="D206" s="5" t="s">
        <v>691</v>
      </c>
      <c r="E206" s="5" t="s">
        <v>692</v>
      </c>
      <c r="F206" s="5" t="s">
        <v>790</v>
      </c>
    </row>
    <row r="207" spans="1:6" x14ac:dyDescent="0.3">
      <c r="A207" s="5"/>
      <c r="B207" s="5" t="s">
        <v>53</v>
      </c>
      <c r="C207" s="5" t="s">
        <v>28</v>
      </c>
      <c r="D207" s="5"/>
      <c r="E207" s="5"/>
      <c r="F207" s="5" t="s">
        <v>791</v>
      </c>
    </row>
    <row r="208" spans="1:6" x14ac:dyDescent="0.3">
      <c r="A208" s="5"/>
      <c r="B208" s="5" t="s">
        <v>53</v>
      </c>
      <c r="C208" s="5" t="s">
        <v>29</v>
      </c>
      <c r="D208" s="5"/>
      <c r="E208" s="5"/>
      <c r="F208" s="5" t="s">
        <v>792</v>
      </c>
    </row>
    <row r="209" spans="1:6" x14ac:dyDescent="0.3">
      <c r="A209" s="5"/>
      <c r="B209" s="5" t="s">
        <v>53</v>
      </c>
      <c r="C209" s="5" t="s">
        <v>30</v>
      </c>
      <c r="D209" s="5"/>
      <c r="E209" s="5"/>
      <c r="F209" s="5" t="s">
        <v>793</v>
      </c>
    </row>
    <row r="210" spans="1:6" x14ac:dyDescent="0.3">
      <c r="A210" s="5"/>
      <c r="B210" s="5" t="s">
        <v>53</v>
      </c>
      <c r="C210" s="5" t="s">
        <v>31</v>
      </c>
      <c r="D210" s="5"/>
      <c r="E210" s="5"/>
      <c r="F210" s="5" t="s">
        <v>794</v>
      </c>
    </row>
    <row r="211" spans="1:6" x14ac:dyDescent="0.3">
      <c r="A211" s="5"/>
      <c r="B211" s="5" t="s">
        <v>53</v>
      </c>
      <c r="C211" s="5" t="s">
        <v>32</v>
      </c>
      <c r="D211" s="5"/>
      <c r="E211" s="5"/>
      <c r="F211" s="5" t="s">
        <v>795</v>
      </c>
    </row>
    <row r="212" spans="1:6" x14ac:dyDescent="0.3">
      <c r="A212" s="5"/>
      <c r="B212" s="5" t="s">
        <v>54</v>
      </c>
      <c r="C212" s="5" t="s">
        <v>27</v>
      </c>
      <c r="D212" s="5" t="s">
        <v>693</v>
      </c>
      <c r="E212" s="5" t="s">
        <v>665</v>
      </c>
      <c r="F212" s="5" t="s">
        <v>796</v>
      </c>
    </row>
    <row r="213" spans="1:6" x14ac:dyDescent="0.3">
      <c r="A213" s="5"/>
      <c r="B213" s="5" t="s">
        <v>54</v>
      </c>
      <c r="C213" s="5" t="s">
        <v>28</v>
      </c>
      <c r="D213" s="5"/>
      <c r="E213" s="5"/>
      <c r="F213" s="5" t="s">
        <v>797</v>
      </c>
    </row>
    <row r="214" spans="1:6" x14ac:dyDescent="0.3">
      <c r="A214" s="5"/>
      <c r="B214" s="5" t="s">
        <v>54</v>
      </c>
      <c r="C214" s="5" t="s">
        <v>29</v>
      </c>
      <c r="D214" s="5"/>
      <c r="E214" s="5"/>
      <c r="F214" s="5" t="s">
        <v>798</v>
      </c>
    </row>
    <row r="215" spans="1:6" x14ac:dyDescent="0.3">
      <c r="A215" s="5"/>
      <c r="B215" s="5" t="s">
        <v>54</v>
      </c>
      <c r="C215" s="5" t="s">
        <v>30</v>
      </c>
      <c r="D215" s="5"/>
      <c r="E215" s="5"/>
      <c r="F215" s="5" t="s">
        <v>799</v>
      </c>
    </row>
    <row r="216" spans="1:6" x14ac:dyDescent="0.3">
      <c r="A216" s="5"/>
      <c r="B216" s="5" t="s">
        <v>54</v>
      </c>
      <c r="C216" s="5" t="s">
        <v>31</v>
      </c>
      <c r="D216" s="5"/>
      <c r="E216" s="5"/>
      <c r="F216" s="5" t="s">
        <v>800</v>
      </c>
    </row>
    <row r="217" spans="1:6" x14ac:dyDescent="0.3">
      <c r="A217" s="5"/>
      <c r="B217" s="5" t="s">
        <v>54</v>
      </c>
      <c r="C217" s="5" t="s">
        <v>32</v>
      </c>
      <c r="D217" s="5"/>
      <c r="E217" s="5"/>
      <c r="F217" s="5" t="s">
        <v>801</v>
      </c>
    </row>
    <row r="218" spans="1:6" x14ac:dyDescent="0.3">
      <c r="A218" s="5"/>
      <c r="B218" s="5" t="s">
        <v>55</v>
      </c>
      <c r="C218" s="5" t="s">
        <v>27</v>
      </c>
      <c r="D218" s="5" t="s">
        <v>694</v>
      </c>
      <c r="E218" s="5" t="s">
        <v>695</v>
      </c>
      <c r="F218" s="5" t="s">
        <v>802</v>
      </c>
    </row>
    <row r="219" spans="1:6" x14ac:dyDescent="0.3">
      <c r="A219" s="5"/>
      <c r="B219" s="5" t="s">
        <v>55</v>
      </c>
      <c r="C219" s="5" t="s">
        <v>28</v>
      </c>
      <c r="D219" s="5"/>
      <c r="E219" s="5"/>
      <c r="F219" s="5" t="s">
        <v>803</v>
      </c>
    </row>
    <row r="220" spans="1:6" x14ac:dyDescent="0.3">
      <c r="A220" s="5"/>
      <c r="B220" s="5" t="s">
        <v>55</v>
      </c>
      <c r="C220" s="5" t="s">
        <v>29</v>
      </c>
      <c r="D220" s="5"/>
      <c r="E220" s="5"/>
      <c r="F220" s="5" t="s">
        <v>804</v>
      </c>
    </row>
    <row r="221" spans="1:6" x14ac:dyDescent="0.3">
      <c r="A221" s="5"/>
      <c r="B221" s="5" t="s">
        <v>55</v>
      </c>
      <c r="C221" s="5" t="s">
        <v>30</v>
      </c>
      <c r="D221" s="5"/>
      <c r="E221" s="5"/>
      <c r="F221" s="5" t="s">
        <v>805</v>
      </c>
    </row>
    <row r="222" spans="1:6" x14ac:dyDescent="0.3">
      <c r="A222" s="5"/>
      <c r="B222" s="5" t="s">
        <v>55</v>
      </c>
      <c r="C222" s="5" t="s">
        <v>31</v>
      </c>
      <c r="D222" s="5"/>
      <c r="E222" s="5"/>
      <c r="F222" s="5" t="s">
        <v>806</v>
      </c>
    </row>
    <row r="223" spans="1:6" x14ac:dyDescent="0.3">
      <c r="A223" s="5"/>
      <c r="B223" s="5" t="s">
        <v>55</v>
      </c>
      <c r="C223" s="5" t="s">
        <v>32</v>
      </c>
      <c r="D223" s="5"/>
      <c r="E223" s="5"/>
      <c r="F223" s="5" t="s">
        <v>807</v>
      </c>
    </row>
    <row r="224" spans="1:6" x14ac:dyDescent="0.3">
      <c r="A224" s="5"/>
      <c r="B224" s="5" t="s">
        <v>56</v>
      </c>
      <c r="C224" s="5" t="s">
        <v>27</v>
      </c>
      <c r="D224" s="5" t="s">
        <v>696</v>
      </c>
      <c r="E224" s="5" t="s">
        <v>697</v>
      </c>
      <c r="F224" s="5" t="s">
        <v>808</v>
      </c>
    </row>
    <row r="225" spans="1:6" x14ac:dyDescent="0.3">
      <c r="A225" s="5"/>
      <c r="B225" s="5" t="s">
        <v>56</v>
      </c>
      <c r="C225" s="5" t="s">
        <v>28</v>
      </c>
      <c r="D225" s="5"/>
      <c r="E225" s="5"/>
      <c r="F225" s="5" t="s">
        <v>809</v>
      </c>
    </row>
    <row r="226" spans="1:6" x14ac:dyDescent="0.3">
      <c r="A226" s="5"/>
      <c r="B226" s="5" t="s">
        <v>56</v>
      </c>
      <c r="C226" s="5" t="s">
        <v>29</v>
      </c>
      <c r="D226" s="5"/>
      <c r="E226" s="5"/>
      <c r="F226" s="5" t="s">
        <v>810</v>
      </c>
    </row>
    <row r="227" spans="1:6" x14ac:dyDescent="0.3">
      <c r="A227" s="5"/>
      <c r="B227" s="5" t="s">
        <v>56</v>
      </c>
      <c r="C227" s="5" t="s">
        <v>30</v>
      </c>
      <c r="D227" s="5"/>
      <c r="E227" s="5"/>
      <c r="F227" s="5" t="s">
        <v>811</v>
      </c>
    </row>
    <row r="228" spans="1:6" x14ac:dyDescent="0.3">
      <c r="A228" s="5"/>
      <c r="B228" s="5" t="s">
        <v>56</v>
      </c>
      <c r="C228" s="5" t="s">
        <v>31</v>
      </c>
      <c r="D228" s="5"/>
      <c r="E228" s="5"/>
      <c r="F228" s="5" t="s">
        <v>812</v>
      </c>
    </row>
    <row r="229" spans="1:6" x14ac:dyDescent="0.3">
      <c r="A229" s="5"/>
      <c r="B229" s="5" t="s">
        <v>56</v>
      </c>
      <c r="C229" s="5" t="s">
        <v>32</v>
      </c>
      <c r="D229" s="5"/>
      <c r="E229" s="5"/>
      <c r="F229" s="5" t="s">
        <v>813</v>
      </c>
    </row>
    <row r="230" spans="1:6" x14ac:dyDescent="0.3">
      <c r="A230" s="5"/>
      <c r="B230" s="5" t="s">
        <v>57</v>
      </c>
      <c r="C230" s="5" t="s">
        <v>27</v>
      </c>
      <c r="D230" s="5" t="s">
        <v>698</v>
      </c>
      <c r="E230" s="5" t="s">
        <v>699</v>
      </c>
      <c r="F230" s="5" t="s">
        <v>814</v>
      </c>
    </row>
    <row r="231" spans="1:6" x14ac:dyDescent="0.3">
      <c r="A231" s="5"/>
      <c r="B231" s="5" t="s">
        <v>57</v>
      </c>
      <c r="C231" s="5" t="s">
        <v>28</v>
      </c>
      <c r="D231" s="5"/>
      <c r="E231" s="5"/>
      <c r="F231" s="5" t="s">
        <v>815</v>
      </c>
    </row>
    <row r="232" spans="1:6" x14ac:dyDescent="0.3">
      <c r="A232" s="5"/>
      <c r="B232" s="5" t="s">
        <v>57</v>
      </c>
      <c r="C232" s="5" t="s">
        <v>29</v>
      </c>
      <c r="D232" s="5"/>
      <c r="E232" s="5"/>
      <c r="F232" s="5" t="s">
        <v>816</v>
      </c>
    </row>
    <row r="233" spans="1:6" x14ac:dyDescent="0.3">
      <c r="A233" s="5"/>
      <c r="B233" s="5" t="s">
        <v>57</v>
      </c>
      <c r="C233" s="5" t="s">
        <v>30</v>
      </c>
      <c r="D233" s="5"/>
      <c r="E233" s="5"/>
      <c r="F233" s="5" t="s">
        <v>817</v>
      </c>
    </row>
    <row r="234" spans="1:6" x14ac:dyDescent="0.3">
      <c r="A234" s="5"/>
      <c r="B234" s="5" t="s">
        <v>57</v>
      </c>
      <c r="C234" s="5" t="s">
        <v>31</v>
      </c>
      <c r="D234" s="5"/>
      <c r="E234" s="5"/>
      <c r="F234" s="5" t="s">
        <v>818</v>
      </c>
    </row>
    <row r="235" spans="1:6" x14ac:dyDescent="0.3">
      <c r="A235" s="5"/>
      <c r="B235" s="5" t="s">
        <v>57</v>
      </c>
      <c r="C235" s="5" t="s">
        <v>32</v>
      </c>
      <c r="D235" s="5"/>
      <c r="E235" s="5"/>
      <c r="F235" s="5" t="s">
        <v>819</v>
      </c>
    </row>
    <row r="236" spans="1:6" x14ac:dyDescent="0.3">
      <c r="A236" s="5"/>
      <c r="B236" s="5" t="s">
        <v>58</v>
      </c>
      <c r="C236" s="5" t="s">
        <v>27</v>
      </c>
      <c r="D236" s="5" t="s">
        <v>700</v>
      </c>
      <c r="E236" s="5" t="s">
        <v>701</v>
      </c>
      <c r="F236" s="5" t="s">
        <v>820</v>
      </c>
    </row>
    <row r="237" spans="1:6" x14ac:dyDescent="0.3">
      <c r="A237" s="5"/>
      <c r="B237" s="5" t="s">
        <v>58</v>
      </c>
      <c r="C237" s="5" t="s">
        <v>28</v>
      </c>
      <c r="D237" s="5"/>
      <c r="E237" s="5"/>
      <c r="F237" s="5" t="s">
        <v>821</v>
      </c>
    </row>
    <row r="238" spans="1:6" x14ac:dyDescent="0.3">
      <c r="A238" s="5"/>
      <c r="B238" s="5" t="s">
        <v>58</v>
      </c>
      <c r="C238" s="5" t="s">
        <v>29</v>
      </c>
      <c r="D238" s="5"/>
      <c r="E238" s="5"/>
      <c r="F238" s="5" t="s">
        <v>822</v>
      </c>
    </row>
    <row r="239" spans="1:6" x14ac:dyDescent="0.3">
      <c r="A239" s="5"/>
      <c r="B239" s="5" t="s">
        <v>58</v>
      </c>
      <c r="C239" s="5" t="s">
        <v>30</v>
      </c>
      <c r="D239" s="5"/>
      <c r="E239" s="5"/>
      <c r="F239" s="5" t="s">
        <v>823</v>
      </c>
    </row>
    <row r="240" spans="1:6" x14ac:dyDescent="0.3">
      <c r="A240" s="5"/>
      <c r="B240" s="5" t="s">
        <v>58</v>
      </c>
      <c r="C240" s="5" t="s">
        <v>31</v>
      </c>
      <c r="D240" s="5"/>
      <c r="E240" s="5"/>
      <c r="F240" s="5" t="s">
        <v>824</v>
      </c>
    </row>
    <row r="241" spans="1:6" x14ac:dyDescent="0.3">
      <c r="A241" s="5"/>
      <c r="B241" s="5" t="s">
        <v>58</v>
      </c>
      <c r="C241" s="5" t="s">
        <v>32</v>
      </c>
      <c r="D241" s="5"/>
      <c r="E241" s="5"/>
      <c r="F241" s="5" t="s">
        <v>825</v>
      </c>
    </row>
    <row r="242" spans="1:6" x14ac:dyDescent="0.3">
      <c r="A242" s="5"/>
      <c r="B242" s="5" t="s">
        <v>59</v>
      </c>
      <c r="C242" s="5" t="s">
        <v>27</v>
      </c>
      <c r="D242" s="5" t="s">
        <v>702</v>
      </c>
      <c r="E242" s="5" t="s">
        <v>703</v>
      </c>
      <c r="F242" s="5" t="s">
        <v>826</v>
      </c>
    </row>
    <row r="243" spans="1:6" x14ac:dyDescent="0.3">
      <c r="A243" s="5"/>
      <c r="B243" s="5" t="s">
        <v>59</v>
      </c>
      <c r="C243" s="5" t="s">
        <v>28</v>
      </c>
      <c r="D243" s="5"/>
      <c r="E243" s="5"/>
      <c r="F243" s="5" t="s">
        <v>827</v>
      </c>
    </row>
    <row r="244" spans="1:6" x14ac:dyDescent="0.3">
      <c r="A244" s="5"/>
      <c r="B244" s="5" t="s">
        <v>59</v>
      </c>
      <c r="C244" s="5" t="s">
        <v>29</v>
      </c>
      <c r="D244" s="5"/>
      <c r="E244" s="5"/>
      <c r="F244" s="5" t="s">
        <v>828</v>
      </c>
    </row>
    <row r="245" spans="1:6" x14ac:dyDescent="0.3">
      <c r="A245" s="5"/>
      <c r="B245" s="5" t="s">
        <v>59</v>
      </c>
      <c r="C245" s="5" t="s">
        <v>30</v>
      </c>
      <c r="D245" s="5"/>
      <c r="E245" s="5"/>
      <c r="F245" s="5" t="s">
        <v>829</v>
      </c>
    </row>
    <row r="246" spans="1:6" x14ac:dyDescent="0.3">
      <c r="A246" s="5"/>
      <c r="B246" s="5" t="s">
        <v>59</v>
      </c>
      <c r="C246" s="5" t="s">
        <v>31</v>
      </c>
      <c r="D246" s="5"/>
      <c r="E246" s="5"/>
      <c r="F246" s="5" t="s">
        <v>830</v>
      </c>
    </row>
    <row r="247" spans="1:6" x14ac:dyDescent="0.3">
      <c r="A247" s="5"/>
      <c r="B247" s="5" t="s">
        <v>59</v>
      </c>
      <c r="C247" s="5" t="s">
        <v>32</v>
      </c>
      <c r="D247" s="5"/>
      <c r="E247" s="5"/>
      <c r="F247" s="5" t="s">
        <v>831</v>
      </c>
    </row>
    <row r="248" spans="1:6" x14ac:dyDescent="0.3">
      <c r="A248" s="5"/>
      <c r="B248" s="5" t="s">
        <v>60</v>
      </c>
      <c r="C248" s="5" t="s">
        <v>27</v>
      </c>
      <c r="D248" s="5" t="s">
        <v>704</v>
      </c>
      <c r="E248" s="5" t="s">
        <v>705</v>
      </c>
      <c r="F248" s="5" t="s">
        <v>832</v>
      </c>
    </row>
    <row r="249" spans="1:6" x14ac:dyDescent="0.3">
      <c r="A249" s="5"/>
      <c r="B249" s="5" t="s">
        <v>60</v>
      </c>
      <c r="C249" s="5" t="s">
        <v>28</v>
      </c>
      <c r="D249" s="5"/>
      <c r="E249" s="5"/>
      <c r="F249" s="5" t="s">
        <v>833</v>
      </c>
    </row>
    <row r="250" spans="1:6" x14ac:dyDescent="0.3">
      <c r="A250" s="5"/>
      <c r="B250" s="5" t="s">
        <v>60</v>
      </c>
      <c r="C250" s="5" t="s">
        <v>29</v>
      </c>
      <c r="D250" s="5"/>
      <c r="E250" s="5"/>
      <c r="F250" s="5" t="s">
        <v>834</v>
      </c>
    </row>
    <row r="251" spans="1:6" x14ac:dyDescent="0.3">
      <c r="A251" s="5"/>
      <c r="B251" s="5" t="s">
        <v>60</v>
      </c>
      <c r="C251" s="5" t="s">
        <v>30</v>
      </c>
      <c r="D251" s="5"/>
      <c r="E251" s="5"/>
      <c r="F251" s="5" t="s">
        <v>835</v>
      </c>
    </row>
    <row r="252" spans="1:6" x14ac:dyDescent="0.3">
      <c r="A252" s="5"/>
      <c r="B252" s="5" t="s">
        <v>60</v>
      </c>
      <c r="C252" s="5" t="s">
        <v>31</v>
      </c>
      <c r="D252" s="5"/>
      <c r="E252" s="5"/>
      <c r="F252" s="5" t="s">
        <v>836</v>
      </c>
    </row>
    <row r="253" spans="1:6" x14ac:dyDescent="0.3">
      <c r="A253" s="5"/>
      <c r="B253" s="5" t="s">
        <v>60</v>
      </c>
      <c r="C253" s="5" t="s">
        <v>32</v>
      </c>
      <c r="D253" s="5"/>
      <c r="E253" s="5"/>
      <c r="F253" s="5" t="s">
        <v>837</v>
      </c>
    </row>
    <row r="254" spans="1:6" x14ac:dyDescent="0.3">
      <c r="A254" s="5"/>
      <c r="B254" s="5" t="s">
        <v>61</v>
      </c>
      <c r="C254" s="5" t="s">
        <v>27</v>
      </c>
      <c r="D254" s="5" t="s">
        <v>706</v>
      </c>
      <c r="E254" s="5" t="s">
        <v>707</v>
      </c>
      <c r="F254" s="5" t="s">
        <v>838</v>
      </c>
    </row>
    <row r="255" spans="1:6" x14ac:dyDescent="0.3">
      <c r="A255" s="5"/>
      <c r="B255" s="5" t="s">
        <v>61</v>
      </c>
      <c r="C255" s="5" t="s">
        <v>28</v>
      </c>
      <c r="D255" s="5"/>
      <c r="E255" s="5"/>
      <c r="F255" s="5" t="s">
        <v>839</v>
      </c>
    </row>
    <row r="256" spans="1:6" x14ac:dyDescent="0.3">
      <c r="A256" s="5"/>
      <c r="B256" s="5" t="s">
        <v>61</v>
      </c>
      <c r="C256" s="5" t="s">
        <v>29</v>
      </c>
      <c r="D256" s="5"/>
      <c r="E256" s="5"/>
      <c r="F256" s="5" t="s">
        <v>840</v>
      </c>
    </row>
    <row r="257" spans="1:6" x14ac:dyDescent="0.3">
      <c r="A257" s="5"/>
      <c r="B257" s="5" t="s">
        <v>61</v>
      </c>
      <c r="C257" s="5" t="s">
        <v>30</v>
      </c>
      <c r="D257" s="5"/>
      <c r="E257" s="5"/>
      <c r="F257" s="5" t="s">
        <v>841</v>
      </c>
    </row>
    <row r="258" spans="1:6" x14ac:dyDescent="0.3">
      <c r="A258" s="5"/>
      <c r="B258" s="5" t="s">
        <v>61</v>
      </c>
      <c r="C258" s="5" t="s">
        <v>31</v>
      </c>
      <c r="D258" s="5"/>
      <c r="E258" s="5"/>
      <c r="F258" s="5" t="s">
        <v>842</v>
      </c>
    </row>
    <row r="259" spans="1:6" x14ac:dyDescent="0.3">
      <c r="A259" s="5"/>
      <c r="B259" s="5" t="s">
        <v>61</v>
      </c>
      <c r="C259" s="5" t="s">
        <v>32</v>
      </c>
      <c r="D259" s="5"/>
      <c r="E259" s="5"/>
      <c r="F259" s="5" t="s">
        <v>843</v>
      </c>
    </row>
    <row r="260" spans="1:6" x14ac:dyDescent="0.3">
      <c r="A260" s="5"/>
      <c r="B260" s="5" t="s">
        <v>62</v>
      </c>
      <c r="C260" s="5" t="s">
        <v>27</v>
      </c>
      <c r="D260" s="5" t="s">
        <v>708</v>
      </c>
      <c r="E260" s="5" t="s">
        <v>709</v>
      </c>
      <c r="F260" s="5" t="s">
        <v>844</v>
      </c>
    </row>
    <row r="261" spans="1:6" x14ac:dyDescent="0.3">
      <c r="A261" s="5"/>
      <c r="B261" s="5" t="s">
        <v>62</v>
      </c>
      <c r="C261" s="5" t="s">
        <v>28</v>
      </c>
      <c r="D261" s="5"/>
      <c r="E261" s="5"/>
      <c r="F261" s="5" t="s">
        <v>845</v>
      </c>
    </row>
    <row r="262" spans="1:6" x14ac:dyDescent="0.3">
      <c r="A262" s="5"/>
      <c r="B262" s="5" t="s">
        <v>62</v>
      </c>
      <c r="C262" s="5" t="s">
        <v>29</v>
      </c>
      <c r="D262" s="5"/>
      <c r="E262" s="5"/>
      <c r="F262" s="5" t="s">
        <v>846</v>
      </c>
    </row>
    <row r="263" spans="1:6" x14ac:dyDescent="0.3">
      <c r="A263" s="5"/>
      <c r="B263" s="5" t="s">
        <v>62</v>
      </c>
      <c r="C263" s="5" t="s">
        <v>30</v>
      </c>
      <c r="D263" s="5"/>
      <c r="E263" s="5"/>
      <c r="F263" s="5" t="s">
        <v>847</v>
      </c>
    </row>
    <row r="264" spans="1:6" x14ac:dyDescent="0.3">
      <c r="A264" s="5"/>
      <c r="B264" s="5" t="s">
        <v>62</v>
      </c>
      <c r="C264" s="5" t="s">
        <v>31</v>
      </c>
      <c r="D264" s="5"/>
      <c r="E264" s="5"/>
      <c r="F264" s="5" t="s">
        <v>848</v>
      </c>
    </row>
    <row r="265" spans="1:6" x14ac:dyDescent="0.3">
      <c r="A265" s="5"/>
      <c r="B265" s="5" t="s">
        <v>62</v>
      </c>
      <c r="C265" s="5" t="s">
        <v>32</v>
      </c>
      <c r="D265" s="5"/>
      <c r="E265" s="5"/>
      <c r="F265" s="5" t="s">
        <v>849</v>
      </c>
    </row>
    <row r="266" spans="1:6" x14ac:dyDescent="0.3">
      <c r="A266" s="5" t="s">
        <v>9</v>
      </c>
      <c r="B266" s="5" t="s">
        <v>63</v>
      </c>
      <c r="C266" s="5" t="s">
        <v>27</v>
      </c>
      <c r="D266" s="5" t="s">
        <v>710</v>
      </c>
      <c r="E266" s="5" t="s">
        <v>711</v>
      </c>
      <c r="F266" s="5" t="s">
        <v>790</v>
      </c>
    </row>
    <row r="267" spans="1:6" x14ac:dyDescent="0.3">
      <c r="A267" s="5"/>
      <c r="B267" s="5" t="s">
        <v>63</v>
      </c>
      <c r="C267" s="5" t="s">
        <v>28</v>
      </c>
      <c r="D267" s="5"/>
      <c r="E267" s="5"/>
      <c r="F267" s="5" t="s">
        <v>791</v>
      </c>
    </row>
    <row r="268" spans="1:6" x14ac:dyDescent="0.3">
      <c r="A268" s="5"/>
      <c r="B268" s="5" t="s">
        <v>63</v>
      </c>
      <c r="C268" s="5" t="s">
        <v>29</v>
      </c>
      <c r="D268" s="5"/>
      <c r="E268" s="5"/>
      <c r="F268" s="5" t="s">
        <v>792</v>
      </c>
    </row>
    <row r="269" spans="1:6" x14ac:dyDescent="0.3">
      <c r="A269" s="5"/>
      <c r="B269" s="5" t="s">
        <v>63</v>
      </c>
      <c r="C269" s="5" t="s">
        <v>30</v>
      </c>
      <c r="D269" s="5"/>
      <c r="E269" s="5"/>
      <c r="F269" s="5" t="s">
        <v>793</v>
      </c>
    </row>
    <row r="270" spans="1:6" x14ac:dyDescent="0.3">
      <c r="A270" s="5"/>
      <c r="B270" s="5" t="s">
        <v>63</v>
      </c>
      <c r="C270" s="5" t="s">
        <v>31</v>
      </c>
      <c r="D270" s="5"/>
      <c r="E270" s="5"/>
      <c r="F270" s="5" t="s">
        <v>794</v>
      </c>
    </row>
    <row r="271" spans="1:6" x14ac:dyDescent="0.3">
      <c r="A271" s="5"/>
      <c r="B271" s="5" t="s">
        <v>63</v>
      </c>
      <c r="C271" s="5" t="s">
        <v>32</v>
      </c>
      <c r="D271" s="5"/>
      <c r="E271" s="5"/>
      <c r="F271" s="5" t="s">
        <v>795</v>
      </c>
    </row>
    <row r="272" spans="1:6" x14ac:dyDescent="0.3">
      <c r="A272" s="5"/>
      <c r="B272" s="5" t="s">
        <v>64</v>
      </c>
      <c r="C272" s="5" t="s">
        <v>27</v>
      </c>
      <c r="D272" s="5" t="s">
        <v>712</v>
      </c>
      <c r="E272" s="5" t="s">
        <v>713</v>
      </c>
      <c r="F272" s="5" t="s">
        <v>796</v>
      </c>
    </row>
    <row r="273" spans="1:6" x14ac:dyDescent="0.3">
      <c r="A273" s="5"/>
      <c r="B273" s="5" t="s">
        <v>64</v>
      </c>
      <c r="C273" s="5" t="s">
        <v>28</v>
      </c>
      <c r="D273" s="5"/>
      <c r="E273" s="5"/>
      <c r="F273" s="5" t="s">
        <v>797</v>
      </c>
    </row>
    <row r="274" spans="1:6" x14ac:dyDescent="0.3">
      <c r="A274" s="5"/>
      <c r="B274" s="5" t="s">
        <v>64</v>
      </c>
      <c r="C274" s="5" t="s">
        <v>29</v>
      </c>
      <c r="D274" s="5"/>
      <c r="E274" s="5"/>
      <c r="F274" s="5" t="s">
        <v>798</v>
      </c>
    </row>
    <row r="275" spans="1:6" x14ac:dyDescent="0.3">
      <c r="A275" s="5"/>
      <c r="B275" s="5" t="s">
        <v>64</v>
      </c>
      <c r="C275" s="5" t="s">
        <v>30</v>
      </c>
      <c r="D275" s="5"/>
      <c r="E275" s="5"/>
      <c r="F275" s="5" t="s">
        <v>799</v>
      </c>
    </row>
    <row r="276" spans="1:6" x14ac:dyDescent="0.3">
      <c r="A276" s="5"/>
      <c r="B276" s="5" t="s">
        <v>64</v>
      </c>
      <c r="C276" s="5" t="s">
        <v>31</v>
      </c>
      <c r="D276" s="5"/>
      <c r="E276" s="5"/>
      <c r="F276" s="5" t="s">
        <v>800</v>
      </c>
    </row>
    <row r="277" spans="1:6" x14ac:dyDescent="0.3">
      <c r="A277" s="5"/>
      <c r="B277" s="5" t="s">
        <v>64</v>
      </c>
      <c r="C277" s="5" t="s">
        <v>32</v>
      </c>
      <c r="D277" s="5"/>
      <c r="E277" s="5"/>
      <c r="F277" s="5" t="s">
        <v>801</v>
      </c>
    </row>
    <row r="278" spans="1:6" x14ac:dyDescent="0.3">
      <c r="A278" s="5"/>
      <c r="B278" s="5" t="s">
        <v>65</v>
      </c>
      <c r="C278" s="5" t="s">
        <v>27</v>
      </c>
      <c r="D278" s="5" t="s">
        <v>714</v>
      </c>
      <c r="E278" s="5" t="s">
        <v>715</v>
      </c>
      <c r="F278" s="5" t="s">
        <v>802</v>
      </c>
    </row>
    <row r="279" spans="1:6" x14ac:dyDescent="0.3">
      <c r="A279" s="5"/>
      <c r="B279" s="5" t="s">
        <v>65</v>
      </c>
      <c r="C279" s="5" t="s">
        <v>28</v>
      </c>
      <c r="D279" s="5"/>
      <c r="E279" s="5"/>
      <c r="F279" s="5" t="s">
        <v>803</v>
      </c>
    </row>
    <row r="280" spans="1:6" x14ac:dyDescent="0.3">
      <c r="A280" s="5"/>
      <c r="B280" s="5" t="s">
        <v>65</v>
      </c>
      <c r="C280" s="5" t="s">
        <v>29</v>
      </c>
      <c r="D280" s="5"/>
      <c r="E280" s="5"/>
      <c r="F280" s="5" t="s">
        <v>804</v>
      </c>
    </row>
    <row r="281" spans="1:6" x14ac:dyDescent="0.3">
      <c r="A281" s="5"/>
      <c r="B281" s="5" t="s">
        <v>65</v>
      </c>
      <c r="C281" s="5" t="s">
        <v>30</v>
      </c>
      <c r="D281" s="5"/>
      <c r="E281" s="5"/>
      <c r="F281" s="5" t="s">
        <v>805</v>
      </c>
    </row>
    <row r="282" spans="1:6" x14ac:dyDescent="0.3">
      <c r="A282" s="5"/>
      <c r="B282" s="5" t="s">
        <v>65</v>
      </c>
      <c r="C282" s="5" t="s">
        <v>31</v>
      </c>
      <c r="D282" s="5"/>
      <c r="E282" s="5"/>
      <c r="F282" s="5" t="s">
        <v>806</v>
      </c>
    </row>
    <row r="283" spans="1:6" x14ac:dyDescent="0.3">
      <c r="A283" s="5"/>
      <c r="B283" s="5" t="s">
        <v>65</v>
      </c>
      <c r="C283" s="5" t="s">
        <v>32</v>
      </c>
      <c r="D283" s="5"/>
      <c r="E283" s="5"/>
      <c r="F283" s="5" t="s">
        <v>807</v>
      </c>
    </row>
    <row r="284" spans="1:6" x14ac:dyDescent="0.3">
      <c r="A284" s="5"/>
      <c r="B284" s="5" t="s">
        <v>66</v>
      </c>
      <c r="C284" s="5" t="s">
        <v>27</v>
      </c>
      <c r="D284" s="5" t="s">
        <v>716</v>
      </c>
      <c r="E284" s="5" t="s">
        <v>717</v>
      </c>
      <c r="F284" s="5" t="s">
        <v>808</v>
      </c>
    </row>
    <row r="285" spans="1:6" x14ac:dyDescent="0.3">
      <c r="A285" s="5"/>
      <c r="B285" s="5" t="s">
        <v>66</v>
      </c>
      <c r="C285" s="5" t="s">
        <v>28</v>
      </c>
      <c r="D285" s="5"/>
      <c r="E285" s="5"/>
      <c r="F285" s="5" t="s">
        <v>809</v>
      </c>
    </row>
    <row r="286" spans="1:6" x14ac:dyDescent="0.3">
      <c r="A286" s="5"/>
      <c r="B286" s="5" t="s">
        <v>66</v>
      </c>
      <c r="C286" s="5" t="s">
        <v>29</v>
      </c>
      <c r="D286" s="5"/>
      <c r="E286" s="5"/>
      <c r="F286" s="5" t="s">
        <v>810</v>
      </c>
    </row>
    <row r="287" spans="1:6" x14ac:dyDescent="0.3">
      <c r="A287" s="5"/>
      <c r="B287" s="5" t="s">
        <v>66</v>
      </c>
      <c r="C287" s="5" t="s">
        <v>30</v>
      </c>
      <c r="D287" s="5"/>
      <c r="E287" s="5"/>
      <c r="F287" s="5" t="s">
        <v>811</v>
      </c>
    </row>
    <row r="288" spans="1:6" x14ac:dyDescent="0.3">
      <c r="A288" s="5"/>
      <c r="B288" s="5" t="s">
        <v>66</v>
      </c>
      <c r="C288" s="5" t="s">
        <v>31</v>
      </c>
      <c r="D288" s="5"/>
      <c r="E288" s="5"/>
      <c r="F288" s="5" t="s">
        <v>812</v>
      </c>
    </row>
    <row r="289" spans="1:6" x14ac:dyDescent="0.3">
      <c r="A289" s="5"/>
      <c r="B289" s="5" t="s">
        <v>66</v>
      </c>
      <c r="C289" s="5" t="s">
        <v>32</v>
      </c>
      <c r="D289" s="5"/>
      <c r="E289" s="5"/>
      <c r="F289" s="5" t="s">
        <v>813</v>
      </c>
    </row>
    <row r="290" spans="1:6" x14ac:dyDescent="0.3">
      <c r="A290" s="5"/>
      <c r="B290" s="5" t="s">
        <v>67</v>
      </c>
      <c r="C290" s="5" t="s">
        <v>27</v>
      </c>
      <c r="D290" s="5" t="s">
        <v>718</v>
      </c>
      <c r="E290" s="5" t="s">
        <v>719</v>
      </c>
      <c r="F290" s="5" t="s">
        <v>814</v>
      </c>
    </row>
    <row r="291" spans="1:6" x14ac:dyDescent="0.3">
      <c r="A291" s="5"/>
      <c r="B291" s="5" t="s">
        <v>67</v>
      </c>
      <c r="C291" s="5" t="s">
        <v>28</v>
      </c>
      <c r="D291" s="5"/>
      <c r="E291" s="5"/>
      <c r="F291" s="5" t="s">
        <v>815</v>
      </c>
    </row>
    <row r="292" spans="1:6" x14ac:dyDescent="0.3">
      <c r="A292" s="5"/>
      <c r="B292" s="5" t="s">
        <v>67</v>
      </c>
      <c r="C292" s="5" t="s">
        <v>29</v>
      </c>
      <c r="D292" s="5"/>
      <c r="E292" s="5"/>
      <c r="F292" s="5" t="s">
        <v>816</v>
      </c>
    </row>
    <row r="293" spans="1:6" x14ac:dyDescent="0.3">
      <c r="A293" s="5"/>
      <c r="B293" s="5" t="s">
        <v>67</v>
      </c>
      <c r="C293" s="5" t="s">
        <v>30</v>
      </c>
      <c r="D293" s="5"/>
      <c r="E293" s="5"/>
      <c r="F293" s="5" t="s">
        <v>817</v>
      </c>
    </row>
    <row r="294" spans="1:6" x14ac:dyDescent="0.3">
      <c r="A294" s="5"/>
      <c r="B294" s="5" t="s">
        <v>67</v>
      </c>
      <c r="C294" s="5" t="s">
        <v>31</v>
      </c>
      <c r="D294" s="5"/>
      <c r="E294" s="5"/>
      <c r="F294" s="5" t="s">
        <v>818</v>
      </c>
    </row>
    <row r="295" spans="1:6" x14ac:dyDescent="0.3">
      <c r="A295" s="5"/>
      <c r="B295" s="5" t="s">
        <v>67</v>
      </c>
      <c r="C295" s="5" t="s">
        <v>32</v>
      </c>
      <c r="D295" s="5"/>
      <c r="E295" s="5"/>
      <c r="F295" s="5" t="s">
        <v>819</v>
      </c>
    </row>
    <row r="296" spans="1:6" x14ac:dyDescent="0.3">
      <c r="A296" s="5"/>
      <c r="B296" s="5" t="s">
        <v>68</v>
      </c>
      <c r="C296" s="5" t="s">
        <v>27</v>
      </c>
      <c r="D296" s="5" t="s">
        <v>720</v>
      </c>
      <c r="E296" s="5" t="s">
        <v>721</v>
      </c>
      <c r="F296" s="5" t="s">
        <v>820</v>
      </c>
    </row>
    <row r="297" spans="1:6" x14ac:dyDescent="0.3">
      <c r="A297" s="5"/>
      <c r="B297" s="5" t="s">
        <v>68</v>
      </c>
      <c r="C297" s="5" t="s">
        <v>28</v>
      </c>
      <c r="D297" s="5"/>
      <c r="E297" s="5"/>
      <c r="F297" s="5" t="s">
        <v>821</v>
      </c>
    </row>
    <row r="298" spans="1:6" x14ac:dyDescent="0.3">
      <c r="A298" s="5"/>
      <c r="B298" s="5" t="s">
        <v>68</v>
      </c>
      <c r="C298" s="5" t="s">
        <v>29</v>
      </c>
      <c r="D298" s="5"/>
      <c r="E298" s="5"/>
      <c r="F298" s="5" t="s">
        <v>822</v>
      </c>
    </row>
    <row r="299" spans="1:6" x14ac:dyDescent="0.3">
      <c r="A299" s="5"/>
      <c r="B299" s="5" t="s">
        <v>68</v>
      </c>
      <c r="C299" s="5" t="s">
        <v>30</v>
      </c>
      <c r="D299" s="5"/>
      <c r="E299" s="5"/>
      <c r="F299" s="5" t="s">
        <v>823</v>
      </c>
    </row>
    <row r="300" spans="1:6" x14ac:dyDescent="0.3">
      <c r="A300" s="5"/>
      <c r="B300" s="5" t="s">
        <v>68</v>
      </c>
      <c r="C300" s="5" t="s">
        <v>31</v>
      </c>
      <c r="D300" s="5"/>
      <c r="E300" s="5"/>
      <c r="F300" s="5" t="s">
        <v>824</v>
      </c>
    </row>
    <row r="301" spans="1:6" x14ac:dyDescent="0.3">
      <c r="A301" s="5"/>
      <c r="B301" s="5" t="s">
        <v>68</v>
      </c>
      <c r="C301" s="5" t="s">
        <v>32</v>
      </c>
      <c r="D301" s="5"/>
      <c r="E301" s="5"/>
      <c r="F301" s="5" t="s">
        <v>825</v>
      </c>
    </row>
    <row r="302" spans="1:6" x14ac:dyDescent="0.3">
      <c r="A302" s="5"/>
      <c r="B302" s="5" t="s">
        <v>69</v>
      </c>
      <c r="C302" s="5" t="s">
        <v>27</v>
      </c>
      <c r="D302" s="5" t="s">
        <v>722</v>
      </c>
      <c r="E302" s="5" t="s">
        <v>723</v>
      </c>
      <c r="F302" s="5" t="s">
        <v>826</v>
      </c>
    </row>
    <row r="303" spans="1:6" x14ac:dyDescent="0.3">
      <c r="A303" s="5"/>
      <c r="B303" s="5" t="s">
        <v>69</v>
      </c>
      <c r="C303" s="5" t="s">
        <v>28</v>
      </c>
      <c r="D303" s="5"/>
      <c r="E303" s="5"/>
      <c r="F303" s="5" t="s">
        <v>827</v>
      </c>
    </row>
    <row r="304" spans="1:6" x14ac:dyDescent="0.3">
      <c r="A304" s="5"/>
      <c r="B304" s="5" t="s">
        <v>69</v>
      </c>
      <c r="C304" s="5" t="s">
        <v>29</v>
      </c>
      <c r="D304" s="5"/>
      <c r="E304" s="5"/>
      <c r="F304" s="5" t="s">
        <v>828</v>
      </c>
    </row>
    <row r="305" spans="1:6" x14ac:dyDescent="0.3">
      <c r="A305" s="5"/>
      <c r="B305" s="5" t="s">
        <v>69</v>
      </c>
      <c r="C305" s="5" t="s">
        <v>30</v>
      </c>
      <c r="D305" s="5"/>
      <c r="E305" s="5"/>
      <c r="F305" s="5" t="s">
        <v>829</v>
      </c>
    </row>
    <row r="306" spans="1:6" x14ac:dyDescent="0.3">
      <c r="A306" s="5"/>
      <c r="B306" s="5" t="s">
        <v>69</v>
      </c>
      <c r="C306" s="5" t="s">
        <v>31</v>
      </c>
      <c r="D306" s="5"/>
      <c r="E306" s="5"/>
      <c r="F306" s="5" t="s">
        <v>830</v>
      </c>
    </row>
    <row r="307" spans="1:6" x14ac:dyDescent="0.3">
      <c r="A307" s="5"/>
      <c r="B307" s="5" t="s">
        <v>69</v>
      </c>
      <c r="C307" s="5" t="s">
        <v>32</v>
      </c>
      <c r="D307" s="5"/>
      <c r="E307" s="5"/>
      <c r="F307" s="5" t="s">
        <v>831</v>
      </c>
    </row>
    <row r="308" spans="1:6" x14ac:dyDescent="0.3">
      <c r="A308" s="5"/>
      <c r="B308" s="5" t="s">
        <v>70</v>
      </c>
      <c r="C308" s="5" t="s">
        <v>27</v>
      </c>
      <c r="D308" s="5" t="s">
        <v>724</v>
      </c>
      <c r="E308" s="5" t="s">
        <v>725</v>
      </c>
      <c r="F308" s="5" t="s">
        <v>832</v>
      </c>
    </row>
    <row r="309" spans="1:6" x14ac:dyDescent="0.3">
      <c r="A309" s="5"/>
      <c r="B309" s="5" t="s">
        <v>70</v>
      </c>
      <c r="C309" s="5" t="s">
        <v>28</v>
      </c>
      <c r="D309" s="5"/>
      <c r="E309" s="5"/>
      <c r="F309" s="5" t="s">
        <v>833</v>
      </c>
    </row>
    <row r="310" spans="1:6" x14ac:dyDescent="0.3">
      <c r="A310" s="5"/>
      <c r="B310" s="5" t="s">
        <v>70</v>
      </c>
      <c r="C310" s="5" t="s">
        <v>29</v>
      </c>
      <c r="D310" s="5"/>
      <c r="E310" s="5"/>
      <c r="F310" s="5" t="s">
        <v>834</v>
      </c>
    </row>
    <row r="311" spans="1:6" x14ac:dyDescent="0.3">
      <c r="A311" s="5"/>
      <c r="B311" s="5" t="s">
        <v>70</v>
      </c>
      <c r="C311" s="5" t="s">
        <v>30</v>
      </c>
      <c r="D311" s="5"/>
      <c r="E311" s="5"/>
      <c r="F311" s="5" t="s">
        <v>835</v>
      </c>
    </row>
    <row r="312" spans="1:6" x14ac:dyDescent="0.3">
      <c r="A312" s="5"/>
      <c r="B312" s="5" t="s">
        <v>70</v>
      </c>
      <c r="C312" s="5" t="s">
        <v>31</v>
      </c>
      <c r="D312" s="5"/>
      <c r="E312" s="5"/>
      <c r="F312" s="5" t="s">
        <v>836</v>
      </c>
    </row>
    <row r="313" spans="1:6" x14ac:dyDescent="0.3">
      <c r="A313" s="5"/>
      <c r="B313" s="5" t="s">
        <v>70</v>
      </c>
      <c r="C313" s="5" t="s">
        <v>32</v>
      </c>
      <c r="D313" s="5"/>
      <c r="E313" s="5"/>
      <c r="F313" s="5" t="s">
        <v>837</v>
      </c>
    </row>
    <row r="314" spans="1:6" x14ac:dyDescent="0.3">
      <c r="A314" s="5"/>
      <c r="B314" s="5" t="s">
        <v>71</v>
      </c>
      <c r="C314" s="5" t="s">
        <v>27</v>
      </c>
      <c r="D314" s="5" t="s">
        <v>726</v>
      </c>
      <c r="E314" s="5" t="s">
        <v>727</v>
      </c>
      <c r="F314" s="5" t="s">
        <v>838</v>
      </c>
    </row>
    <row r="315" spans="1:6" x14ac:dyDescent="0.3">
      <c r="A315" s="5"/>
      <c r="B315" s="5" t="s">
        <v>71</v>
      </c>
      <c r="C315" s="5" t="s">
        <v>28</v>
      </c>
      <c r="D315" s="5"/>
      <c r="E315" s="5"/>
      <c r="F315" s="5" t="s">
        <v>839</v>
      </c>
    </row>
    <row r="316" spans="1:6" x14ac:dyDescent="0.3">
      <c r="A316" s="5"/>
      <c r="B316" s="5" t="s">
        <v>71</v>
      </c>
      <c r="C316" s="5" t="s">
        <v>29</v>
      </c>
      <c r="D316" s="5"/>
      <c r="E316" s="5"/>
      <c r="F316" s="5" t="s">
        <v>840</v>
      </c>
    </row>
    <row r="317" spans="1:6" x14ac:dyDescent="0.3">
      <c r="A317" s="5"/>
      <c r="B317" s="5" t="s">
        <v>71</v>
      </c>
      <c r="C317" s="5" t="s">
        <v>30</v>
      </c>
      <c r="D317" s="5"/>
      <c r="E317" s="5"/>
      <c r="F317" s="5" t="s">
        <v>841</v>
      </c>
    </row>
    <row r="318" spans="1:6" x14ac:dyDescent="0.3">
      <c r="A318" s="5"/>
      <c r="B318" s="5" t="s">
        <v>71</v>
      </c>
      <c r="C318" s="5" t="s">
        <v>31</v>
      </c>
      <c r="D318" s="5"/>
      <c r="E318" s="5"/>
      <c r="F318" s="5" t="s">
        <v>842</v>
      </c>
    </row>
    <row r="319" spans="1:6" x14ac:dyDescent="0.3">
      <c r="A319" s="5"/>
      <c r="B319" s="5" t="s">
        <v>71</v>
      </c>
      <c r="C319" s="5" t="s">
        <v>32</v>
      </c>
      <c r="D319" s="5"/>
      <c r="E319" s="5"/>
      <c r="F319" s="5" t="s">
        <v>843</v>
      </c>
    </row>
    <row r="320" spans="1:6" x14ac:dyDescent="0.3">
      <c r="A320" s="5"/>
      <c r="B320" s="5" t="s">
        <v>72</v>
      </c>
      <c r="C320" s="5" t="s">
        <v>27</v>
      </c>
      <c r="D320" s="5" t="s">
        <v>728</v>
      </c>
      <c r="E320" s="5" t="s">
        <v>729</v>
      </c>
      <c r="F320" s="5" t="s">
        <v>844</v>
      </c>
    </row>
    <row r="321" spans="1:6" x14ac:dyDescent="0.3">
      <c r="A321" s="5"/>
      <c r="B321" s="5" t="s">
        <v>72</v>
      </c>
      <c r="C321" s="5" t="s">
        <v>28</v>
      </c>
      <c r="D321" s="5"/>
      <c r="E321" s="5"/>
      <c r="F321" s="5" t="s">
        <v>845</v>
      </c>
    </row>
    <row r="322" spans="1:6" x14ac:dyDescent="0.3">
      <c r="A322" s="5"/>
      <c r="B322" s="5" t="s">
        <v>72</v>
      </c>
      <c r="C322" s="5" t="s">
        <v>29</v>
      </c>
      <c r="D322" s="5"/>
      <c r="E322" s="5"/>
      <c r="F322" s="5" t="s">
        <v>846</v>
      </c>
    </row>
    <row r="323" spans="1:6" x14ac:dyDescent="0.3">
      <c r="A323" s="5"/>
      <c r="B323" s="5" t="s">
        <v>72</v>
      </c>
      <c r="C323" s="5" t="s">
        <v>30</v>
      </c>
      <c r="D323" s="5"/>
      <c r="E323" s="5"/>
      <c r="F323" s="5" t="s">
        <v>847</v>
      </c>
    </row>
    <row r="324" spans="1:6" x14ac:dyDescent="0.3">
      <c r="A324" s="5"/>
      <c r="B324" s="5" t="s">
        <v>72</v>
      </c>
      <c r="C324" s="5" t="s">
        <v>31</v>
      </c>
      <c r="D324" s="5"/>
      <c r="E324" s="5"/>
      <c r="F324" s="5" t="s">
        <v>848</v>
      </c>
    </row>
    <row r="325" spans="1:6" x14ac:dyDescent="0.3">
      <c r="A325" s="5"/>
      <c r="B325" s="5" t="s">
        <v>72</v>
      </c>
      <c r="C325" s="5" t="s">
        <v>32</v>
      </c>
      <c r="D325" s="5"/>
      <c r="E325" s="5"/>
      <c r="F325" s="5" t="s">
        <v>849</v>
      </c>
    </row>
    <row r="326" spans="1:6" x14ac:dyDescent="0.3">
      <c r="A326" s="5" t="s">
        <v>10</v>
      </c>
      <c r="B326" s="5" t="s">
        <v>73</v>
      </c>
      <c r="C326" s="5" t="s">
        <v>27</v>
      </c>
      <c r="D326" s="5" t="s">
        <v>730</v>
      </c>
      <c r="E326" s="5" t="s">
        <v>731</v>
      </c>
      <c r="F326" s="5" t="s">
        <v>790</v>
      </c>
    </row>
    <row r="327" spans="1:6" x14ac:dyDescent="0.3">
      <c r="A327" s="5"/>
      <c r="B327" s="5" t="s">
        <v>73</v>
      </c>
      <c r="C327" s="5" t="s">
        <v>28</v>
      </c>
      <c r="D327" s="5"/>
      <c r="E327" s="5"/>
      <c r="F327" s="5" t="s">
        <v>791</v>
      </c>
    </row>
    <row r="328" spans="1:6" x14ac:dyDescent="0.3">
      <c r="A328" s="5"/>
      <c r="B328" s="5" t="s">
        <v>73</v>
      </c>
      <c r="C328" s="5" t="s">
        <v>29</v>
      </c>
      <c r="D328" s="5"/>
      <c r="E328" s="5"/>
      <c r="F328" s="5" t="s">
        <v>792</v>
      </c>
    </row>
    <row r="329" spans="1:6" x14ac:dyDescent="0.3">
      <c r="A329" s="5"/>
      <c r="B329" s="5" t="s">
        <v>73</v>
      </c>
      <c r="C329" s="5" t="s">
        <v>30</v>
      </c>
      <c r="D329" s="5"/>
      <c r="E329" s="5"/>
      <c r="F329" s="5" t="s">
        <v>793</v>
      </c>
    </row>
    <row r="330" spans="1:6" x14ac:dyDescent="0.3">
      <c r="A330" s="5"/>
      <c r="B330" s="5" t="s">
        <v>73</v>
      </c>
      <c r="C330" s="5" t="s">
        <v>31</v>
      </c>
      <c r="D330" s="5"/>
      <c r="E330" s="5"/>
      <c r="F330" s="5" t="s">
        <v>794</v>
      </c>
    </row>
    <row r="331" spans="1:6" x14ac:dyDescent="0.3">
      <c r="A331" s="5"/>
      <c r="B331" s="5" t="s">
        <v>73</v>
      </c>
      <c r="C331" s="5" t="s">
        <v>32</v>
      </c>
      <c r="D331" s="5"/>
      <c r="E331" s="5"/>
      <c r="F331" s="5" t="s">
        <v>795</v>
      </c>
    </row>
    <row r="332" spans="1:6" x14ac:dyDescent="0.3">
      <c r="A332" s="5"/>
      <c r="B332" s="5" t="s">
        <v>74</v>
      </c>
      <c r="C332" s="5" t="s">
        <v>27</v>
      </c>
      <c r="D332" s="5" t="s">
        <v>732</v>
      </c>
      <c r="E332" s="5" t="s">
        <v>639</v>
      </c>
      <c r="F332" s="5" t="s">
        <v>796</v>
      </c>
    </row>
    <row r="333" spans="1:6" x14ac:dyDescent="0.3">
      <c r="A333" s="5"/>
      <c r="B333" s="5" t="s">
        <v>74</v>
      </c>
      <c r="C333" s="5" t="s">
        <v>28</v>
      </c>
      <c r="D333" s="5"/>
      <c r="E333" s="5"/>
      <c r="F333" s="5" t="s">
        <v>797</v>
      </c>
    </row>
    <row r="334" spans="1:6" x14ac:dyDescent="0.3">
      <c r="A334" s="5"/>
      <c r="B334" s="5" t="s">
        <v>74</v>
      </c>
      <c r="C334" s="5" t="s">
        <v>29</v>
      </c>
      <c r="D334" s="5"/>
      <c r="E334" s="5"/>
      <c r="F334" s="5" t="s">
        <v>798</v>
      </c>
    </row>
    <row r="335" spans="1:6" x14ac:dyDescent="0.3">
      <c r="A335" s="5"/>
      <c r="B335" s="5" t="s">
        <v>74</v>
      </c>
      <c r="C335" s="5" t="s">
        <v>30</v>
      </c>
      <c r="D335" s="5"/>
      <c r="E335" s="5"/>
      <c r="F335" s="5" t="s">
        <v>799</v>
      </c>
    </row>
    <row r="336" spans="1:6" x14ac:dyDescent="0.3">
      <c r="A336" s="5"/>
      <c r="B336" s="5" t="s">
        <v>74</v>
      </c>
      <c r="C336" s="5" t="s">
        <v>31</v>
      </c>
      <c r="D336" s="5"/>
      <c r="E336" s="5"/>
      <c r="F336" s="5" t="s">
        <v>800</v>
      </c>
    </row>
    <row r="337" spans="1:6" x14ac:dyDescent="0.3">
      <c r="A337" s="5"/>
      <c r="B337" s="5" t="s">
        <v>74</v>
      </c>
      <c r="C337" s="5" t="s">
        <v>32</v>
      </c>
      <c r="D337" s="5"/>
      <c r="E337" s="5"/>
      <c r="F337" s="5" t="s">
        <v>801</v>
      </c>
    </row>
    <row r="338" spans="1:6" x14ac:dyDescent="0.3">
      <c r="A338" s="5"/>
      <c r="B338" s="5" t="s">
        <v>75</v>
      </c>
      <c r="C338" s="5" t="s">
        <v>27</v>
      </c>
      <c r="D338" s="5" t="s">
        <v>733</v>
      </c>
      <c r="E338" s="5" t="s">
        <v>734</v>
      </c>
      <c r="F338" s="5" t="s">
        <v>802</v>
      </c>
    </row>
    <row r="339" spans="1:6" x14ac:dyDescent="0.3">
      <c r="A339" s="5"/>
      <c r="B339" s="5" t="s">
        <v>75</v>
      </c>
      <c r="C339" s="5" t="s">
        <v>28</v>
      </c>
      <c r="D339" s="5"/>
      <c r="E339" s="5"/>
      <c r="F339" s="5" t="s">
        <v>803</v>
      </c>
    </row>
    <row r="340" spans="1:6" x14ac:dyDescent="0.3">
      <c r="A340" s="5"/>
      <c r="B340" s="5" t="s">
        <v>75</v>
      </c>
      <c r="C340" s="5" t="s">
        <v>29</v>
      </c>
      <c r="D340" s="5"/>
      <c r="E340" s="5"/>
      <c r="F340" s="5" t="s">
        <v>804</v>
      </c>
    </row>
    <row r="341" spans="1:6" x14ac:dyDescent="0.3">
      <c r="A341" s="5"/>
      <c r="B341" s="5" t="s">
        <v>75</v>
      </c>
      <c r="C341" s="5" t="s">
        <v>30</v>
      </c>
      <c r="D341" s="5"/>
      <c r="E341" s="5"/>
      <c r="F341" s="5" t="s">
        <v>805</v>
      </c>
    </row>
    <row r="342" spans="1:6" x14ac:dyDescent="0.3">
      <c r="A342" s="5"/>
      <c r="B342" s="5" t="s">
        <v>75</v>
      </c>
      <c r="C342" s="5" t="s">
        <v>31</v>
      </c>
      <c r="D342" s="5"/>
      <c r="E342" s="5"/>
      <c r="F342" s="5" t="s">
        <v>806</v>
      </c>
    </row>
    <row r="343" spans="1:6" x14ac:dyDescent="0.3">
      <c r="A343" s="5"/>
      <c r="B343" s="5" t="s">
        <v>75</v>
      </c>
      <c r="C343" s="5" t="s">
        <v>32</v>
      </c>
      <c r="D343" s="5"/>
      <c r="E343" s="5"/>
      <c r="F343" s="5" t="s">
        <v>807</v>
      </c>
    </row>
    <row r="344" spans="1:6" x14ac:dyDescent="0.3">
      <c r="A344" s="5"/>
      <c r="B344" s="5" t="s">
        <v>76</v>
      </c>
      <c r="C344" s="5" t="s">
        <v>27</v>
      </c>
      <c r="D344" s="5" t="s">
        <v>735</v>
      </c>
      <c r="E344" s="5" t="s">
        <v>736</v>
      </c>
      <c r="F344" s="5" t="s">
        <v>808</v>
      </c>
    </row>
    <row r="345" spans="1:6" x14ac:dyDescent="0.3">
      <c r="A345" s="5"/>
      <c r="B345" s="5" t="s">
        <v>76</v>
      </c>
      <c r="C345" s="5" t="s">
        <v>28</v>
      </c>
      <c r="D345" s="5"/>
      <c r="E345" s="5"/>
      <c r="F345" s="5" t="s">
        <v>809</v>
      </c>
    </row>
    <row r="346" spans="1:6" x14ac:dyDescent="0.3">
      <c r="A346" s="5"/>
      <c r="B346" s="5" t="s">
        <v>76</v>
      </c>
      <c r="C346" s="5" t="s">
        <v>29</v>
      </c>
      <c r="D346" s="5"/>
      <c r="E346" s="5"/>
      <c r="F346" s="5" t="s">
        <v>810</v>
      </c>
    </row>
    <row r="347" spans="1:6" x14ac:dyDescent="0.3">
      <c r="A347" s="5"/>
      <c r="B347" s="5" t="s">
        <v>76</v>
      </c>
      <c r="C347" s="5" t="s">
        <v>30</v>
      </c>
      <c r="D347" s="5"/>
      <c r="E347" s="5"/>
      <c r="F347" s="5" t="s">
        <v>811</v>
      </c>
    </row>
    <row r="348" spans="1:6" x14ac:dyDescent="0.3">
      <c r="A348" s="5"/>
      <c r="B348" s="5" t="s">
        <v>76</v>
      </c>
      <c r="C348" s="5" t="s">
        <v>31</v>
      </c>
      <c r="D348" s="5"/>
      <c r="E348" s="5"/>
      <c r="F348" s="5" t="s">
        <v>812</v>
      </c>
    </row>
    <row r="349" spans="1:6" x14ac:dyDescent="0.3">
      <c r="A349" s="5"/>
      <c r="B349" s="5" t="s">
        <v>76</v>
      </c>
      <c r="C349" s="5" t="s">
        <v>32</v>
      </c>
      <c r="D349" s="5"/>
      <c r="E349" s="5"/>
      <c r="F349" s="5" t="s">
        <v>813</v>
      </c>
    </row>
    <row r="350" spans="1:6" x14ac:dyDescent="0.3">
      <c r="A350" s="5"/>
      <c r="B350" s="5" t="s">
        <v>77</v>
      </c>
      <c r="C350" s="5" t="s">
        <v>27</v>
      </c>
      <c r="D350" s="5" t="s">
        <v>737</v>
      </c>
      <c r="E350" s="5" t="s">
        <v>738</v>
      </c>
      <c r="F350" s="5" t="s">
        <v>814</v>
      </c>
    </row>
    <row r="351" spans="1:6" x14ac:dyDescent="0.3">
      <c r="A351" s="5"/>
      <c r="B351" s="5" t="s">
        <v>77</v>
      </c>
      <c r="C351" s="5" t="s">
        <v>28</v>
      </c>
      <c r="D351" s="5"/>
      <c r="E351" s="5"/>
      <c r="F351" s="5" t="s">
        <v>815</v>
      </c>
    </row>
    <row r="352" spans="1:6" x14ac:dyDescent="0.3">
      <c r="A352" s="5"/>
      <c r="B352" s="5" t="s">
        <v>77</v>
      </c>
      <c r="C352" s="5" t="s">
        <v>29</v>
      </c>
      <c r="D352" s="5"/>
      <c r="E352" s="5"/>
      <c r="F352" s="5" t="s">
        <v>816</v>
      </c>
    </row>
    <row r="353" spans="1:6" x14ac:dyDescent="0.3">
      <c r="A353" s="5"/>
      <c r="B353" s="5" t="s">
        <v>77</v>
      </c>
      <c r="C353" s="5" t="s">
        <v>30</v>
      </c>
      <c r="D353" s="5"/>
      <c r="E353" s="5"/>
      <c r="F353" s="5" t="s">
        <v>817</v>
      </c>
    </row>
    <row r="354" spans="1:6" x14ac:dyDescent="0.3">
      <c r="A354" s="5"/>
      <c r="B354" s="5" t="s">
        <v>77</v>
      </c>
      <c r="C354" s="5" t="s">
        <v>31</v>
      </c>
      <c r="D354" s="5"/>
      <c r="E354" s="5"/>
      <c r="F354" s="5" t="s">
        <v>818</v>
      </c>
    </row>
    <row r="355" spans="1:6" x14ac:dyDescent="0.3">
      <c r="A355" s="5"/>
      <c r="B355" s="5" t="s">
        <v>77</v>
      </c>
      <c r="C355" s="5" t="s">
        <v>32</v>
      </c>
      <c r="D355" s="5"/>
      <c r="E355" s="5"/>
      <c r="F355" s="5" t="s">
        <v>819</v>
      </c>
    </row>
    <row r="356" spans="1:6" x14ac:dyDescent="0.3">
      <c r="A356" s="5"/>
      <c r="B356" s="5" t="s">
        <v>78</v>
      </c>
      <c r="C356" s="5" t="s">
        <v>27</v>
      </c>
      <c r="D356" s="5" t="s">
        <v>739</v>
      </c>
      <c r="E356" s="5" t="s">
        <v>740</v>
      </c>
      <c r="F356" s="5" t="s">
        <v>820</v>
      </c>
    </row>
    <row r="357" spans="1:6" x14ac:dyDescent="0.3">
      <c r="A357" s="5"/>
      <c r="B357" s="5" t="s">
        <v>78</v>
      </c>
      <c r="C357" s="5" t="s">
        <v>28</v>
      </c>
      <c r="D357" s="5"/>
      <c r="E357" s="5"/>
      <c r="F357" s="5" t="s">
        <v>821</v>
      </c>
    </row>
    <row r="358" spans="1:6" x14ac:dyDescent="0.3">
      <c r="A358" s="5"/>
      <c r="B358" s="5" t="s">
        <v>78</v>
      </c>
      <c r="C358" s="5" t="s">
        <v>29</v>
      </c>
      <c r="D358" s="5"/>
      <c r="E358" s="5"/>
      <c r="F358" s="5" t="s">
        <v>822</v>
      </c>
    </row>
    <row r="359" spans="1:6" x14ac:dyDescent="0.3">
      <c r="A359" s="5"/>
      <c r="B359" s="5" t="s">
        <v>78</v>
      </c>
      <c r="C359" s="5" t="s">
        <v>30</v>
      </c>
      <c r="D359" s="5"/>
      <c r="E359" s="5"/>
      <c r="F359" s="5" t="s">
        <v>823</v>
      </c>
    </row>
    <row r="360" spans="1:6" x14ac:dyDescent="0.3">
      <c r="A360" s="5"/>
      <c r="B360" s="5" t="s">
        <v>78</v>
      </c>
      <c r="C360" s="5" t="s">
        <v>31</v>
      </c>
      <c r="D360" s="5"/>
      <c r="E360" s="5"/>
      <c r="F360" s="5" t="s">
        <v>824</v>
      </c>
    </row>
    <row r="361" spans="1:6" x14ac:dyDescent="0.3">
      <c r="A361" s="5"/>
      <c r="B361" s="5" t="s">
        <v>78</v>
      </c>
      <c r="C361" s="5" t="s">
        <v>32</v>
      </c>
      <c r="D361" s="5"/>
      <c r="E361" s="5"/>
      <c r="F361" s="5" t="s">
        <v>825</v>
      </c>
    </row>
    <row r="362" spans="1:6" x14ac:dyDescent="0.3">
      <c r="A362" s="5"/>
      <c r="B362" s="5" t="s">
        <v>79</v>
      </c>
      <c r="C362" s="5" t="s">
        <v>27</v>
      </c>
      <c r="D362" s="5" t="s">
        <v>741</v>
      </c>
      <c r="E362" s="5" t="s">
        <v>742</v>
      </c>
      <c r="F362" s="5" t="s">
        <v>826</v>
      </c>
    </row>
    <row r="363" spans="1:6" x14ac:dyDescent="0.3">
      <c r="A363" s="5"/>
      <c r="B363" s="5" t="s">
        <v>79</v>
      </c>
      <c r="C363" s="5" t="s">
        <v>28</v>
      </c>
      <c r="D363" s="5"/>
      <c r="E363" s="5"/>
      <c r="F363" s="5" t="s">
        <v>827</v>
      </c>
    </row>
    <row r="364" spans="1:6" x14ac:dyDescent="0.3">
      <c r="A364" s="5"/>
      <c r="B364" s="5" t="s">
        <v>79</v>
      </c>
      <c r="C364" s="5" t="s">
        <v>29</v>
      </c>
      <c r="D364" s="5"/>
      <c r="E364" s="5"/>
      <c r="F364" s="5" t="s">
        <v>828</v>
      </c>
    </row>
    <row r="365" spans="1:6" x14ac:dyDescent="0.3">
      <c r="A365" s="5"/>
      <c r="B365" s="5" t="s">
        <v>79</v>
      </c>
      <c r="C365" s="5" t="s">
        <v>30</v>
      </c>
      <c r="D365" s="5"/>
      <c r="E365" s="5"/>
      <c r="F365" s="5" t="s">
        <v>829</v>
      </c>
    </row>
    <row r="366" spans="1:6" x14ac:dyDescent="0.3">
      <c r="A366" s="5"/>
      <c r="B366" s="5" t="s">
        <v>79</v>
      </c>
      <c r="C366" s="5" t="s">
        <v>31</v>
      </c>
      <c r="D366" s="5"/>
      <c r="E366" s="5"/>
      <c r="F366" s="5" t="s">
        <v>830</v>
      </c>
    </row>
    <row r="367" spans="1:6" x14ac:dyDescent="0.3">
      <c r="A367" s="5"/>
      <c r="B367" s="5" t="s">
        <v>79</v>
      </c>
      <c r="C367" s="5" t="s">
        <v>32</v>
      </c>
      <c r="D367" s="5"/>
      <c r="E367" s="5"/>
      <c r="F367" s="5" t="s">
        <v>831</v>
      </c>
    </row>
    <row r="368" spans="1:6" x14ac:dyDescent="0.3">
      <c r="A368" s="5"/>
      <c r="B368" s="5" t="s">
        <v>80</v>
      </c>
      <c r="C368" s="5" t="s">
        <v>27</v>
      </c>
      <c r="D368" s="5" t="s">
        <v>743</v>
      </c>
      <c r="E368" s="5" t="s">
        <v>744</v>
      </c>
      <c r="F368" s="5" t="s">
        <v>832</v>
      </c>
    </row>
    <row r="369" spans="1:6" x14ac:dyDescent="0.3">
      <c r="A369" s="5"/>
      <c r="B369" s="5" t="s">
        <v>80</v>
      </c>
      <c r="C369" s="5" t="s">
        <v>28</v>
      </c>
      <c r="D369" s="5"/>
      <c r="E369" s="5"/>
      <c r="F369" s="5" t="s">
        <v>833</v>
      </c>
    </row>
    <row r="370" spans="1:6" x14ac:dyDescent="0.3">
      <c r="A370" s="5"/>
      <c r="B370" s="5" t="s">
        <v>80</v>
      </c>
      <c r="C370" s="5" t="s">
        <v>29</v>
      </c>
      <c r="D370" s="5"/>
      <c r="E370" s="5"/>
      <c r="F370" s="5" t="s">
        <v>834</v>
      </c>
    </row>
    <row r="371" spans="1:6" x14ac:dyDescent="0.3">
      <c r="A371" s="5"/>
      <c r="B371" s="5" t="s">
        <v>80</v>
      </c>
      <c r="C371" s="5" t="s">
        <v>30</v>
      </c>
      <c r="D371" s="5"/>
      <c r="E371" s="5"/>
      <c r="F371" s="5" t="s">
        <v>835</v>
      </c>
    </row>
    <row r="372" spans="1:6" x14ac:dyDescent="0.3">
      <c r="A372" s="5"/>
      <c r="B372" s="5" t="s">
        <v>80</v>
      </c>
      <c r="C372" s="5" t="s">
        <v>31</v>
      </c>
      <c r="D372" s="5"/>
      <c r="E372" s="5"/>
      <c r="F372" s="5" t="s">
        <v>836</v>
      </c>
    </row>
    <row r="373" spans="1:6" x14ac:dyDescent="0.3">
      <c r="A373" s="5"/>
      <c r="B373" s="5" t="s">
        <v>80</v>
      </c>
      <c r="C373" s="5" t="s">
        <v>32</v>
      </c>
      <c r="D373" s="5"/>
      <c r="E373" s="5"/>
      <c r="F373" s="5" t="s">
        <v>837</v>
      </c>
    </row>
    <row r="374" spans="1:6" x14ac:dyDescent="0.3">
      <c r="A374" s="5"/>
      <c r="B374" s="5" t="s">
        <v>81</v>
      </c>
      <c r="C374" s="5" t="s">
        <v>27</v>
      </c>
      <c r="D374" s="5" t="s">
        <v>745</v>
      </c>
      <c r="E374" s="5" t="s">
        <v>746</v>
      </c>
      <c r="F374" s="5" t="s">
        <v>838</v>
      </c>
    </row>
    <row r="375" spans="1:6" x14ac:dyDescent="0.3">
      <c r="A375" s="5"/>
      <c r="B375" s="5" t="s">
        <v>81</v>
      </c>
      <c r="C375" s="5" t="s">
        <v>28</v>
      </c>
      <c r="D375" s="5"/>
      <c r="E375" s="5"/>
      <c r="F375" s="5" t="s">
        <v>839</v>
      </c>
    </row>
    <row r="376" spans="1:6" x14ac:dyDescent="0.3">
      <c r="A376" s="5"/>
      <c r="B376" s="5" t="s">
        <v>81</v>
      </c>
      <c r="C376" s="5" t="s">
        <v>29</v>
      </c>
      <c r="D376" s="5"/>
      <c r="E376" s="5"/>
      <c r="F376" s="5" t="s">
        <v>840</v>
      </c>
    </row>
    <row r="377" spans="1:6" x14ac:dyDescent="0.3">
      <c r="A377" s="5"/>
      <c r="B377" s="5" t="s">
        <v>81</v>
      </c>
      <c r="C377" s="5" t="s">
        <v>30</v>
      </c>
      <c r="D377" s="5"/>
      <c r="E377" s="5"/>
      <c r="F377" s="5" t="s">
        <v>841</v>
      </c>
    </row>
    <row r="378" spans="1:6" x14ac:dyDescent="0.3">
      <c r="A378" s="5"/>
      <c r="B378" s="5" t="s">
        <v>81</v>
      </c>
      <c r="C378" s="5" t="s">
        <v>31</v>
      </c>
      <c r="D378" s="5"/>
      <c r="E378" s="5"/>
      <c r="F378" s="5" t="s">
        <v>842</v>
      </c>
    </row>
    <row r="379" spans="1:6" x14ac:dyDescent="0.3">
      <c r="A379" s="5"/>
      <c r="B379" s="5" t="s">
        <v>81</v>
      </c>
      <c r="C379" s="5" t="s">
        <v>32</v>
      </c>
      <c r="D379" s="5"/>
      <c r="E379" s="5"/>
      <c r="F379" s="5" t="s">
        <v>843</v>
      </c>
    </row>
    <row r="380" spans="1:6" x14ac:dyDescent="0.3">
      <c r="A380" s="5"/>
      <c r="B380" s="5" t="s">
        <v>82</v>
      </c>
      <c r="C380" s="5" t="s">
        <v>27</v>
      </c>
      <c r="D380" s="5" t="s">
        <v>747</v>
      </c>
      <c r="E380" s="5" t="s">
        <v>748</v>
      </c>
      <c r="F380" s="5" t="s">
        <v>844</v>
      </c>
    </row>
    <row r="381" spans="1:6" x14ac:dyDescent="0.3">
      <c r="A381" s="5"/>
      <c r="B381" s="5" t="s">
        <v>82</v>
      </c>
      <c r="C381" s="5" t="s">
        <v>28</v>
      </c>
      <c r="D381" s="5"/>
      <c r="E381" s="5"/>
      <c r="F381" s="5" t="s">
        <v>845</v>
      </c>
    </row>
    <row r="382" spans="1:6" x14ac:dyDescent="0.3">
      <c r="A382" s="5"/>
      <c r="B382" s="5" t="s">
        <v>82</v>
      </c>
      <c r="C382" s="5" t="s">
        <v>29</v>
      </c>
      <c r="D382" s="5"/>
      <c r="E382" s="5"/>
      <c r="F382" s="5" t="s">
        <v>846</v>
      </c>
    </row>
    <row r="383" spans="1:6" x14ac:dyDescent="0.3">
      <c r="A383" s="5"/>
      <c r="B383" s="5" t="s">
        <v>82</v>
      </c>
      <c r="C383" s="5" t="s">
        <v>30</v>
      </c>
      <c r="D383" s="5"/>
      <c r="E383" s="5"/>
      <c r="F383" s="5" t="s">
        <v>847</v>
      </c>
    </row>
    <row r="384" spans="1:6" x14ac:dyDescent="0.3">
      <c r="A384" s="5"/>
      <c r="B384" s="5" t="s">
        <v>82</v>
      </c>
      <c r="C384" s="5" t="s">
        <v>31</v>
      </c>
      <c r="D384" s="5"/>
      <c r="E384" s="5"/>
      <c r="F384" s="5" t="s">
        <v>848</v>
      </c>
    </row>
    <row r="385" spans="1:6" x14ac:dyDescent="0.3">
      <c r="A385" s="5"/>
      <c r="B385" s="5" t="s">
        <v>82</v>
      </c>
      <c r="C385" s="5" t="s">
        <v>32</v>
      </c>
      <c r="D385" s="5"/>
      <c r="E385" s="5"/>
      <c r="F385" s="5" t="s">
        <v>849</v>
      </c>
    </row>
    <row r="386" spans="1:6" x14ac:dyDescent="0.3">
      <c r="A386" s="5" t="s">
        <v>11</v>
      </c>
      <c r="B386" s="5" t="s">
        <v>83</v>
      </c>
      <c r="C386" s="5" t="s">
        <v>27</v>
      </c>
      <c r="D386" s="5" t="s">
        <v>749</v>
      </c>
      <c r="E386" s="5" t="s">
        <v>750</v>
      </c>
      <c r="F386" s="5" t="s">
        <v>790</v>
      </c>
    </row>
    <row r="387" spans="1:6" x14ac:dyDescent="0.3">
      <c r="A387" s="5"/>
      <c r="B387" s="5" t="s">
        <v>83</v>
      </c>
      <c r="C387" s="5" t="s">
        <v>28</v>
      </c>
      <c r="D387" s="5"/>
      <c r="E387" s="5"/>
      <c r="F387" s="5" t="s">
        <v>791</v>
      </c>
    </row>
    <row r="388" spans="1:6" x14ac:dyDescent="0.3">
      <c r="A388" s="5"/>
      <c r="B388" s="5" t="s">
        <v>83</v>
      </c>
      <c r="C388" s="5" t="s">
        <v>29</v>
      </c>
      <c r="D388" s="5"/>
      <c r="E388" s="5"/>
      <c r="F388" s="5" t="s">
        <v>792</v>
      </c>
    </row>
    <row r="389" spans="1:6" x14ac:dyDescent="0.3">
      <c r="A389" s="5"/>
      <c r="B389" s="5" t="s">
        <v>83</v>
      </c>
      <c r="C389" s="5" t="s">
        <v>30</v>
      </c>
      <c r="D389" s="5"/>
      <c r="E389" s="5"/>
      <c r="F389" s="5" t="s">
        <v>793</v>
      </c>
    </row>
    <row r="390" spans="1:6" x14ac:dyDescent="0.3">
      <c r="A390" s="5"/>
      <c r="B390" s="5" t="s">
        <v>83</v>
      </c>
      <c r="C390" s="5" t="s">
        <v>31</v>
      </c>
      <c r="D390" s="5"/>
      <c r="E390" s="5"/>
      <c r="F390" s="5" t="s">
        <v>794</v>
      </c>
    </row>
    <row r="391" spans="1:6" x14ac:dyDescent="0.3">
      <c r="A391" s="5"/>
      <c r="B391" s="5" t="s">
        <v>83</v>
      </c>
      <c r="C391" s="5" t="s">
        <v>32</v>
      </c>
      <c r="D391" s="5"/>
      <c r="E391" s="5"/>
      <c r="F391" s="5" t="s">
        <v>795</v>
      </c>
    </row>
    <row r="392" spans="1:6" x14ac:dyDescent="0.3">
      <c r="A392" s="5"/>
      <c r="B392" s="5" t="s">
        <v>84</v>
      </c>
      <c r="C392" s="5" t="s">
        <v>27</v>
      </c>
      <c r="D392" s="5" t="s">
        <v>751</v>
      </c>
      <c r="E392" s="5" t="s">
        <v>752</v>
      </c>
      <c r="F392" s="5" t="s">
        <v>796</v>
      </c>
    </row>
    <row r="393" spans="1:6" x14ac:dyDescent="0.3">
      <c r="A393" s="5"/>
      <c r="B393" s="5" t="s">
        <v>84</v>
      </c>
      <c r="C393" s="5" t="s">
        <v>28</v>
      </c>
      <c r="D393" s="5"/>
      <c r="E393" s="5"/>
      <c r="F393" s="5" t="s">
        <v>797</v>
      </c>
    </row>
    <row r="394" spans="1:6" x14ac:dyDescent="0.3">
      <c r="A394" s="5"/>
      <c r="B394" s="5" t="s">
        <v>84</v>
      </c>
      <c r="C394" s="5" t="s">
        <v>29</v>
      </c>
      <c r="D394" s="5"/>
      <c r="E394" s="5"/>
      <c r="F394" s="5" t="s">
        <v>798</v>
      </c>
    </row>
    <row r="395" spans="1:6" x14ac:dyDescent="0.3">
      <c r="A395" s="5"/>
      <c r="B395" s="5" t="s">
        <v>84</v>
      </c>
      <c r="C395" s="5" t="s">
        <v>30</v>
      </c>
      <c r="D395" s="5"/>
      <c r="E395" s="5"/>
      <c r="F395" s="5" t="s">
        <v>799</v>
      </c>
    </row>
    <row r="396" spans="1:6" x14ac:dyDescent="0.3">
      <c r="A396" s="5"/>
      <c r="B396" s="5" t="s">
        <v>84</v>
      </c>
      <c r="C396" s="5" t="s">
        <v>31</v>
      </c>
      <c r="D396" s="5"/>
      <c r="E396" s="5"/>
      <c r="F396" s="5" t="s">
        <v>800</v>
      </c>
    </row>
    <row r="397" spans="1:6" x14ac:dyDescent="0.3">
      <c r="A397" s="5"/>
      <c r="B397" s="5" t="s">
        <v>84</v>
      </c>
      <c r="C397" s="5" t="s">
        <v>32</v>
      </c>
      <c r="D397" s="5"/>
      <c r="E397" s="5"/>
      <c r="F397" s="5" t="s">
        <v>801</v>
      </c>
    </row>
    <row r="398" spans="1:6" x14ac:dyDescent="0.3">
      <c r="A398" s="5"/>
      <c r="B398" s="5" t="s">
        <v>85</v>
      </c>
      <c r="C398" s="5" t="s">
        <v>27</v>
      </c>
      <c r="D398" s="5" t="s">
        <v>753</v>
      </c>
      <c r="E398" s="5" t="s">
        <v>754</v>
      </c>
      <c r="F398" s="5" t="s">
        <v>802</v>
      </c>
    </row>
    <row r="399" spans="1:6" x14ac:dyDescent="0.3">
      <c r="A399" s="5"/>
      <c r="B399" s="5" t="s">
        <v>85</v>
      </c>
      <c r="C399" s="5" t="s">
        <v>28</v>
      </c>
      <c r="D399" s="5"/>
      <c r="E399" s="5"/>
      <c r="F399" s="5" t="s">
        <v>803</v>
      </c>
    </row>
    <row r="400" spans="1:6" x14ac:dyDescent="0.3">
      <c r="A400" s="5"/>
      <c r="B400" s="5" t="s">
        <v>85</v>
      </c>
      <c r="C400" s="5" t="s">
        <v>29</v>
      </c>
      <c r="D400" s="5"/>
      <c r="E400" s="5"/>
      <c r="F400" s="5" t="s">
        <v>804</v>
      </c>
    </row>
    <row r="401" spans="1:6" x14ac:dyDescent="0.3">
      <c r="A401" s="5"/>
      <c r="B401" s="5" t="s">
        <v>85</v>
      </c>
      <c r="C401" s="5" t="s">
        <v>30</v>
      </c>
      <c r="D401" s="5"/>
      <c r="E401" s="5"/>
      <c r="F401" s="5" t="s">
        <v>805</v>
      </c>
    </row>
    <row r="402" spans="1:6" x14ac:dyDescent="0.3">
      <c r="A402" s="5"/>
      <c r="B402" s="5" t="s">
        <v>85</v>
      </c>
      <c r="C402" s="5" t="s">
        <v>31</v>
      </c>
      <c r="D402" s="5"/>
      <c r="E402" s="5"/>
      <c r="F402" s="5" t="s">
        <v>806</v>
      </c>
    </row>
    <row r="403" spans="1:6" x14ac:dyDescent="0.3">
      <c r="A403" s="5"/>
      <c r="B403" s="5" t="s">
        <v>85</v>
      </c>
      <c r="C403" s="5" t="s">
        <v>32</v>
      </c>
      <c r="D403" s="5"/>
      <c r="E403" s="5"/>
      <c r="F403" s="5" t="s">
        <v>807</v>
      </c>
    </row>
    <row r="404" spans="1:6" x14ac:dyDescent="0.3">
      <c r="A404" s="5"/>
      <c r="B404" s="5" t="s">
        <v>86</v>
      </c>
      <c r="C404" s="5" t="s">
        <v>27</v>
      </c>
      <c r="D404" s="5" t="s">
        <v>755</v>
      </c>
      <c r="E404" s="5" t="s">
        <v>756</v>
      </c>
      <c r="F404" s="5" t="s">
        <v>808</v>
      </c>
    </row>
    <row r="405" spans="1:6" x14ac:dyDescent="0.3">
      <c r="A405" s="5"/>
      <c r="B405" s="5" t="s">
        <v>86</v>
      </c>
      <c r="C405" s="5" t="s">
        <v>28</v>
      </c>
      <c r="D405" s="5"/>
      <c r="E405" s="5"/>
      <c r="F405" s="5" t="s">
        <v>809</v>
      </c>
    </row>
    <row r="406" spans="1:6" x14ac:dyDescent="0.3">
      <c r="A406" s="5"/>
      <c r="B406" s="5" t="s">
        <v>86</v>
      </c>
      <c r="C406" s="5" t="s">
        <v>29</v>
      </c>
      <c r="D406" s="5"/>
      <c r="E406" s="5"/>
      <c r="F406" s="5" t="s">
        <v>810</v>
      </c>
    </row>
    <row r="407" spans="1:6" x14ac:dyDescent="0.3">
      <c r="A407" s="5"/>
      <c r="B407" s="5" t="s">
        <v>86</v>
      </c>
      <c r="C407" s="5" t="s">
        <v>30</v>
      </c>
      <c r="D407" s="5"/>
      <c r="E407" s="5"/>
      <c r="F407" s="5" t="s">
        <v>811</v>
      </c>
    </row>
    <row r="408" spans="1:6" x14ac:dyDescent="0.3">
      <c r="A408" s="5"/>
      <c r="B408" s="5" t="s">
        <v>86</v>
      </c>
      <c r="C408" s="5" t="s">
        <v>31</v>
      </c>
      <c r="D408" s="5"/>
      <c r="E408" s="5"/>
      <c r="F408" s="5" t="s">
        <v>812</v>
      </c>
    </row>
    <row r="409" spans="1:6" x14ac:dyDescent="0.3">
      <c r="A409" s="5"/>
      <c r="B409" s="5" t="s">
        <v>86</v>
      </c>
      <c r="C409" s="5" t="s">
        <v>32</v>
      </c>
      <c r="D409" s="5"/>
      <c r="E409" s="5"/>
      <c r="F409" s="5" t="s">
        <v>813</v>
      </c>
    </row>
    <row r="410" spans="1:6" x14ac:dyDescent="0.3">
      <c r="A410" s="5"/>
      <c r="B410" s="5" t="s">
        <v>87</v>
      </c>
      <c r="C410" s="5" t="s">
        <v>27</v>
      </c>
      <c r="D410" s="5" t="s">
        <v>757</v>
      </c>
      <c r="E410" s="5" t="s">
        <v>758</v>
      </c>
      <c r="F410" s="5" t="s">
        <v>814</v>
      </c>
    </row>
    <row r="411" spans="1:6" x14ac:dyDescent="0.3">
      <c r="A411" s="5"/>
      <c r="B411" s="5" t="s">
        <v>87</v>
      </c>
      <c r="C411" s="5" t="s">
        <v>28</v>
      </c>
      <c r="D411" s="5"/>
      <c r="E411" s="5"/>
      <c r="F411" s="5" t="s">
        <v>815</v>
      </c>
    </row>
    <row r="412" spans="1:6" x14ac:dyDescent="0.3">
      <c r="A412" s="5"/>
      <c r="B412" s="5" t="s">
        <v>87</v>
      </c>
      <c r="C412" s="5" t="s">
        <v>29</v>
      </c>
      <c r="D412" s="5"/>
      <c r="E412" s="5"/>
      <c r="F412" s="5" t="s">
        <v>816</v>
      </c>
    </row>
    <row r="413" spans="1:6" x14ac:dyDescent="0.3">
      <c r="A413" s="5"/>
      <c r="B413" s="5" t="s">
        <v>87</v>
      </c>
      <c r="C413" s="5" t="s">
        <v>30</v>
      </c>
      <c r="D413" s="5"/>
      <c r="E413" s="5"/>
      <c r="F413" s="5" t="s">
        <v>817</v>
      </c>
    </row>
    <row r="414" spans="1:6" x14ac:dyDescent="0.3">
      <c r="A414" s="5"/>
      <c r="B414" s="5" t="s">
        <v>87</v>
      </c>
      <c r="C414" s="5" t="s">
        <v>31</v>
      </c>
      <c r="D414" s="5"/>
      <c r="E414" s="5"/>
      <c r="F414" s="5" t="s">
        <v>818</v>
      </c>
    </row>
    <row r="415" spans="1:6" x14ac:dyDescent="0.3">
      <c r="A415" s="5"/>
      <c r="B415" s="5" t="s">
        <v>87</v>
      </c>
      <c r="C415" s="5" t="s">
        <v>32</v>
      </c>
      <c r="D415" s="5"/>
      <c r="E415" s="5"/>
      <c r="F415" s="5" t="s">
        <v>819</v>
      </c>
    </row>
    <row r="416" spans="1:6" x14ac:dyDescent="0.3">
      <c r="A416" s="5"/>
      <c r="B416" s="5" t="s">
        <v>88</v>
      </c>
      <c r="C416" s="5" t="s">
        <v>27</v>
      </c>
      <c r="D416" s="5" t="s">
        <v>759</v>
      </c>
      <c r="E416" s="5" t="s">
        <v>760</v>
      </c>
      <c r="F416" s="5" t="s">
        <v>820</v>
      </c>
    </row>
    <row r="417" spans="1:6" x14ac:dyDescent="0.3">
      <c r="A417" s="5"/>
      <c r="B417" s="5" t="s">
        <v>88</v>
      </c>
      <c r="C417" s="5" t="s">
        <v>28</v>
      </c>
      <c r="D417" s="5"/>
      <c r="E417" s="5"/>
      <c r="F417" s="5" t="s">
        <v>821</v>
      </c>
    </row>
    <row r="418" spans="1:6" x14ac:dyDescent="0.3">
      <c r="A418" s="5"/>
      <c r="B418" s="5" t="s">
        <v>88</v>
      </c>
      <c r="C418" s="5" t="s">
        <v>29</v>
      </c>
      <c r="D418" s="5"/>
      <c r="E418" s="5"/>
      <c r="F418" s="5" t="s">
        <v>822</v>
      </c>
    </row>
    <row r="419" spans="1:6" x14ac:dyDescent="0.3">
      <c r="A419" s="5"/>
      <c r="B419" s="5" t="s">
        <v>88</v>
      </c>
      <c r="C419" s="5" t="s">
        <v>30</v>
      </c>
      <c r="D419" s="5"/>
      <c r="E419" s="5"/>
      <c r="F419" s="5" t="s">
        <v>823</v>
      </c>
    </row>
    <row r="420" spans="1:6" x14ac:dyDescent="0.3">
      <c r="A420" s="5"/>
      <c r="B420" s="5" t="s">
        <v>88</v>
      </c>
      <c r="C420" s="5" t="s">
        <v>31</v>
      </c>
      <c r="D420" s="5"/>
      <c r="E420" s="5"/>
      <c r="F420" s="5" t="s">
        <v>824</v>
      </c>
    </row>
    <row r="421" spans="1:6" x14ac:dyDescent="0.3">
      <c r="A421" s="5"/>
      <c r="B421" s="5" t="s">
        <v>88</v>
      </c>
      <c r="C421" s="5" t="s">
        <v>32</v>
      </c>
      <c r="D421" s="5"/>
      <c r="E421" s="5"/>
      <c r="F421" s="5" t="s">
        <v>825</v>
      </c>
    </row>
    <row r="422" spans="1:6" x14ac:dyDescent="0.3">
      <c r="A422" s="5"/>
      <c r="B422" s="5" t="s">
        <v>89</v>
      </c>
      <c r="C422" s="5" t="s">
        <v>27</v>
      </c>
      <c r="D422" s="5" t="s">
        <v>761</v>
      </c>
      <c r="E422" s="5" t="s">
        <v>762</v>
      </c>
      <c r="F422" s="5" t="s">
        <v>826</v>
      </c>
    </row>
    <row r="423" spans="1:6" x14ac:dyDescent="0.3">
      <c r="A423" s="5"/>
      <c r="B423" s="5" t="s">
        <v>89</v>
      </c>
      <c r="C423" s="5" t="s">
        <v>28</v>
      </c>
      <c r="D423" s="5"/>
      <c r="E423" s="5"/>
      <c r="F423" s="5" t="s">
        <v>827</v>
      </c>
    </row>
    <row r="424" spans="1:6" x14ac:dyDescent="0.3">
      <c r="A424" s="5"/>
      <c r="B424" s="5" t="s">
        <v>89</v>
      </c>
      <c r="C424" s="5" t="s">
        <v>29</v>
      </c>
      <c r="D424" s="5"/>
      <c r="E424" s="5"/>
      <c r="F424" s="5" t="s">
        <v>828</v>
      </c>
    </row>
    <row r="425" spans="1:6" x14ac:dyDescent="0.3">
      <c r="A425" s="5"/>
      <c r="B425" s="5" t="s">
        <v>89</v>
      </c>
      <c r="C425" s="5" t="s">
        <v>30</v>
      </c>
      <c r="D425" s="5"/>
      <c r="E425" s="5"/>
      <c r="F425" s="5" t="s">
        <v>829</v>
      </c>
    </row>
    <row r="426" spans="1:6" x14ac:dyDescent="0.3">
      <c r="A426" s="5"/>
      <c r="B426" s="5" t="s">
        <v>89</v>
      </c>
      <c r="C426" s="5" t="s">
        <v>31</v>
      </c>
      <c r="D426" s="5"/>
      <c r="E426" s="5"/>
      <c r="F426" s="5" t="s">
        <v>830</v>
      </c>
    </row>
    <row r="427" spans="1:6" x14ac:dyDescent="0.3">
      <c r="A427" s="5"/>
      <c r="B427" s="5" t="s">
        <v>89</v>
      </c>
      <c r="C427" s="5" t="s">
        <v>32</v>
      </c>
      <c r="D427" s="5"/>
      <c r="E427" s="5"/>
      <c r="F427" s="5" t="s">
        <v>831</v>
      </c>
    </row>
    <row r="428" spans="1:6" x14ac:dyDescent="0.3">
      <c r="A428" s="5"/>
      <c r="B428" s="5" t="s">
        <v>90</v>
      </c>
      <c r="C428" s="5" t="s">
        <v>27</v>
      </c>
      <c r="D428" s="5" t="s">
        <v>763</v>
      </c>
      <c r="E428" s="5" t="s">
        <v>764</v>
      </c>
      <c r="F428" s="5" t="s">
        <v>832</v>
      </c>
    </row>
    <row r="429" spans="1:6" x14ac:dyDescent="0.3">
      <c r="A429" s="5"/>
      <c r="B429" s="5" t="s">
        <v>90</v>
      </c>
      <c r="C429" s="5" t="s">
        <v>28</v>
      </c>
      <c r="D429" s="5"/>
      <c r="E429" s="5"/>
      <c r="F429" s="5" t="s">
        <v>833</v>
      </c>
    </row>
    <row r="430" spans="1:6" x14ac:dyDescent="0.3">
      <c r="A430" s="5"/>
      <c r="B430" s="5" t="s">
        <v>90</v>
      </c>
      <c r="C430" s="5" t="s">
        <v>29</v>
      </c>
      <c r="D430" s="5"/>
      <c r="E430" s="5"/>
      <c r="F430" s="5" t="s">
        <v>834</v>
      </c>
    </row>
    <row r="431" spans="1:6" x14ac:dyDescent="0.3">
      <c r="A431" s="5"/>
      <c r="B431" s="5" t="s">
        <v>90</v>
      </c>
      <c r="C431" s="5" t="s">
        <v>30</v>
      </c>
      <c r="D431" s="5"/>
      <c r="E431" s="5"/>
      <c r="F431" s="5" t="s">
        <v>835</v>
      </c>
    </row>
    <row r="432" spans="1:6" x14ac:dyDescent="0.3">
      <c r="A432" s="5"/>
      <c r="B432" s="5" t="s">
        <v>90</v>
      </c>
      <c r="C432" s="5" t="s">
        <v>31</v>
      </c>
      <c r="D432" s="5"/>
      <c r="E432" s="5"/>
      <c r="F432" s="5" t="s">
        <v>836</v>
      </c>
    </row>
    <row r="433" spans="1:6" x14ac:dyDescent="0.3">
      <c r="A433" s="5"/>
      <c r="B433" s="5" t="s">
        <v>90</v>
      </c>
      <c r="C433" s="5" t="s">
        <v>32</v>
      </c>
      <c r="D433" s="5"/>
      <c r="E433" s="5"/>
      <c r="F433" s="5" t="s">
        <v>837</v>
      </c>
    </row>
    <row r="434" spans="1:6" x14ac:dyDescent="0.3">
      <c r="A434" s="5"/>
      <c r="B434" s="5" t="s">
        <v>91</v>
      </c>
      <c r="C434" s="5" t="s">
        <v>27</v>
      </c>
      <c r="D434" s="5" t="s">
        <v>765</v>
      </c>
      <c r="E434" s="5" t="s">
        <v>766</v>
      </c>
      <c r="F434" s="5" t="s">
        <v>838</v>
      </c>
    </row>
    <row r="435" spans="1:6" x14ac:dyDescent="0.3">
      <c r="A435" s="5"/>
      <c r="B435" s="5" t="s">
        <v>91</v>
      </c>
      <c r="C435" s="5" t="s">
        <v>28</v>
      </c>
      <c r="D435" s="5"/>
      <c r="E435" s="5"/>
      <c r="F435" s="5" t="s">
        <v>839</v>
      </c>
    </row>
    <row r="436" spans="1:6" x14ac:dyDescent="0.3">
      <c r="A436" s="5"/>
      <c r="B436" s="5" t="s">
        <v>91</v>
      </c>
      <c r="C436" s="5" t="s">
        <v>29</v>
      </c>
      <c r="D436" s="5"/>
      <c r="E436" s="5"/>
      <c r="F436" s="5" t="s">
        <v>840</v>
      </c>
    </row>
    <row r="437" spans="1:6" x14ac:dyDescent="0.3">
      <c r="A437" s="5"/>
      <c r="B437" s="5" t="s">
        <v>91</v>
      </c>
      <c r="C437" s="5" t="s">
        <v>30</v>
      </c>
      <c r="D437" s="5"/>
      <c r="E437" s="5"/>
      <c r="F437" s="5" t="s">
        <v>841</v>
      </c>
    </row>
    <row r="438" spans="1:6" x14ac:dyDescent="0.3">
      <c r="A438" s="5"/>
      <c r="B438" s="5" t="s">
        <v>91</v>
      </c>
      <c r="C438" s="5" t="s">
        <v>31</v>
      </c>
      <c r="D438" s="5"/>
      <c r="E438" s="5"/>
      <c r="F438" s="5" t="s">
        <v>842</v>
      </c>
    </row>
    <row r="439" spans="1:6" x14ac:dyDescent="0.3">
      <c r="A439" s="5"/>
      <c r="B439" s="5" t="s">
        <v>91</v>
      </c>
      <c r="C439" s="5" t="s">
        <v>32</v>
      </c>
      <c r="D439" s="5"/>
      <c r="E439" s="5"/>
      <c r="F439" s="5" t="s">
        <v>843</v>
      </c>
    </row>
    <row r="440" spans="1:6" x14ac:dyDescent="0.3">
      <c r="A440" s="5"/>
      <c r="B440" s="5" t="s">
        <v>92</v>
      </c>
      <c r="C440" s="5" t="s">
        <v>27</v>
      </c>
      <c r="D440" s="5" t="s">
        <v>767</v>
      </c>
      <c r="E440" s="5" t="s">
        <v>768</v>
      </c>
      <c r="F440" s="5" t="s">
        <v>844</v>
      </c>
    </row>
    <row r="441" spans="1:6" x14ac:dyDescent="0.3">
      <c r="A441" s="5"/>
      <c r="B441" s="5" t="s">
        <v>92</v>
      </c>
      <c r="C441" s="5" t="s">
        <v>28</v>
      </c>
      <c r="D441" s="5"/>
      <c r="E441" s="5"/>
      <c r="F441" s="5" t="s">
        <v>845</v>
      </c>
    </row>
    <row r="442" spans="1:6" x14ac:dyDescent="0.3">
      <c r="A442" s="5"/>
      <c r="B442" s="5" t="s">
        <v>92</v>
      </c>
      <c r="C442" s="5" t="s">
        <v>29</v>
      </c>
      <c r="D442" s="5"/>
      <c r="E442" s="5"/>
      <c r="F442" s="5" t="s">
        <v>846</v>
      </c>
    </row>
    <row r="443" spans="1:6" x14ac:dyDescent="0.3">
      <c r="A443" s="5"/>
      <c r="B443" s="5" t="s">
        <v>92</v>
      </c>
      <c r="C443" s="5" t="s">
        <v>30</v>
      </c>
      <c r="D443" s="5"/>
      <c r="E443" s="5"/>
      <c r="F443" s="5" t="s">
        <v>847</v>
      </c>
    </row>
    <row r="444" spans="1:6" x14ac:dyDescent="0.3">
      <c r="A444" s="5"/>
      <c r="B444" s="5" t="s">
        <v>92</v>
      </c>
      <c r="C444" s="5" t="s">
        <v>31</v>
      </c>
      <c r="D444" s="5"/>
      <c r="E444" s="5"/>
      <c r="F444" s="5" t="s">
        <v>848</v>
      </c>
    </row>
    <row r="445" spans="1:6" x14ac:dyDescent="0.3">
      <c r="A445" s="5"/>
      <c r="B445" s="5" t="s">
        <v>92</v>
      </c>
      <c r="C445" s="5" t="s">
        <v>32</v>
      </c>
      <c r="D445" s="5"/>
      <c r="E445" s="5"/>
      <c r="F445" s="5" t="s">
        <v>849</v>
      </c>
    </row>
    <row r="446" spans="1:6" x14ac:dyDescent="0.3">
      <c r="A446" s="5" t="s">
        <v>12</v>
      </c>
      <c r="B446" s="5" t="s">
        <v>93</v>
      </c>
      <c r="C446" s="5" t="s">
        <v>27</v>
      </c>
      <c r="D446" s="5" t="s">
        <v>769</v>
      </c>
      <c r="E446" s="5" t="s">
        <v>770</v>
      </c>
      <c r="F446" s="5" t="s">
        <v>790</v>
      </c>
    </row>
    <row r="447" spans="1:6" x14ac:dyDescent="0.3">
      <c r="A447" s="5"/>
      <c r="B447" s="5" t="s">
        <v>93</v>
      </c>
      <c r="C447" s="5" t="s">
        <v>28</v>
      </c>
      <c r="D447" s="5"/>
      <c r="E447" s="5"/>
      <c r="F447" s="5" t="s">
        <v>791</v>
      </c>
    </row>
    <row r="448" spans="1:6" x14ac:dyDescent="0.3">
      <c r="A448" s="5"/>
      <c r="B448" s="5" t="s">
        <v>93</v>
      </c>
      <c r="C448" s="5" t="s">
        <v>29</v>
      </c>
      <c r="D448" s="5"/>
      <c r="E448" s="5"/>
      <c r="F448" s="5" t="s">
        <v>792</v>
      </c>
    </row>
    <row r="449" spans="1:6" x14ac:dyDescent="0.3">
      <c r="A449" s="5"/>
      <c r="B449" s="5" t="s">
        <v>93</v>
      </c>
      <c r="C449" s="5" t="s">
        <v>30</v>
      </c>
      <c r="D449" s="5"/>
      <c r="E449" s="5"/>
      <c r="F449" s="5" t="s">
        <v>793</v>
      </c>
    </row>
    <row r="450" spans="1:6" x14ac:dyDescent="0.3">
      <c r="A450" s="5"/>
      <c r="B450" s="5" t="s">
        <v>93</v>
      </c>
      <c r="C450" s="5" t="s">
        <v>31</v>
      </c>
      <c r="D450" s="5"/>
      <c r="E450" s="5"/>
      <c r="F450" s="5" t="s">
        <v>794</v>
      </c>
    </row>
    <row r="451" spans="1:6" x14ac:dyDescent="0.3">
      <c r="A451" s="5"/>
      <c r="B451" s="5" t="s">
        <v>93</v>
      </c>
      <c r="C451" s="5" t="s">
        <v>32</v>
      </c>
      <c r="D451" s="5"/>
      <c r="E451" s="5"/>
      <c r="F451" s="5" t="s">
        <v>795</v>
      </c>
    </row>
    <row r="452" spans="1:6" x14ac:dyDescent="0.3">
      <c r="A452" s="5"/>
      <c r="B452" s="5" t="s">
        <v>94</v>
      </c>
      <c r="C452" s="5" t="s">
        <v>27</v>
      </c>
      <c r="D452" s="5" t="s">
        <v>771</v>
      </c>
      <c r="E452" s="5" t="s">
        <v>772</v>
      </c>
      <c r="F452" s="5" t="s">
        <v>796</v>
      </c>
    </row>
    <row r="453" spans="1:6" x14ac:dyDescent="0.3">
      <c r="A453" s="5"/>
      <c r="B453" s="5" t="s">
        <v>94</v>
      </c>
      <c r="C453" s="5" t="s">
        <v>28</v>
      </c>
      <c r="D453" s="5"/>
      <c r="E453" s="5"/>
      <c r="F453" s="5" t="s">
        <v>797</v>
      </c>
    </row>
    <row r="454" spans="1:6" x14ac:dyDescent="0.3">
      <c r="A454" s="5"/>
      <c r="B454" s="5" t="s">
        <v>94</v>
      </c>
      <c r="C454" s="5" t="s">
        <v>29</v>
      </c>
      <c r="D454" s="5"/>
      <c r="E454" s="5"/>
      <c r="F454" s="5" t="s">
        <v>798</v>
      </c>
    </row>
    <row r="455" spans="1:6" x14ac:dyDescent="0.3">
      <c r="A455" s="5"/>
      <c r="B455" s="5" t="s">
        <v>94</v>
      </c>
      <c r="C455" s="5" t="s">
        <v>30</v>
      </c>
      <c r="D455" s="5"/>
      <c r="E455" s="5"/>
      <c r="F455" s="5" t="s">
        <v>799</v>
      </c>
    </row>
    <row r="456" spans="1:6" x14ac:dyDescent="0.3">
      <c r="A456" s="5"/>
      <c r="B456" s="5" t="s">
        <v>94</v>
      </c>
      <c r="C456" s="5" t="s">
        <v>31</v>
      </c>
      <c r="D456" s="5"/>
      <c r="E456" s="5"/>
      <c r="F456" s="5" t="s">
        <v>800</v>
      </c>
    </row>
    <row r="457" spans="1:6" x14ac:dyDescent="0.3">
      <c r="A457" s="5"/>
      <c r="B457" s="5" t="s">
        <v>94</v>
      </c>
      <c r="C457" s="5" t="s">
        <v>32</v>
      </c>
      <c r="D457" s="5"/>
      <c r="E457" s="5"/>
      <c r="F457" s="5" t="s">
        <v>801</v>
      </c>
    </row>
    <row r="458" spans="1:6" x14ac:dyDescent="0.3">
      <c r="A458" s="5"/>
      <c r="B458" s="5" t="s">
        <v>95</v>
      </c>
      <c r="C458" s="5" t="s">
        <v>27</v>
      </c>
      <c r="D458" s="5" t="s">
        <v>773</v>
      </c>
      <c r="E458" s="5" t="s">
        <v>774</v>
      </c>
      <c r="F458" s="5" t="s">
        <v>802</v>
      </c>
    </row>
    <row r="459" spans="1:6" x14ac:dyDescent="0.3">
      <c r="A459" s="5"/>
      <c r="B459" s="5" t="s">
        <v>95</v>
      </c>
      <c r="C459" s="5" t="s">
        <v>28</v>
      </c>
      <c r="D459" s="5"/>
      <c r="E459" s="5"/>
      <c r="F459" s="5" t="s">
        <v>803</v>
      </c>
    </row>
    <row r="460" spans="1:6" x14ac:dyDescent="0.3">
      <c r="A460" s="5"/>
      <c r="B460" s="5" t="s">
        <v>95</v>
      </c>
      <c r="C460" s="5" t="s">
        <v>29</v>
      </c>
      <c r="D460" s="5"/>
      <c r="E460" s="5"/>
      <c r="F460" s="5" t="s">
        <v>804</v>
      </c>
    </row>
    <row r="461" spans="1:6" x14ac:dyDescent="0.3">
      <c r="A461" s="5"/>
      <c r="B461" s="5" t="s">
        <v>95</v>
      </c>
      <c r="C461" s="5" t="s">
        <v>30</v>
      </c>
      <c r="D461" s="5"/>
      <c r="E461" s="5"/>
      <c r="F461" s="5" t="s">
        <v>805</v>
      </c>
    </row>
    <row r="462" spans="1:6" x14ac:dyDescent="0.3">
      <c r="A462" s="5"/>
      <c r="B462" s="5" t="s">
        <v>95</v>
      </c>
      <c r="C462" s="5" t="s">
        <v>31</v>
      </c>
      <c r="D462" s="5"/>
      <c r="E462" s="5"/>
      <c r="F462" s="5" t="s">
        <v>806</v>
      </c>
    </row>
    <row r="463" spans="1:6" x14ac:dyDescent="0.3">
      <c r="A463" s="5"/>
      <c r="B463" s="5" t="s">
        <v>95</v>
      </c>
      <c r="C463" s="5" t="s">
        <v>32</v>
      </c>
      <c r="D463" s="5"/>
      <c r="E463" s="5"/>
      <c r="F463" s="5" t="s">
        <v>807</v>
      </c>
    </row>
    <row r="464" spans="1:6" x14ac:dyDescent="0.3">
      <c r="A464" s="5"/>
      <c r="B464" s="5" t="s">
        <v>96</v>
      </c>
      <c r="C464" s="5" t="s">
        <v>27</v>
      </c>
      <c r="D464" s="5" t="s">
        <v>775</v>
      </c>
      <c r="E464" s="5" t="s">
        <v>776</v>
      </c>
      <c r="F464" s="5" t="s">
        <v>808</v>
      </c>
    </row>
    <row r="465" spans="1:6" x14ac:dyDescent="0.3">
      <c r="A465" s="5"/>
      <c r="B465" s="5" t="s">
        <v>96</v>
      </c>
      <c r="C465" s="5" t="s">
        <v>28</v>
      </c>
      <c r="D465" s="5"/>
      <c r="E465" s="5"/>
      <c r="F465" s="5" t="s">
        <v>809</v>
      </c>
    </row>
    <row r="466" spans="1:6" x14ac:dyDescent="0.3">
      <c r="A466" s="5"/>
      <c r="B466" s="5" t="s">
        <v>96</v>
      </c>
      <c r="C466" s="5" t="s">
        <v>29</v>
      </c>
      <c r="D466" s="5"/>
      <c r="E466" s="5"/>
      <c r="F466" s="5" t="s">
        <v>810</v>
      </c>
    </row>
    <row r="467" spans="1:6" x14ac:dyDescent="0.3">
      <c r="A467" s="5"/>
      <c r="B467" s="5" t="s">
        <v>96</v>
      </c>
      <c r="C467" s="5" t="s">
        <v>30</v>
      </c>
      <c r="D467" s="5"/>
      <c r="E467" s="5"/>
      <c r="F467" s="5" t="s">
        <v>811</v>
      </c>
    </row>
    <row r="468" spans="1:6" x14ac:dyDescent="0.3">
      <c r="A468" s="5"/>
      <c r="B468" s="5" t="s">
        <v>96</v>
      </c>
      <c r="C468" s="5" t="s">
        <v>31</v>
      </c>
      <c r="D468" s="5"/>
      <c r="E468" s="5"/>
      <c r="F468" s="5" t="s">
        <v>812</v>
      </c>
    </row>
    <row r="469" spans="1:6" x14ac:dyDescent="0.3">
      <c r="A469" s="5"/>
      <c r="B469" s="5" t="s">
        <v>96</v>
      </c>
      <c r="C469" s="5" t="s">
        <v>32</v>
      </c>
      <c r="D469" s="5"/>
      <c r="E469" s="5"/>
      <c r="F469" s="5" t="s">
        <v>813</v>
      </c>
    </row>
    <row r="470" spans="1:6" x14ac:dyDescent="0.3">
      <c r="A470" s="5"/>
      <c r="B470" s="5" t="s">
        <v>97</v>
      </c>
      <c r="C470" s="5" t="s">
        <v>27</v>
      </c>
      <c r="D470" s="5" t="s">
        <v>777</v>
      </c>
      <c r="E470" s="5" t="s">
        <v>778</v>
      </c>
      <c r="F470" s="5" t="s">
        <v>814</v>
      </c>
    </row>
    <row r="471" spans="1:6" x14ac:dyDescent="0.3">
      <c r="A471" s="5"/>
      <c r="B471" s="5" t="s">
        <v>97</v>
      </c>
      <c r="C471" s="5" t="s">
        <v>28</v>
      </c>
      <c r="D471" s="5"/>
      <c r="E471" s="5"/>
      <c r="F471" s="5" t="s">
        <v>815</v>
      </c>
    </row>
    <row r="472" spans="1:6" x14ac:dyDescent="0.3">
      <c r="A472" s="5"/>
      <c r="B472" s="5" t="s">
        <v>97</v>
      </c>
      <c r="C472" s="5" t="s">
        <v>29</v>
      </c>
      <c r="D472" s="5"/>
      <c r="E472" s="5"/>
      <c r="F472" s="5" t="s">
        <v>816</v>
      </c>
    </row>
    <row r="473" spans="1:6" x14ac:dyDescent="0.3">
      <c r="A473" s="5"/>
      <c r="B473" s="5" t="s">
        <v>97</v>
      </c>
      <c r="C473" s="5" t="s">
        <v>30</v>
      </c>
      <c r="D473" s="5"/>
      <c r="E473" s="5"/>
      <c r="F473" s="5" t="s">
        <v>817</v>
      </c>
    </row>
    <row r="474" spans="1:6" x14ac:dyDescent="0.3">
      <c r="A474" s="5"/>
      <c r="B474" s="5" t="s">
        <v>97</v>
      </c>
      <c r="C474" s="5" t="s">
        <v>31</v>
      </c>
      <c r="D474" s="5"/>
      <c r="E474" s="5"/>
      <c r="F474" s="5" t="s">
        <v>818</v>
      </c>
    </row>
    <row r="475" spans="1:6" x14ac:dyDescent="0.3">
      <c r="A475" s="5"/>
      <c r="B475" s="5" t="s">
        <v>97</v>
      </c>
      <c r="C475" s="5" t="s">
        <v>32</v>
      </c>
      <c r="D475" s="5"/>
      <c r="E475" s="5"/>
      <c r="F475" s="5" t="s">
        <v>819</v>
      </c>
    </row>
    <row r="476" spans="1:6" x14ac:dyDescent="0.3">
      <c r="A476" s="5"/>
      <c r="B476" s="5" t="s">
        <v>98</v>
      </c>
      <c r="C476" s="5" t="s">
        <v>27</v>
      </c>
      <c r="D476" s="5" t="s">
        <v>779</v>
      </c>
      <c r="E476" s="5" t="s">
        <v>780</v>
      </c>
      <c r="F476" s="5" t="s">
        <v>820</v>
      </c>
    </row>
    <row r="477" spans="1:6" x14ac:dyDescent="0.3">
      <c r="A477" s="5"/>
      <c r="B477" s="5" t="s">
        <v>98</v>
      </c>
      <c r="C477" s="5" t="s">
        <v>28</v>
      </c>
      <c r="D477" s="5"/>
      <c r="E477" s="5"/>
      <c r="F477" s="5" t="s">
        <v>821</v>
      </c>
    </row>
    <row r="478" spans="1:6" x14ac:dyDescent="0.3">
      <c r="A478" s="5"/>
      <c r="B478" s="5" t="s">
        <v>98</v>
      </c>
      <c r="C478" s="5" t="s">
        <v>29</v>
      </c>
      <c r="D478" s="5"/>
      <c r="E478" s="5"/>
      <c r="F478" s="5" t="s">
        <v>822</v>
      </c>
    </row>
    <row r="479" spans="1:6" x14ac:dyDescent="0.3">
      <c r="A479" s="5"/>
      <c r="B479" s="5" t="s">
        <v>98</v>
      </c>
      <c r="C479" s="5" t="s">
        <v>30</v>
      </c>
      <c r="D479" s="5"/>
      <c r="E479" s="5"/>
      <c r="F479" s="5" t="s">
        <v>823</v>
      </c>
    </row>
    <row r="480" spans="1:6" x14ac:dyDescent="0.3">
      <c r="A480" s="5"/>
      <c r="B480" s="5" t="s">
        <v>98</v>
      </c>
      <c r="C480" s="5" t="s">
        <v>31</v>
      </c>
      <c r="D480" s="5"/>
      <c r="E480" s="5"/>
      <c r="F480" s="5" t="s">
        <v>824</v>
      </c>
    </row>
    <row r="481" spans="1:6" x14ac:dyDescent="0.3">
      <c r="A481" s="5"/>
      <c r="B481" s="5" t="s">
        <v>98</v>
      </c>
      <c r="C481" s="5" t="s">
        <v>32</v>
      </c>
      <c r="D481" s="5"/>
      <c r="E481" s="5"/>
      <c r="F481" s="5" t="s">
        <v>825</v>
      </c>
    </row>
    <row r="482" spans="1:6" x14ac:dyDescent="0.3">
      <c r="A482" s="5"/>
      <c r="B482" s="5" t="s">
        <v>99</v>
      </c>
      <c r="C482" s="5" t="s">
        <v>27</v>
      </c>
      <c r="D482" s="5" t="s">
        <v>781</v>
      </c>
      <c r="E482" s="5" t="s">
        <v>782</v>
      </c>
      <c r="F482" s="5" t="s">
        <v>826</v>
      </c>
    </row>
    <row r="483" spans="1:6" x14ac:dyDescent="0.3">
      <c r="A483" s="5"/>
      <c r="B483" s="5" t="s">
        <v>99</v>
      </c>
      <c r="C483" s="5" t="s">
        <v>28</v>
      </c>
      <c r="D483" s="5"/>
      <c r="E483" s="5"/>
      <c r="F483" s="5" t="s">
        <v>827</v>
      </c>
    </row>
    <row r="484" spans="1:6" x14ac:dyDescent="0.3">
      <c r="A484" s="5"/>
      <c r="B484" s="5" t="s">
        <v>99</v>
      </c>
      <c r="C484" s="5" t="s">
        <v>29</v>
      </c>
      <c r="D484" s="5"/>
      <c r="E484" s="5"/>
      <c r="F484" s="5" t="s">
        <v>828</v>
      </c>
    </row>
    <row r="485" spans="1:6" x14ac:dyDescent="0.3">
      <c r="A485" s="5"/>
      <c r="B485" s="5" t="s">
        <v>99</v>
      </c>
      <c r="C485" s="5" t="s">
        <v>30</v>
      </c>
      <c r="D485" s="5"/>
      <c r="E485" s="5"/>
      <c r="F485" s="5" t="s">
        <v>829</v>
      </c>
    </row>
    <row r="486" spans="1:6" x14ac:dyDescent="0.3">
      <c r="A486" s="5"/>
      <c r="B486" s="5" t="s">
        <v>99</v>
      </c>
      <c r="C486" s="5" t="s">
        <v>31</v>
      </c>
      <c r="D486" s="5"/>
      <c r="E486" s="5"/>
      <c r="F486" s="5" t="s">
        <v>830</v>
      </c>
    </row>
    <row r="487" spans="1:6" x14ac:dyDescent="0.3">
      <c r="A487" s="5"/>
      <c r="B487" s="5" t="s">
        <v>99</v>
      </c>
      <c r="C487" s="5" t="s">
        <v>32</v>
      </c>
      <c r="D487" s="5"/>
      <c r="E487" s="5"/>
      <c r="F487" s="5" t="s">
        <v>831</v>
      </c>
    </row>
    <row r="488" spans="1:6" x14ac:dyDescent="0.3">
      <c r="A488" s="5"/>
      <c r="B488" s="5" t="s">
        <v>100</v>
      </c>
      <c r="C488" s="5" t="s">
        <v>27</v>
      </c>
      <c r="D488" s="5" t="s">
        <v>783</v>
      </c>
      <c r="E488" s="5" t="s">
        <v>784</v>
      </c>
      <c r="F488" s="5" t="s">
        <v>832</v>
      </c>
    </row>
    <row r="489" spans="1:6" x14ac:dyDescent="0.3">
      <c r="A489" s="5"/>
      <c r="B489" s="5" t="s">
        <v>100</v>
      </c>
      <c r="C489" s="5" t="s">
        <v>28</v>
      </c>
      <c r="D489" s="5"/>
      <c r="E489" s="5"/>
      <c r="F489" s="5" t="s">
        <v>833</v>
      </c>
    </row>
    <row r="490" spans="1:6" x14ac:dyDescent="0.3">
      <c r="A490" s="5"/>
      <c r="B490" s="5" t="s">
        <v>100</v>
      </c>
      <c r="C490" s="5" t="s">
        <v>29</v>
      </c>
      <c r="D490" s="5"/>
      <c r="E490" s="5"/>
      <c r="F490" s="5" t="s">
        <v>834</v>
      </c>
    </row>
    <row r="491" spans="1:6" x14ac:dyDescent="0.3">
      <c r="A491" s="5"/>
      <c r="B491" s="5" t="s">
        <v>100</v>
      </c>
      <c r="C491" s="5" t="s">
        <v>30</v>
      </c>
      <c r="D491" s="5"/>
      <c r="E491" s="5"/>
      <c r="F491" s="5" t="s">
        <v>835</v>
      </c>
    </row>
    <row r="492" spans="1:6" x14ac:dyDescent="0.3">
      <c r="A492" s="5"/>
      <c r="B492" s="5" t="s">
        <v>100</v>
      </c>
      <c r="C492" s="5" t="s">
        <v>31</v>
      </c>
      <c r="D492" s="5"/>
      <c r="E492" s="5"/>
      <c r="F492" s="5" t="s">
        <v>836</v>
      </c>
    </row>
    <row r="493" spans="1:6" x14ac:dyDescent="0.3">
      <c r="A493" s="5"/>
      <c r="B493" s="5" t="s">
        <v>100</v>
      </c>
      <c r="C493" s="5" t="s">
        <v>32</v>
      </c>
      <c r="D493" s="5"/>
      <c r="E493" s="5"/>
      <c r="F493" s="5" t="s">
        <v>837</v>
      </c>
    </row>
    <row r="494" spans="1:6" x14ac:dyDescent="0.3">
      <c r="A494" s="5"/>
      <c r="B494" s="5" t="s">
        <v>101</v>
      </c>
      <c r="C494" s="5" t="s">
        <v>27</v>
      </c>
      <c r="D494" s="5" t="s">
        <v>785</v>
      </c>
      <c r="E494" s="5" t="s">
        <v>786</v>
      </c>
      <c r="F494" s="5" t="s">
        <v>838</v>
      </c>
    </row>
    <row r="495" spans="1:6" x14ac:dyDescent="0.3">
      <c r="A495" s="5"/>
      <c r="B495" s="5" t="s">
        <v>101</v>
      </c>
      <c r="C495" s="5" t="s">
        <v>28</v>
      </c>
      <c r="D495" s="5"/>
      <c r="E495" s="5"/>
      <c r="F495" s="5" t="s">
        <v>839</v>
      </c>
    </row>
    <row r="496" spans="1:6" x14ac:dyDescent="0.3">
      <c r="A496" s="5"/>
      <c r="B496" s="5" t="s">
        <v>101</v>
      </c>
      <c r="C496" s="5" t="s">
        <v>29</v>
      </c>
      <c r="D496" s="5"/>
      <c r="E496" s="5"/>
      <c r="F496" s="5" t="s">
        <v>840</v>
      </c>
    </row>
    <row r="497" spans="1:6" x14ac:dyDescent="0.3">
      <c r="A497" s="5"/>
      <c r="B497" s="5" t="s">
        <v>101</v>
      </c>
      <c r="C497" s="5" t="s">
        <v>30</v>
      </c>
      <c r="D497" s="5"/>
      <c r="E497" s="5"/>
      <c r="F497" s="5" t="s">
        <v>841</v>
      </c>
    </row>
    <row r="498" spans="1:6" x14ac:dyDescent="0.3">
      <c r="A498" s="5"/>
      <c r="B498" s="5" t="s">
        <v>101</v>
      </c>
      <c r="C498" s="5" t="s">
        <v>31</v>
      </c>
      <c r="D498" s="5"/>
      <c r="E498" s="5"/>
      <c r="F498" s="5" t="s">
        <v>842</v>
      </c>
    </row>
    <row r="499" spans="1:6" x14ac:dyDescent="0.3">
      <c r="A499" s="5"/>
      <c r="B499" s="5" t="s">
        <v>101</v>
      </c>
      <c r="C499" s="5" t="s">
        <v>32</v>
      </c>
      <c r="D499" s="5"/>
      <c r="E499" s="5"/>
      <c r="F499" s="5" t="s">
        <v>843</v>
      </c>
    </row>
    <row r="500" spans="1:6" x14ac:dyDescent="0.3">
      <c r="A500" s="5"/>
      <c r="B500" s="5" t="s">
        <v>102</v>
      </c>
      <c r="C500" s="5" t="s">
        <v>27</v>
      </c>
      <c r="D500" s="5" t="s">
        <v>787</v>
      </c>
      <c r="E500" s="5" t="s">
        <v>788</v>
      </c>
      <c r="F500" s="5" t="s">
        <v>844</v>
      </c>
    </row>
    <row r="501" spans="1:6" x14ac:dyDescent="0.3">
      <c r="A501" s="5"/>
      <c r="B501" s="5" t="s">
        <v>102</v>
      </c>
      <c r="C501" s="5" t="s">
        <v>28</v>
      </c>
      <c r="D501" s="5"/>
      <c r="E501" s="5"/>
      <c r="F501" s="5" t="s">
        <v>845</v>
      </c>
    </row>
    <row r="502" spans="1:6" x14ac:dyDescent="0.3">
      <c r="A502" s="5"/>
      <c r="B502" s="5" t="s">
        <v>102</v>
      </c>
      <c r="C502" s="5" t="s">
        <v>29</v>
      </c>
      <c r="D502" s="5"/>
      <c r="E502" s="5"/>
      <c r="F502" s="5" t="s">
        <v>846</v>
      </c>
    </row>
    <row r="503" spans="1:6" x14ac:dyDescent="0.3">
      <c r="A503" s="5"/>
      <c r="B503" s="5" t="s">
        <v>102</v>
      </c>
      <c r="C503" s="5" t="s">
        <v>30</v>
      </c>
      <c r="D503" s="5"/>
      <c r="E503" s="5"/>
      <c r="F503" s="5" t="s">
        <v>847</v>
      </c>
    </row>
    <row r="504" spans="1:6" x14ac:dyDescent="0.3">
      <c r="A504" s="5"/>
      <c r="B504" s="5" t="s">
        <v>102</v>
      </c>
      <c r="C504" s="5" t="s">
        <v>31</v>
      </c>
      <c r="D504" s="5"/>
      <c r="E504" s="5"/>
      <c r="F504" s="5" t="s">
        <v>848</v>
      </c>
    </row>
    <row r="505" spans="1:6" x14ac:dyDescent="0.3">
      <c r="A505" s="5"/>
      <c r="B505" s="5" t="s">
        <v>102</v>
      </c>
      <c r="C505" s="5" t="s">
        <v>32</v>
      </c>
      <c r="D505" s="5"/>
      <c r="E505" s="5"/>
      <c r="F505" s="5" t="s">
        <v>849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5BA9-F0F0-4C3D-83A8-BED9E45862F1}">
  <sheetPr>
    <tabColor theme="4"/>
  </sheetPr>
  <dimension ref="A1:I101"/>
  <sheetViews>
    <sheetView workbookViewId="0">
      <pane ySplit="1" topLeftCell="A59" activePane="bottomLeft" state="frozen"/>
      <selection activeCell="H3" sqref="H3"/>
      <selection pane="bottomLeft" activeCell="H3" sqref="H3"/>
    </sheetView>
  </sheetViews>
  <sheetFormatPr defaultRowHeight="14.4" x14ac:dyDescent="0.3"/>
  <cols>
    <col min="1" max="1" width="8" bestFit="1" customWidth="1"/>
    <col min="2" max="2" width="16.33203125" bestFit="1" customWidth="1"/>
    <col min="3" max="3" width="30.77734375" bestFit="1" customWidth="1"/>
    <col min="4" max="4" width="20.21875" bestFit="1" customWidth="1"/>
    <col min="5" max="5" width="13.5546875" bestFit="1" customWidth="1"/>
    <col min="6" max="6" width="15.77734375" bestFit="1" customWidth="1"/>
    <col min="7" max="7" width="12.21875" bestFit="1" customWidth="1"/>
    <col min="8" max="8" width="6.5546875" bestFit="1" customWidth="1"/>
    <col min="9" max="9" width="10.33203125" bestFit="1" customWidth="1"/>
  </cols>
  <sheetData>
    <row r="1" spans="1:9" x14ac:dyDescent="0.3">
      <c r="A1" s="17" t="s">
        <v>935</v>
      </c>
      <c r="B1" s="17" t="s">
        <v>864</v>
      </c>
      <c r="C1" s="17" t="s">
        <v>865</v>
      </c>
      <c r="D1" s="17" t="s">
        <v>936</v>
      </c>
      <c r="E1" s="17" t="s">
        <v>1</v>
      </c>
      <c r="F1" s="17" t="s">
        <v>937</v>
      </c>
      <c r="G1" s="17" t="s">
        <v>938</v>
      </c>
      <c r="H1" s="17" t="s">
        <v>112</v>
      </c>
      <c r="I1" s="17" t="s">
        <v>939</v>
      </c>
    </row>
    <row r="2" spans="1:9" x14ac:dyDescent="0.3">
      <c r="A2" s="5" t="s">
        <v>940</v>
      </c>
      <c r="B2" s="5" t="s">
        <v>941</v>
      </c>
      <c r="C2" s="5" t="s">
        <v>942</v>
      </c>
      <c r="D2" s="5" t="s">
        <v>943</v>
      </c>
      <c r="E2" s="5" t="s">
        <v>9</v>
      </c>
      <c r="F2" s="5" t="s">
        <v>944</v>
      </c>
      <c r="G2" s="5" t="s">
        <v>945</v>
      </c>
      <c r="H2" s="5" t="s">
        <v>874</v>
      </c>
      <c r="I2" s="6">
        <v>46198</v>
      </c>
    </row>
    <row r="3" spans="1:9" x14ac:dyDescent="0.3">
      <c r="A3" s="5" t="s">
        <v>946</v>
      </c>
      <c r="B3" s="5" t="s">
        <v>947</v>
      </c>
      <c r="C3" s="5" t="s">
        <v>948</v>
      </c>
      <c r="D3" s="5" t="s">
        <v>943</v>
      </c>
      <c r="E3" s="5" t="s">
        <v>9</v>
      </c>
      <c r="F3" s="5" t="s">
        <v>944</v>
      </c>
      <c r="G3" s="5" t="s">
        <v>945</v>
      </c>
      <c r="H3" s="5" t="s">
        <v>874</v>
      </c>
      <c r="I3" s="6">
        <v>46198</v>
      </c>
    </row>
    <row r="4" spans="1:9" x14ac:dyDescent="0.3">
      <c r="A4" s="5" t="s">
        <v>949</v>
      </c>
      <c r="B4" s="5" t="s">
        <v>950</v>
      </c>
      <c r="C4" s="5" t="s">
        <v>951</v>
      </c>
      <c r="D4" s="5" t="s">
        <v>943</v>
      </c>
      <c r="E4" s="5" t="s">
        <v>9</v>
      </c>
      <c r="F4" s="5" t="s">
        <v>944</v>
      </c>
      <c r="G4" s="5" t="s">
        <v>945</v>
      </c>
      <c r="H4" s="5" t="s">
        <v>874</v>
      </c>
      <c r="I4" s="6">
        <v>46197</v>
      </c>
    </row>
    <row r="5" spans="1:9" x14ac:dyDescent="0.3">
      <c r="A5" s="5" t="s">
        <v>952</v>
      </c>
      <c r="B5" s="5" t="s">
        <v>953</v>
      </c>
      <c r="C5" s="5" t="s">
        <v>954</v>
      </c>
      <c r="D5" s="5" t="s">
        <v>943</v>
      </c>
      <c r="E5" s="5" t="s">
        <v>9</v>
      </c>
      <c r="F5" s="5" t="s">
        <v>944</v>
      </c>
      <c r="G5" s="5" t="s">
        <v>945</v>
      </c>
      <c r="H5" s="5" t="s">
        <v>874</v>
      </c>
      <c r="I5" s="6">
        <v>46198</v>
      </c>
    </row>
    <row r="6" spans="1:9" x14ac:dyDescent="0.3">
      <c r="A6" s="5" t="s">
        <v>955</v>
      </c>
      <c r="B6" s="5" t="s">
        <v>956</v>
      </c>
      <c r="C6" s="5" t="s">
        <v>957</v>
      </c>
      <c r="D6" s="5" t="s">
        <v>943</v>
      </c>
      <c r="E6" s="5" t="s">
        <v>9</v>
      </c>
      <c r="F6" s="5" t="s">
        <v>944</v>
      </c>
      <c r="G6" s="5" t="s">
        <v>945</v>
      </c>
      <c r="H6" s="5" t="s">
        <v>874</v>
      </c>
      <c r="I6" s="6">
        <v>46197</v>
      </c>
    </row>
    <row r="7" spans="1:9" x14ac:dyDescent="0.3">
      <c r="A7" s="5" t="s">
        <v>958</v>
      </c>
      <c r="B7" s="5" t="s">
        <v>959</v>
      </c>
      <c r="C7" s="5" t="s">
        <v>960</v>
      </c>
      <c r="D7" s="5" t="s">
        <v>943</v>
      </c>
      <c r="E7" s="5" t="s">
        <v>9</v>
      </c>
      <c r="F7" s="5" t="s">
        <v>944</v>
      </c>
      <c r="G7" s="5" t="s">
        <v>945</v>
      </c>
      <c r="H7" s="5" t="s">
        <v>874</v>
      </c>
      <c r="I7" s="6">
        <v>46198</v>
      </c>
    </row>
    <row r="8" spans="1:9" x14ac:dyDescent="0.3">
      <c r="A8" s="5" t="s">
        <v>961</v>
      </c>
      <c r="B8" s="5" t="s">
        <v>962</v>
      </c>
      <c r="C8" s="5" t="s">
        <v>963</v>
      </c>
      <c r="D8" s="5" t="s">
        <v>943</v>
      </c>
      <c r="E8" s="5" t="s">
        <v>9</v>
      </c>
      <c r="F8" s="5" t="s">
        <v>944</v>
      </c>
      <c r="G8" s="5" t="s">
        <v>945</v>
      </c>
      <c r="H8" s="5" t="s">
        <v>874</v>
      </c>
      <c r="I8" s="6">
        <v>46196</v>
      </c>
    </row>
    <row r="9" spans="1:9" x14ac:dyDescent="0.3">
      <c r="A9" s="5" t="s">
        <v>964</v>
      </c>
      <c r="B9" s="5" t="s">
        <v>965</v>
      </c>
      <c r="C9" s="5" t="s">
        <v>966</v>
      </c>
      <c r="D9" s="5" t="s">
        <v>943</v>
      </c>
      <c r="E9" s="5" t="s">
        <v>9</v>
      </c>
      <c r="F9" s="5" t="s">
        <v>944</v>
      </c>
      <c r="G9" s="5" t="s">
        <v>945</v>
      </c>
      <c r="H9" s="5" t="s">
        <v>874</v>
      </c>
      <c r="I9" s="6">
        <v>46198</v>
      </c>
    </row>
    <row r="10" spans="1:9" x14ac:dyDescent="0.3">
      <c r="A10" s="5" t="s">
        <v>967</v>
      </c>
      <c r="B10" s="5" t="s">
        <v>968</v>
      </c>
      <c r="C10" s="5" t="s">
        <v>969</v>
      </c>
      <c r="D10" s="5" t="s">
        <v>943</v>
      </c>
      <c r="E10" s="5" t="s">
        <v>9</v>
      </c>
      <c r="F10" s="5" t="s">
        <v>944</v>
      </c>
      <c r="G10" s="5" t="s">
        <v>945</v>
      </c>
      <c r="H10" s="5" t="s">
        <v>874</v>
      </c>
      <c r="I10" s="6">
        <v>46197</v>
      </c>
    </row>
    <row r="11" spans="1:9" x14ac:dyDescent="0.3">
      <c r="A11" s="5" t="s">
        <v>970</v>
      </c>
      <c r="B11" s="5" t="s">
        <v>971</v>
      </c>
      <c r="C11" s="5" t="s">
        <v>972</v>
      </c>
      <c r="D11" s="5" t="s">
        <v>943</v>
      </c>
      <c r="E11" s="5" t="s">
        <v>9</v>
      </c>
      <c r="F11" s="5" t="s">
        <v>944</v>
      </c>
      <c r="G11" s="5" t="s">
        <v>945</v>
      </c>
      <c r="H11" s="5" t="s">
        <v>874</v>
      </c>
      <c r="I11" s="6">
        <v>46198</v>
      </c>
    </row>
    <row r="12" spans="1:9" x14ac:dyDescent="0.3">
      <c r="A12" s="5" t="s">
        <v>973</v>
      </c>
      <c r="B12" s="5" t="s">
        <v>974</v>
      </c>
      <c r="C12" s="5" t="s">
        <v>975</v>
      </c>
      <c r="D12" s="5" t="s">
        <v>943</v>
      </c>
      <c r="E12" s="5" t="s">
        <v>9</v>
      </c>
      <c r="F12" s="5" t="s">
        <v>944</v>
      </c>
      <c r="G12" s="5" t="s">
        <v>945</v>
      </c>
      <c r="H12" s="5" t="s">
        <v>874</v>
      </c>
      <c r="I12" s="6">
        <v>46195</v>
      </c>
    </row>
    <row r="13" spans="1:9" x14ac:dyDescent="0.3">
      <c r="A13" s="5" t="s">
        <v>976</v>
      </c>
      <c r="B13" s="5" t="s">
        <v>977</v>
      </c>
      <c r="C13" s="5" t="s">
        <v>978</v>
      </c>
      <c r="D13" s="5" t="s">
        <v>943</v>
      </c>
      <c r="E13" s="5" t="s">
        <v>9</v>
      </c>
      <c r="F13" s="5" t="s">
        <v>944</v>
      </c>
      <c r="G13" s="5" t="s">
        <v>945</v>
      </c>
      <c r="H13" s="5" t="s">
        <v>874</v>
      </c>
      <c r="I13" s="6">
        <v>46198</v>
      </c>
    </row>
    <row r="14" spans="1:9" x14ac:dyDescent="0.3">
      <c r="A14" s="5" t="s">
        <v>979</v>
      </c>
      <c r="B14" s="5" t="s">
        <v>980</v>
      </c>
      <c r="C14" s="5" t="s">
        <v>981</v>
      </c>
      <c r="D14" s="5" t="s">
        <v>982</v>
      </c>
      <c r="E14" s="5" t="s">
        <v>983</v>
      </c>
      <c r="F14" s="5" t="s">
        <v>984</v>
      </c>
      <c r="G14" s="5" t="s">
        <v>496</v>
      </c>
      <c r="H14" s="5" t="s">
        <v>874</v>
      </c>
      <c r="I14" s="6">
        <v>46198</v>
      </c>
    </row>
    <row r="15" spans="1:9" x14ac:dyDescent="0.3">
      <c r="A15" s="5" t="s">
        <v>985</v>
      </c>
      <c r="B15" s="5" t="s">
        <v>986</v>
      </c>
      <c r="C15" s="5" t="s">
        <v>987</v>
      </c>
      <c r="D15" s="5" t="s">
        <v>982</v>
      </c>
      <c r="E15" s="5" t="s">
        <v>983</v>
      </c>
      <c r="F15" s="5" t="s">
        <v>984</v>
      </c>
      <c r="G15" s="5" t="s">
        <v>496</v>
      </c>
      <c r="H15" s="5" t="s">
        <v>874</v>
      </c>
      <c r="I15" s="6">
        <v>46198</v>
      </c>
    </row>
    <row r="16" spans="1:9" x14ac:dyDescent="0.3">
      <c r="A16" s="5" t="s">
        <v>988</v>
      </c>
      <c r="B16" s="5" t="s">
        <v>989</v>
      </c>
      <c r="C16" s="5" t="s">
        <v>990</v>
      </c>
      <c r="D16" s="5" t="s">
        <v>982</v>
      </c>
      <c r="E16" s="5" t="s">
        <v>983</v>
      </c>
      <c r="F16" s="5" t="s">
        <v>984</v>
      </c>
      <c r="G16" s="5" t="s">
        <v>496</v>
      </c>
      <c r="H16" s="5" t="s">
        <v>874</v>
      </c>
      <c r="I16" s="6">
        <v>46197</v>
      </c>
    </row>
    <row r="17" spans="1:9" x14ac:dyDescent="0.3">
      <c r="A17" s="5" t="s">
        <v>991</v>
      </c>
      <c r="B17" s="5" t="s">
        <v>992</v>
      </c>
      <c r="C17" s="5" t="s">
        <v>993</v>
      </c>
      <c r="D17" s="5" t="s">
        <v>982</v>
      </c>
      <c r="E17" s="5" t="s">
        <v>983</v>
      </c>
      <c r="F17" s="5" t="s">
        <v>984</v>
      </c>
      <c r="G17" s="5" t="s">
        <v>496</v>
      </c>
      <c r="H17" s="5" t="s">
        <v>874</v>
      </c>
      <c r="I17" s="6">
        <v>46198</v>
      </c>
    </row>
    <row r="18" spans="1:9" x14ac:dyDescent="0.3">
      <c r="A18" s="5" t="s">
        <v>994</v>
      </c>
      <c r="B18" s="5" t="s">
        <v>995</v>
      </c>
      <c r="C18" s="5" t="s">
        <v>996</v>
      </c>
      <c r="D18" s="5" t="s">
        <v>982</v>
      </c>
      <c r="E18" s="5" t="s">
        <v>983</v>
      </c>
      <c r="F18" s="5" t="s">
        <v>984</v>
      </c>
      <c r="G18" s="5" t="s">
        <v>496</v>
      </c>
      <c r="H18" s="5" t="s">
        <v>874</v>
      </c>
      <c r="I18" s="6">
        <v>46196</v>
      </c>
    </row>
    <row r="19" spans="1:9" x14ac:dyDescent="0.3">
      <c r="A19" s="5" t="s">
        <v>997</v>
      </c>
      <c r="B19" s="5" t="s">
        <v>998</v>
      </c>
      <c r="C19" s="5" t="s">
        <v>999</v>
      </c>
      <c r="D19" s="5" t="s">
        <v>982</v>
      </c>
      <c r="E19" s="5" t="s">
        <v>983</v>
      </c>
      <c r="F19" s="5" t="s">
        <v>984</v>
      </c>
      <c r="G19" s="5" t="s">
        <v>496</v>
      </c>
      <c r="H19" s="5" t="s">
        <v>874</v>
      </c>
      <c r="I19" s="6">
        <v>46198</v>
      </c>
    </row>
    <row r="20" spans="1:9" x14ac:dyDescent="0.3">
      <c r="A20" s="5" t="s">
        <v>1000</v>
      </c>
      <c r="B20" s="5" t="s">
        <v>1001</v>
      </c>
      <c r="C20" s="5" t="s">
        <v>1002</v>
      </c>
      <c r="D20" s="5" t="s">
        <v>982</v>
      </c>
      <c r="E20" s="5" t="s">
        <v>983</v>
      </c>
      <c r="F20" s="5" t="s">
        <v>984</v>
      </c>
      <c r="G20" s="5" t="s">
        <v>496</v>
      </c>
      <c r="H20" s="5" t="s">
        <v>874</v>
      </c>
      <c r="I20" s="6">
        <v>46197</v>
      </c>
    </row>
    <row r="21" spans="1:9" x14ac:dyDescent="0.3">
      <c r="A21" s="5" t="s">
        <v>1003</v>
      </c>
      <c r="B21" s="5" t="s">
        <v>1004</v>
      </c>
      <c r="C21" s="5" t="s">
        <v>1005</v>
      </c>
      <c r="D21" s="5" t="s">
        <v>982</v>
      </c>
      <c r="E21" s="5" t="s">
        <v>983</v>
      </c>
      <c r="F21" s="5" t="s">
        <v>984</v>
      </c>
      <c r="G21" s="5" t="s">
        <v>496</v>
      </c>
      <c r="H21" s="5" t="s">
        <v>874</v>
      </c>
      <c r="I21" s="6">
        <v>46198</v>
      </c>
    </row>
    <row r="22" spans="1:9" x14ac:dyDescent="0.3">
      <c r="A22" s="5" t="s">
        <v>1006</v>
      </c>
      <c r="B22" s="5" t="s">
        <v>1007</v>
      </c>
      <c r="C22" s="5" t="s">
        <v>1008</v>
      </c>
      <c r="D22" s="5" t="s">
        <v>982</v>
      </c>
      <c r="E22" s="5" t="s">
        <v>983</v>
      </c>
      <c r="F22" s="5" t="s">
        <v>984</v>
      </c>
      <c r="G22" s="5" t="s">
        <v>496</v>
      </c>
      <c r="H22" s="5" t="s">
        <v>874</v>
      </c>
      <c r="I22" s="6">
        <v>46198</v>
      </c>
    </row>
    <row r="23" spans="1:9" x14ac:dyDescent="0.3">
      <c r="A23" s="5" t="s">
        <v>1009</v>
      </c>
      <c r="B23" s="5" t="s">
        <v>1010</v>
      </c>
      <c r="C23" s="5" t="s">
        <v>1011</v>
      </c>
      <c r="D23" s="5" t="s">
        <v>982</v>
      </c>
      <c r="E23" s="5" t="s">
        <v>983</v>
      </c>
      <c r="F23" s="5" t="s">
        <v>984</v>
      </c>
      <c r="G23" s="5" t="s">
        <v>496</v>
      </c>
      <c r="H23" s="5" t="s">
        <v>874</v>
      </c>
      <c r="I23" s="6">
        <v>46195</v>
      </c>
    </row>
    <row r="24" spans="1:9" x14ac:dyDescent="0.3">
      <c r="A24" s="5" t="s">
        <v>1012</v>
      </c>
      <c r="B24" s="5" t="s">
        <v>1013</v>
      </c>
      <c r="C24" s="5" t="s">
        <v>1014</v>
      </c>
      <c r="D24" s="5" t="s">
        <v>982</v>
      </c>
      <c r="E24" s="5" t="s">
        <v>983</v>
      </c>
      <c r="F24" s="5" t="s">
        <v>984</v>
      </c>
      <c r="G24" s="5" t="s">
        <v>496</v>
      </c>
      <c r="H24" s="5" t="s">
        <v>874</v>
      </c>
      <c r="I24" s="6">
        <v>46198</v>
      </c>
    </row>
    <row r="25" spans="1:9" x14ac:dyDescent="0.3">
      <c r="A25" s="5" t="s">
        <v>1015</v>
      </c>
      <c r="B25" s="5" t="s">
        <v>1016</v>
      </c>
      <c r="C25" s="5" t="s">
        <v>1017</v>
      </c>
      <c r="D25" s="5" t="s">
        <v>982</v>
      </c>
      <c r="E25" s="5" t="s">
        <v>983</v>
      </c>
      <c r="F25" s="5" t="s">
        <v>984</v>
      </c>
      <c r="G25" s="5" t="s">
        <v>496</v>
      </c>
      <c r="H25" s="5" t="s">
        <v>874</v>
      </c>
      <c r="I25" s="6">
        <v>46197</v>
      </c>
    </row>
    <row r="26" spans="1:9" x14ac:dyDescent="0.3">
      <c r="A26" s="5" t="s">
        <v>1018</v>
      </c>
      <c r="B26" s="5" t="s">
        <v>643</v>
      </c>
      <c r="C26" s="5" t="s">
        <v>1019</v>
      </c>
      <c r="D26" s="5" t="s">
        <v>1020</v>
      </c>
      <c r="E26" s="5" t="s">
        <v>1021</v>
      </c>
      <c r="F26" s="5" t="s">
        <v>1022</v>
      </c>
      <c r="G26" s="5" t="s">
        <v>496</v>
      </c>
      <c r="H26" s="5" t="s">
        <v>874</v>
      </c>
      <c r="I26" s="6">
        <v>46198</v>
      </c>
    </row>
    <row r="27" spans="1:9" x14ac:dyDescent="0.3">
      <c r="A27" s="5" t="s">
        <v>1023</v>
      </c>
      <c r="B27" s="5" t="s">
        <v>1024</v>
      </c>
      <c r="C27" s="5" t="s">
        <v>1025</v>
      </c>
      <c r="D27" s="5" t="s">
        <v>1020</v>
      </c>
      <c r="E27" s="5" t="s">
        <v>1021</v>
      </c>
      <c r="F27" s="5" t="s">
        <v>1022</v>
      </c>
      <c r="G27" s="5" t="s">
        <v>496</v>
      </c>
      <c r="H27" s="5" t="s">
        <v>874</v>
      </c>
      <c r="I27" s="6">
        <v>46198</v>
      </c>
    </row>
    <row r="28" spans="1:9" x14ac:dyDescent="0.3">
      <c r="A28" s="5" t="s">
        <v>1026</v>
      </c>
      <c r="B28" s="5" t="s">
        <v>1027</v>
      </c>
      <c r="C28" s="5" t="s">
        <v>1028</v>
      </c>
      <c r="D28" s="5" t="s">
        <v>1020</v>
      </c>
      <c r="E28" s="5" t="s">
        <v>1021</v>
      </c>
      <c r="F28" s="5" t="s">
        <v>1022</v>
      </c>
      <c r="G28" s="5" t="s">
        <v>496</v>
      </c>
      <c r="H28" s="5" t="s">
        <v>874</v>
      </c>
      <c r="I28" s="6">
        <v>46197</v>
      </c>
    </row>
    <row r="29" spans="1:9" x14ac:dyDescent="0.3">
      <c r="A29" s="5" t="s">
        <v>1029</v>
      </c>
      <c r="B29" s="5" t="s">
        <v>1030</v>
      </c>
      <c r="C29" s="5" t="s">
        <v>1031</v>
      </c>
      <c r="D29" s="5" t="s">
        <v>1020</v>
      </c>
      <c r="E29" s="5" t="s">
        <v>1021</v>
      </c>
      <c r="F29" s="5" t="s">
        <v>1022</v>
      </c>
      <c r="G29" s="5" t="s">
        <v>496</v>
      </c>
      <c r="H29" s="5" t="s">
        <v>874</v>
      </c>
      <c r="I29" s="6">
        <v>46198</v>
      </c>
    </row>
    <row r="30" spans="1:9" x14ac:dyDescent="0.3">
      <c r="A30" s="5" t="s">
        <v>1032</v>
      </c>
      <c r="B30" s="5" t="s">
        <v>1033</v>
      </c>
      <c r="C30" s="5" t="s">
        <v>1034</v>
      </c>
      <c r="D30" s="5" t="s">
        <v>1020</v>
      </c>
      <c r="E30" s="5" t="s">
        <v>1021</v>
      </c>
      <c r="F30" s="5" t="s">
        <v>1022</v>
      </c>
      <c r="G30" s="5" t="s">
        <v>496</v>
      </c>
      <c r="H30" s="5" t="s">
        <v>874</v>
      </c>
      <c r="I30" s="6">
        <v>46196</v>
      </c>
    </row>
    <row r="31" spans="1:9" x14ac:dyDescent="0.3">
      <c r="A31" s="5" t="s">
        <v>1035</v>
      </c>
      <c r="B31" s="5" t="s">
        <v>1036</v>
      </c>
      <c r="C31" s="5" t="s">
        <v>1037</v>
      </c>
      <c r="D31" s="5" t="s">
        <v>1020</v>
      </c>
      <c r="E31" s="5" t="s">
        <v>1021</v>
      </c>
      <c r="F31" s="5" t="s">
        <v>1022</v>
      </c>
      <c r="G31" s="5" t="s">
        <v>496</v>
      </c>
      <c r="H31" s="5" t="s">
        <v>874</v>
      </c>
      <c r="I31" s="6">
        <v>46198</v>
      </c>
    </row>
    <row r="32" spans="1:9" x14ac:dyDescent="0.3">
      <c r="A32" s="5" t="s">
        <v>1038</v>
      </c>
      <c r="B32" s="5" t="s">
        <v>1039</v>
      </c>
      <c r="C32" s="5" t="s">
        <v>1040</v>
      </c>
      <c r="D32" s="5" t="s">
        <v>1020</v>
      </c>
      <c r="E32" s="5" t="s">
        <v>1021</v>
      </c>
      <c r="F32" s="5" t="s">
        <v>1022</v>
      </c>
      <c r="G32" s="5" t="s">
        <v>496</v>
      </c>
      <c r="H32" s="5" t="s">
        <v>874</v>
      </c>
      <c r="I32" s="6">
        <v>46197</v>
      </c>
    </row>
    <row r="33" spans="1:9" x14ac:dyDescent="0.3">
      <c r="A33" s="5" t="s">
        <v>1041</v>
      </c>
      <c r="B33" s="5" t="s">
        <v>1042</v>
      </c>
      <c r="C33" s="5" t="s">
        <v>1043</v>
      </c>
      <c r="D33" s="5" t="s">
        <v>1020</v>
      </c>
      <c r="E33" s="5" t="s">
        <v>1021</v>
      </c>
      <c r="F33" s="5" t="s">
        <v>1022</v>
      </c>
      <c r="G33" s="5" t="s">
        <v>496</v>
      </c>
      <c r="H33" s="5" t="s">
        <v>874</v>
      </c>
      <c r="I33" s="6">
        <v>46198</v>
      </c>
    </row>
    <row r="34" spans="1:9" x14ac:dyDescent="0.3">
      <c r="A34" s="5" t="s">
        <v>1044</v>
      </c>
      <c r="B34" s="5" t="s">
        <v>1045</v>
      </c>
      <c r="C34" s="5" t="s">
        <v>1046</v>
      </c>
      <c r="D34" s="5" t="s">
        <v>1020</v>
      </c>
      <c r="E34" s="5" t="s">
        <v>1021</v>
      </c>
      <c r="F34" s="5" t="s">
        <v>1022</v>
      </c>
      <c r="G34" s="5" t="s">
        <v>496</v>
      </c>
      <c r="H34" s="5" t="s">
        <v>874</v>
      </c>
      <c r="I34" s="6">
        <v>46198</v>
      </c>
    </row>
    <row r="35" spans="1:9" x14ac:dyDescent="0.3">
      <c r="A35" s="5" t="s">
        <v>1047</v>
      </c>
      <c r="B35" s="5" t="s">
        <v>1048</v>
      </c>
      <c r="C35" s="5" t="s">
        <v>1049</v>
      </c>
      <c r="D35" s="5" t="s">
        <v>1020</v>
      </c>
      <c r="E35" s="5" t="s">
        <v>1021</v>
      </c>
      <c r="F35" s="5" t="s">
        <v>1022</v>
      </c>
      <c r="G35" s="5" t="s">
        <v>496</v>
      </c>
      <c r="H35" s="5" t="s">
        <v>874</v>
      </c>
      <c r="I35" s="6">
        <v>46195</v>
      </c>
    </row>
    <row r="36" spans="1:9" x14ac:dyDescent="0.3">
      <c r="A36" s="5" t="s">
        <v>1050</v>
      </c>
      <c r="B36" s="5" t="s">
        <v>1051</v>
      </c>
      <c r="C36" s="5" t="s">
        <v>1052</v>
      </c>
      <c r="D36" s="5" t="s">
        <v>1020</v>
      </c>
      <c r="E36" s="5" t="s">
        <v>1021</v>
      </c>
      <c r="F36" s="5" t="s">
        <v>1022</v>
      </c>
      <c r="G36" s="5" t="s">
        <v>496</v>
      </c>
      <c r="H36" s="5" t="s">
        <v>874</v>
      </c>
      <c r="I36" s="6">
        <v>46198</v>
      </c>
    </row>
    <row r="37" spans="1:9" x14ac:dyDescent="0.3">
      <c r="A37" s="5" t="s">
        <v>1053</v>
      </c>
      <c r="B37" s="5" t="s">
        <v>1054</v>
      </c>
      <c r="C37" s="5" t="s">
        <v>1055</v>
      </c>
      <c r="D37" s="5" t="s">
        <v>1020</v>
      </c>
      <c r="E37" s="5" t="s">
        <v>1021</v>
      </c>
      <c r="F37" s="5" t="s">
        <v>1022</v>
      </c>
      <c r="G37" s="5" t="s">
        <v>496</v>
      </c>
      <c r="H37" s="5" t="s">
        <v>874</v>
      </c>
      <c r="I37" s="6">
        <v>46197</v>
      </c>
    </row>
    <row r="38" spans="1:9" x14ac:dyDescent="0.3">
      <c r="A38" s="5" t="s">
        <v>1056</v>
      </c>
      <c r="B38" s="5" t="s">
        <v>870</v>
      </c>
      <c r="C38" s="5" t="s">
        <v>871</v>
      </c>
      <c r="D38" s="5" t="s">
        <v>1057</v>
      </c>
      <c r="E38" s="5" t="s">
        <v>9</v>
      </c>
      <c r="F38" s="5" t="s">
        <v>1058</v>
      </c>
      <c r="G38" s="5" t="s">
        <v>945</v>
      </c>
      <c r="H38" s="5" t="s">
        <v>874</v>
      </c>
      <c r="I38" s="6">
        <v>46198</v>
      </c>
    </row>
    <row r="39" spans="1:9" x14ac:dyDescent="0.3">
      <c r="A39" s="5" t="s">
        <v>1059</v>
      </c>
      <c r="B39" s="5" t="s">
        <v>877</v>
      </c>
      <c r="C39" s="5" t="s">
        <v>878</v>
      </c>
      <c r="D39" s="5" t="s">
        <v>1057</v>
      </c>
      <c r="E39" s="5" t="s">
        <v>9</v>
      </c>
      <c r="F39" s="5" t="s">
        <v>1058</v>
      </c>
      <c r="G39" s="5" t="s">
        <v>945</v>
      </c>
      <c r="H39" s="5" t="s">
        <v>874</v>
      </c>
      <c r="I39" s="6">
        <v>46198</v>
      </c>
    </row>
    <row r="40" spans="1:9" x14ac:dyDescent="0.3">
      <c r="A40" s="5" t="s">
        <v>1060</v>
      </c>
      <c r="B40" s="5" t="s">
        <v>882</v>
      </c>
      <c r="C40" s="5" t="s">
        <v>883</v>
      </c>
      <c r="D40" s="5" t="s">
        <v>1057</v>
      </c>
      <c r="E40" s="5" t="s">
        <v>9</v>
      </c>
      <c r="F40" s="5" t="s">
        <v>1058</v>
      </c>
      <c r="G40" s="5" t="s">
        <v>945</v>
      </c>
      <c r="H40" s="5" t="s">
        <v>874</v>
      </c>
      <c r="I40" s="6">
        <v>46197</v>
      </c>
    </row>
    <row r="41" spans="1:9" x14ac:dyDescent="0.3">
      <c r="A41" s="5" t="s">
        <v>1061</v>
      </c>
      <c r="B41" s="5" t="s">
        <v>888</v>
      </c>
      <c r="C41" s="5" t="s">
        <v>889</v>
      </c>
      <c r="D41" s="5" t="s">
        <v>1057</v>
      </c>
      <c r="E41" s="5" t="s">
        <v>9</v>
      </c>
      <c r="F41" s="5" t="s">
        <v>1058</v>
      </c>
      <c r="G41" s="5" t="s">
        <v>945</v>
      </c>
      <c r="H41" s="5" t="s">
        <v>874</v>
      </c>
      <c r="I41" s="6">
        <v>46198</v>
      </c>
    </row>
    <row r="42" spans="1:9" x14ac:dyDescent="0.3">
      <c r="A42" s="5" t="s">
        <v>1062</v>
      </c>
      <c r="B42" s="5" t="s">
        <v>893</v>
      </c>
      <c r="C42" s="5" t="s">
        <v>894</v>
      </c>
      <c r="D42" s="5" t="s">
        <v>1057</v>
      </c>
      <c r="E42" s="5" t="s">
        <v>9</v>
      </c>
      <c r="F42" s="5" t="s">
        <v>1058</v>
      </c>
      <c r="G42" s="5" t="s">
        <v>945</v>
      </c>
      <c r="H42" s="5" t="s">
        <v>874</v>
      </c>
      <c r="I42" s="6">
        <v>46196</v>
      </c>
    </row>
    <row r="43" spans="1:9" x14ac:dyDescent="0.3">
      <c r="A43" s="5" t="s">
        <v>1063</v>
      </c>
      <c r="B43" s="5" t="s">
        <v>899</v>
      </c>
      <c r="C43" s="5" t="s">
        <v>900</v>
      </c>
      <c r="D43" s="5" t="s">
        <v>1057</v>
      </c>
      <c r="E43" s="5" t="s">
        <v>9</v>
      </c>
      <c r="F43" s="5" t="s">
        <v>1058</v>
      </c>
      <c r="G43" s="5" t="s">
        <v>945</v>
      </c>
      <c r="H43" s="5" t="s">
        <v>874</v>
      </c>
      <c r="I43" s="6">
        <v>46198</v>
      </c>
    </row>
    <row r="44" spans="1:9" x14ac:dyDescent="0.3">
      <c r="A44" s="5" t="s">
        <v>1064</v>
      </c>
      <c r="B44" s="5" t="s">
        <v>904</v>
      </c>
      <c r="C44" s="5" t="s">
        <v>905</v>
      </c>
      <c r="D44" s="5" t="s">
        <v>1057</v>
      </c>
      <c r="E44" s="5" t="s">
        <v>9</v>
      </c>
      <c r="F44" s="5" t="s">
        <v>1058</v>
      </c>
      <c r="G44" s="5" t="s">
        <v>945</v>
      </c>
      <c r="H44" s="5" t="s">
        <v>874</v>
      </c>
      <c r="I44" s="6">
        <v>46197</v>
      </c>
    </row>
    <row r="45" spans="1:9" x14ac:dyDescent="0.3">
      <c r="A45" s="5" t="s">
        <v>1065</v>
      </c>
      <c r="B45" s="5" t="s">
        <v>909</v>
      </c>
      <c r="C45" s="5" t="s">
        <v>910</v>
      </c>
      <c r="D45" s="5" t="s">
        <v>1057</v>
      </c>
      <c r="E45" s="5" t="s">
        <v>9</v>
      </c>
      <c r="F45" s="5" t="s">
        <v>1058</v>
      </c>
      <c r="G45" s="5" t="s">
        <v>945</v>
      </c>
      <c r="H45" s="5" t="s">
        <v>874</v>
      </c>
      <c r="I45" s="6">
        <v>46198</v>
      </c>
    </row>
    <row r="46" spans="1:9" x14ac:dyDescent="0.3">
      <c r="A46" s="5" t="s">
        <v>1066</v>
      </c>
      <c r="B46" s="5" t="s">
        <v>914</v>
      </c>
      <c r="C46" s="5" t="s">
        <v>915</v>
      </c>
      <c r="D46" s="5" t="s">
        <v>1057</v>
      </c>
      <c r="E46" s="5" t="s">
        <v>9</v>
      </c>
      <c r="F46" s="5" t="s">
        <v>1058</v>
      </c>
      <c r="G46" s="5" t="s">
        <v>945</v>
      </c>
      <c r="H46" s="5" t="s">
        <v>874</v>
      </c>
      <c r="I46" s="6">
        <v>46198</v>
      </c>
    </row>
    <row r="47" spans="1:9" x14ac:dyDescent="0.3">
      <c r="A47" s="5" t="s">
        <v>1067</v>
      </c>
      <c r="B47" s="5" t="s">
        <v>920</v>
      </c>
      <c r="C47" s="5" t="s">
        <v>921</v>
      </c>
      <c r="D47" s="5" t="s">
        <v>1057</v>
      </c>
      <c r="E47" s="5" t="s">
        <v>9</v>
      </c>
      <c r="F47" s="5" t="s">
        <v>1058</v>
      </c>
      <c r="G47" s="5" t="s">
        <v>945</v>
      </c>
      <c r="H47" s="5" t="s">
        <v>874</v>
      </c>
      <c r="I47" s="6">
        <v>46195</v>
      </c>
    </row>
    <row r="48" spans="1:9" x14ac:dyDescent="0.3">
      <c r="A48" s="5" t="s">
        <v>1068</v>
      </c>
      <c r="B48" s="5" t="s">
        <v>925</v>
      </c>
      <c r="C48" s="5" t="s">
        <v>926</v>
      </c>
      <c r="D48" s="5" t="s">
        <v>1057</v>
      </c>
      <c r="E48" s="5" t="s">
        <v>9</v>
      </c>
      <c r="F48" s="5" t="s">
        <v>1058</v>
      </c>
      <c r="G48" s="5" t="s">
        <v>945</v>
      </c>
      <c r="H48" s="5" t="s">
        <v>874</v>
      </c>
      <c r="I48" s="6">
        <v>46198</v>
      </c>
    </row>
    <row r="49" spans="1:9" x14ac:dyDescent="0.3">
      <c r="A49" s="5" t="s">
        <v>1069</v>
      </c>
      <c r="B49" s="5" t="s">
        <v>930</v>
      </c>
      <c r="C49" s="5" t="s">
        <v>931</v>
      </c>
      <c r="D49" s="5" t="s">
        <v>1057</v>
      </c>
      <c r="E49" s="5" t="s">
        <v>9</v>
      </c>
      <c r="F49" s="5" t="s">
        <v>1058</v>
      </c>
      <c r="G49" s="5" t="s">
        <v>945</v>
      </c>
      <c r="H49" s="5" t="s">
        <v>874</v>
      </c>
      <c r="I49" s="6">
        <v>46197</v>
      </c>
    </row>
    <row r="50" spans="1:9" x14ac:dyDescent="0.3">
      <c r="A50" s="5" t="s">
        <v>1070</v>
      </c>
      <c r="B50" s="5" t="s">
        <v>1071</v>
      </c>
      <c r="C50" s="5" t="s">
        <v>1072</v>
      </c>
      <c r="D50" s="5" t="s">
        <v>1073</v>
      </c>
      <c r="E50" s="5" t="s">
        <v>1074</v>
      </c>
      <c r="F50" s="5" t="s">
        <v>1075</v>
      </c>
      <c r="G50" s="5" t="s">
        <v>945</v>
      </c>
      <c r="H50" s="5" t="s">
        <v>874</v>
      </c>
      <c r="I50" s="6">
        <v>46198</v>
      </c>
    </row>
    <row r="51" spans="1:9" x14ac:dyDescent="0.3">
      <c r="A51" s="5" t="s">
        <v>1076</v>
      </c>
      <c r="B51" s="5" t="s">
        <v>1077</v>
      </c>
      <c r="C51" s="5" t="s">
        <v>1078</v>
      </c>
      <c r="D51" s="5" t="s">
        <v>1073</v>
      </c>
      <c r="E51" s="5" t="s">
        <v>1074</v>
      </c>
      <c r="F51" s="5" t="s">
        <v>1075</v>
      </c>
      <c r="G51" s="5" t="s">
        <v>945</v>
      </c>
      <c r="H51" s="5" t="s">
        <v>874</v>
      </c>
      <c r="I51" s="6">
        <v>46198</v>
      </c>
    </row>
    <row r="52" spans="1:9" x14ac:dyDescent="0.3">
      <c r="A52" s="5" t="s">
        <v>1079</v>
      </c>
      <c r="B52" s="5" t="s">
        <v>1080</v>
      </c>
      <c r="C52" s="5" t="s">
        <v>1081</v>
      </c>
      <c r="D52" s="5" t="s">
        <v>1073</v>
      </c>
      <c r="E52" s="5" t="s">
        <v>1074</v>
      </c>
      <c r="F52" s="5" t="s">
        <v>1075</v>
      </c>
      <c r="G52" s="5" t="s">
        <v>945</v>
      </c>
      <c r="H52" s="5" t="s">
        <v>874</v>
      </c>
      <c r="I52" s="6">
        <v>46197</v>
      </c>
    </row>
    <row r="53" spans="1:9" x14ac:dyDescent="0.3">
      <c r="A53" s="5" t="s">
        <v>1082</v>
      </c>
      <c r="B53" s="5" t="s">
        <v>1083</v>
      </c>
      <c r="C53" s="5" t="s">
        <v>1084</v>
      </c>
      <c r="D53" s="5" t="s">
        <v>1073</v>
      </c>
      <c r="E53" s="5" t="s">
        <v>1074</v>
      </c>
      <c r="F53" s="5" t="s">
        <v>1075</v>
      </c>
      <c r="G53" s="5" t="s">
        <v>945</v>
      </c>
      <c r="H53" s="5" t="s">
        <v>874</v>
      </c>
      <c r="I53" s="6">
        <v>46198</v>
      </c>
    </row>
    <row r="54" spans="1:9" x14ac:dyDescent="0.3">
      <c r="A54" s="5" t="s">
        <v>1085</v>
      </c>
      <c r="B54" s="5" t="s">
        <v>1086</v>
      </c>
      <c r="C54" s="5" t="s">
        <v>1087</v>
      </c>
      <c r="D54" s="5" t="s">
        <v>1073</v>
      </c>
      <c r="E54" s="5" t="s">
        <v>1074</v>
      </c>
      <c r="F54" s="5" t="s">
        <v>1075</v>
      </c>
      <c r="G54" s="5" t="s">
        <v>945</v>
      </c>
      <c r="H54" s="5" t="s">
        <v>874</v>
      </c>
      <c r="I54" s="6">
        <v>46196</v>
      </c>
    </row>
    <row r="55" spans="1:9" x14ac:dyDescent="0.3">
      <c r="A55" s="5" t="s">
        <v>1088</v>
      </c>
      <c r="B55" s="5" t="s">
        <v>1089</v>
      </c>
      <c r="C55" s="5" t="s">
        <v>1090</v>
      </c>
      <c r="D55" s="5" t="s">
        <v>1073</v>
      </c>
      <c r="E55" s="5" t="s">
        <v>1074</v>
      </c>
      <c r="F55" s="5" t="s">
        <v>1075</v>
      </c>
      <c r="G55" s="5" t="s">
        <v>945</v>
      </c>
      <c r="H55" s="5" t="s">
        <v>874</v>
      </c>
      <c r="I55" s="6">
        <v>46198</v>
      </c>
    </row>
    <row r="56" spans="1:9" x14ac:dyDescent="0.3">
      <c r="A56" s="5" t="s">
        <v>1091</v>
      </c>
      <c r="B56" s="5" t="s">
        <v>1092</v>
      </c>
      <c r="C56" s="5" t="s">
        <v>1093</v>
      </c>
      <c r="D56" s="5" t="s">
        <v>1073</v>
      </c>
      <c r="E56" s="5" t="s">
        <v>1074</v>
      </c>
      <c r="F56" s="5" t="s">
        <v>1075</v>
      </c>
      <c r="G56" s="5" t="s">
        <v>945</v>
      </c>
      <c r="H56" s="5" t="s">
        <v>874</v>
      </c>
      <c r="I56" s="6">
        <v>46197</v>
      </c>
    </row>
    <row r="57" spans="1:9" x14ac:dyDescent="0.3">
      <c r="A57" s="5" t="s">
        <v>1094</v>
      </c>
      <c r="B57" s="5" t="s">
        <v>1095</v>
      </c>
      <c r="C57" s="5" t="s">
        <v>1096</v>
      </c>
      <c r="D57" s="5" t="s">
        <v>1073</v>
      </c>
      <c r="E57" s="5" t="s">
        <v>1074</v>
      </c>
      <c r="F57" s="5" t="s">
        <v>1075</v>
      </c>
      <c r="G57" s="5" t="s">
        <v>945</v>
      </c>
      <c r="H57" s="5" t="s">
        <v>874</v>
      </c>
      <c r="I57" s="6">
        <v>46198</v>
      </c>
    </row>
    <row r="58" spans="1:9" x14ac:dyDescent="0.3">
      <c r="A58" s="5" t="s">
        <v>1097</v>
      </c>
      <c r="B58" s="5" t="s">
        <v>1098</v>
      </c>
      <c r="C58" s="5" t="s">
        <v>1099</v>
      </c>
      <c r="D58" s="5" t="s">
        <v>1073</v>
      </c>
      <c r="E58" s="5" t="s">
        <v>1074</v>
      </c>
      <c r="F58" s="5" t="s">
        <v>1075</v>
      </c>
      <c r="G58" s="5" t="s">
        <v>945</v>
      </c>
      <c r="H58" s="5" t="s">
        <v>874</v>
      </c>
      <c r="I58" s="6">
        <v>46198</v>
      </c>
    </row>
    <row r="59" spans="1:9" x14ac:dyDescent="0.3">
      <c r="A59" s="5" t="s">
        <v>1100</v>
      </c>
      <c r="B59" s="5" t="s">
        <v>1101</v>
      </c>
      <c r="C59" s="5" t="s">
        <v>1102</v>
      </c>
      <c r="D59" s="5" t="s">
        <v>1073</v>
      </c>
      <c r="E59" s="5" t="s">
        <v>1074</v>
      </c>
      <c r="F59" s="5" t="s">
        <v>1075</v>
      </c>
      <c r="G59" s="5" t="s">
        <v>945</v>
      </c>
      <c r="H59" s="5" t="s">
        <v>874</v>
      </c>
      <c r="I59" s="6">
        <v>46195</v>
      </c>
    </row>
    <row r="60" spans="1:9" x14ac:dyDescent="0.3">
      <c r="A60" s="5" t="s">
        <v>1103</v>
      </c>
      <c r="B60" s="5" t="s">
        <v>1104</v>
      </c>
      <c r="C60" s="5" t="s">
        <v>1105</v>
      </c>
      <c r="D60" s="5" t="s">
        <v>1073</v>
      </c>
      <c r="E60" s="5" t="s">
        <v>1074</v>
      </c>
      <c r="F60" s="5" t="s">
        <v>1075</v>
      </c>
      <c r="G60" s="5" t="s">
        <v>945</v>
      </c>
      <c r="H60" s="5" t="s">
        <v>874</v>
      </c>
      <c r="I60" s="6">
        <v>46198</v>
      </c>
    </row>
    <row r="61" spans="1:9" x14ac:dyDescent="0.3">
      <c r="A61" s="5" t="s">
        <v>1106</v>
      </c>
      <c r="B61" s="5" t="s">
        <v>1107</v>
      </c>
      <c r="C61" s="5" t="s">
        <v>1108</v>
      </c>
      <c r="D61" s="5" t="s">
        <v>1073</v>
      </c>
      <c r="E61" s="5" t="s">
        <v>1074</v>
      </c>
      <c r="F61" s="5" t="s">
        <v>1075</v>
      </c>
      <c r="G61" s="5" t="s">
        <v>945</v>
      </c>
      <c r="H61" s="5" t="s">
        <v>874</v>
      </c>
      <c r="I61" s="6">
        <v>46197</v>
      </c>
    </row>
    <row r="62" spans="1:9" x14ac:dyDescent="0.3">
      <c r="A62" s="5" t="s">
        <v>1109</v>
      </c>
      <c r="B62" s="5" t="s">
        <v>1110</v>
      </c>
      <c r="C62" s="5" t="s">
        <v>1111</v>
      </c>
      <c r="D62" s="5" t="s">
        <v>1112</v>
      </c>
      <c r="E62" s="5" t="s">
        <v>1113</v>
      </c>
      <c r="F62" s="5" t="s">
        <v>1114</v>
      </c>
      <c r="G62" s="5" t="s">
        <v>945</v>
      </c>
      <c r="H62" s="5" t="s">
        <v>874</v>
      </c>
      <c r="I62" s="6">
        <v>46198</v>
      </c>
    </row>
    <row r="63" spans="1:9" x14ac:dyDescent="0.3">
      <c r="A63" s="5" t="s">
        <v>1115</v>
      </c>
      <c r="B63" s="5" t="s">
        <v>1116</v>
      </c>
      <c r="C63" s="5" t="s">
        <v>1117</v>
      </c>
      <c r="D63" s="5" t="s">
        <v>1112</v>
      </c>
      <c r="E63" s="5" t="s">
        <v>1113</v>
      </c>
      <c r="F63" s="5" t="s">
        <v>1114</v>
      </c>
      <c r="G63" s="5" t="s">
        <v>945</v>
      </c>
      <c r="H63" s="5" t="s">
        <v>874</v>
      </c>
      <c r="I63" s="6">
        <v>46198</v>
      </c>
    </row>
    <row r="64" spans="1:9" x14ac:dyDescent="0.3">
      <c r="A64" s="5" t="s">
        <v>1118</v>
      </c>
      <c r="B64" s="5" t="s">
        <v>1119</v>
      </c>
      <c r="C64" s="5" t="s">
        <v>1120</v>
      </c>
      <c r="D64" s="5" t="s">
        <v>1112</v>
      </c>
      <c r="E64" s="5" t="s">
        <v>1113</v>
      </c>
      <c r="F64" s="5" t="s">
        <v>1114</v>
      </c>
      <c r="G64" s="5" t="s">
        <v>945</v>
      </c>
      <c r="H64" s="5" t="s">
        <v>874</v>
      </c>
      <c r="I64" s="6">
        <v>46197</v>
      </c>
    </row>
    <row r="65" spans="1:9" x14ac:dyDescent="0.3">
      <c r="A65" s="5" t="s">
        <v>1121</v>
      </c>
      <c r="B65" s="5" t="s">
        <v>1122</v>
      </c>
      <c r="C65" s="5" t="s">
        <v>1123</v>
      </c>
      <c r="D65" s="5" t="s">
        <v>1112</v>
      </c>
      <c r="E65" s="5" t="s">
        <v>1113</v>
      </c>
      <c r="F65" s="5" t="s">
        <v>1114</v>
      </c>
      <c r="G65" s="5" t="s">
        <v>945</v>
      </c>
      <c r="H65" s="5" t="s">
        <v>874</v>
      </c>
      <c r="I65" s="6">
        <v>46198</v>
      </c>
    </row>
    <row r="66" spans="1:9" x14ac:dyDescent="0.3">
      <c r="A66" s="5" t="s">
        <v>1124</v>
      </c>
      <c r="B66" s="5" t="s">
        <v>1125</v>
      </c>
      <c r="C66" s="5" t="s">
        <v>1126</v>
      </c>
      <c r="D66" s="5" t="s">
        <v>1112</v>
      </c>
      <c r="E66" s="5" t="s">
        <v>1113</v>
      </c>
      <c r="F66" s="5" t="s">
        <v>1114</v>
      </c>
      <c r="G66" s="5" t="s">
        <v>945</v>
      </c>
      <c r="H66" s="5" t="s">
        <v>874</v>
      </c>
      <c r="I66" s="6">
        <v>46196</v>
      </c>
    </row>
    <row r="67" spans="1:9" x14ac:dyDescent="0.3">
      <c r="A67" s="5" t="s">
        <v>1127</v>
      </c>
      <c r="B67" s="5" t="s">
        <v>1128</v>
      </c>
      <c r="C67" s="5" t="s">
        <v>1129</v>
      </c>
      <c r="D67" s="5" t="s">
        <v>1112</v>
      </c>
      <c r="E67" s="5" t="s">
        <v>1113</v>
      </c>
      <c r="F67" s="5" t="s">
        <v>1114</v>
      </c>
      <c r="G67" s="5" t="s">
        <v>945</v>
      </c>
      <c r="H67" s="5" t="s">
        <v>874</v>
      </c>
      <c r="I67" s="6">
        <v>46198</v>
      </c>
    </row>
    <row r="68" spans="1:9" x14ac:dyDescent="0.3">
      <c r="A68" s="5" t="s">
        <v>1130</v>
      </c>
      <c r="B68" s="5" t="s">
        <v>1131</v>
      </c>
      <c r="C68" s="5" t="s">
        <v>1132</v>
      </c>
      <c r="D68" s="5" t="s">
        <v>1112</v>
      </c>
      <c r="E68" s="5" t="s">
        <v>1113</v>
      </c>
      <c r="F68" s="5" t="s">
        <v>1114</v>
      </c>
      <c r="G68" s="5" t="s">
        <v>945</v>
      </c>
      <c r="H68" s="5" t="s">
        <v>874</v>
      </c>
      <c r="I68" s="6">
        <v>46197</v>
      </c>
    </row>
    <row r="69" spans="1:9" x14ac:dyDescent="0.3">
      <c r="A69" s="5" t="s">
        <v>1133</v>
      </c>
      <c r="B69" s="5" t="s">
        <v>1134</v>
      </c>
      <c r="C69" s="5" t="s">
        <v>1135</v>
      </c>
      <c r="D69" s="5" t="s">
        <v>1112</v>
      </c>
      <c r="E69" s="5" t="s">
        <v>1113</v>
      </c>
      <c r="F69" s="5" t="s">
        <v>1114</v>
      </c>
      <c r="G69" s="5" t="s">
        <v>945</v>
      </c>
      <c r="H69" s="5" t="s">
        <v>874</v>
      </c>
      <c r="I69" s="6">
        <v>46198</v>
      </c>
    </row>
    <row r="70" spans="1:9" x14ac:dyDescent="0.3">
      <c r="A70" s="5" t="s">
        <v>1136</v>
      </c>
      <c r="B70" s="5" t="s">
        <v>1137</v>
      </c>
      <c r="C70" s="5" t="s">
        <v>1138</v>
      </c>
      <c r="D70" s="5" t="s">
        <v>1112</v>
      </c>
      <c r="E70" s="5" t="s">
        <v>1113</v>
      </c>
      <c r="F70" s="5" t="s">
        <v>1114</v>
      </c>
      <c r="G70" s="5" t="s">
        <v>945</v>
      </c>
      <c r="H70" s="5" t="s">
        <v>874</v>
      </c>
      <c r="I70" s="6">
        <v>46198</v>
      </c>
    </row>
    <row r="71" spans="1:9" x14ac:dyDescent="0.3">
      <c r="A71" s="5" t="s">
        <v>1139</v>
      </c>
      <c r="B71" s="5" t="s">
        <v>1140</v>
      </c>
      <c r="C71" s="5" t="s">
        <v>1141</v>
      </c>
      <c r="D71" s="5" t="s">
        <v>1112</v>
      </c>
      <c r="E71" s="5" t="s">
        <v>1113</v>
      </c>
      <c r="F71" s="5" t="s">
        <v>1114</v>
      </c>
      <c r="G71" s="5" t="s">
        <v>945</v>
      </c>
      <c r="H71" s="5" t="s">
        <v>874</v>
      </c>
      <c r="I71" s="6">
        <v>46195</v>
      </c>
    </row>
    <row r="72" spans="1:9" x14ac:dyDescent="0.3">
      <c r="A72" s="5" t="s">
        <v>1142</v>
      </c>
      <c r="B72" s="5" t="s">
        <v>1143</v>
      </c>
      <c r="C72" s="5" t="s">
        <v>1144</v>
      </c>
      <c r="D72" s="5" t="s">
        <v>1112</v>
      </c>
      <c r="E72" s="5" t="s">
        <v>1113</v>
      </c>
      <c r="F72" s="5" t="s">
        <v>1114</v>
      </c>
      <c r="G72" s="5" t="s">
        <v>945</v>
      </c>
      <c r="H72" s="5" t="s">
        <v>874</v>
      </c>
      <c r="I72" s="6">
        <v>46198</v>
      </c>
    </row>
    <row r="73" spans="1:9" x14ac:dyDescent="0.3">
      <c r="A73" s="5" t="s">
        <v>1145</v>
      </c>
      <c r="B73" s="5" t="s">
        <v>1146</v>
      </c>
      <c r="C73" s="5" t="s">
        <v>1147</v>
      </c>
      <c r="D73" s="5" t="s">
        <v>1112</v>
      </c>
      <c r="E73" s="5" t="s">
        <v>1113</v>
      </c>
      <c r="F73" s="5" t="s">
        <v>1114</v>
      </c>
      <c r="G73" s="5" t="s">
        <v>945</v>
      </c>
      <c r="H73" s="5" t="s">
        <v>874</v>
      </c>
      <c r="I73" s="6">
        <v>46197</v>
      </c>
    </row>
    <row r="74" spans="1:9" x14ac:dyDescent="0.3">
      <c r="A74" s="5" t="s">
        <v>1148</v>
      </c>
      <c r="B74" s="5" t="s">
        <v>623</v>
      </c>
      <c r="C74" s="5" t="s">
        <v>1149</v>
      </c>
      <c r="D74" s="5" t="s">
        <v>862</v>
      </c>
      <c r="E74" s="5" t="s">
        <v>5</v>
      </c>
      <c r="F74" s="5" t="s">
        <v>1150</v>
      </c>
      <c r="G74" s="5" t="s">
        <v>496</v>
      </c>
      <c r="H74" s="5" t="s">
        <v>874</v>
      </c>
      <c r="I74" s="6">
        <v>46198</v>
      </c>
    </row>
    <row r="75" spans="1:9" x14ac:dyDescent="0.3">
      <c r="A75" s="5" t="s">
        <v>1151</v>
      </c>
      <c r="B75" s="5" t="s">
        <v>625</v>
      </c>
      <c r="C75" s="5" t="s">
        <v>1152</v>
      </c>
      <c r="D75" s="5" t="s">
        <v>862</v>
      </c>
      <c r="E75" s="5" t="s">
        <v>5</v>
      </c>
      <c r="F75" s="5" t="s">
        <v>1150</v>
      </c>
      <c r="G75" s="5" t="s">
        <v>496</v>
      </c>
      <c r="H75" s="5" t="s">
        <v>874</v>
      </c>
      <c r="I75" s="6">
        <v>46197</v>
      </c>
    </row>
    <row r="76" spans="1:9" x14ac:dyDescent="0.3">
      <c r="A76" s="5" t="s">
        <v>1153</v>
      </c>
      <c r="B76" s="5" t="s">
        <v>651</v>
      </c>
      <c r="C76" s="5" t="s">
        <v>1154</v>
      </c>
      <c r="D76" s="5" t="s">
        <v>862</v>
      </c>
      <c r="E76" s="5" t="s">
        <v>6</v>
      </c>
      <c r="F76" s="5" t="s">
        <v>1155</v>
      </c>
      <c r="G76" s="5" t="s">
        <v>496</v>
      </c>
      <c r="H76" s="5" t="s">
        <v>874</v>
      </c>
      <c r="I76" s="6">
        <v>46198</v>
      </c>
    </row>
    <row r="77" spans="1:9" x14ac:dyDescent="0.3">
      <c r="A77" s="5" t="s">
        <v>1156</v>
      </c>
      <c r="B77" s="5" t="s">
        <v>671</v>
      </c>
      <c r="C77" s="5" t="s">
        <v>1157</v>
      </c>
      <c r="D77" s="5" t="s">
        <v>862</v>
      </c>
      <c r="E77" s="5" t="s">
        <v>7</v>
      </c>
      <c r="F77" s="5" t="s">
        <v>1158</v>
      </c>
      <c r="G77" s="5" t="s">
        <v>496</v>
      </c>
      <c r="H77" s="5" t="s">
        <v>874</v>
      </c>
      <c r="I77" s="6">
        <v>46196</v>
      </c>
    </row>
    <row r="78" spans="1:9" x14ac:dyDescent="0.3">
      <c r="A78" s="5" t="s">
        <v>1159</v>
      </c>
      <c r="B78" s="5" t="s">
        <v>691</v>
      </c>
      <c r="C78" s="5" t="s">
        <v>1160</v>
      </c>
      <c r="D78" s="5" t="s">
        <v>862</v>
      </c>
      <c r="E78" s="5" t="s">
        <v>8</v>
      </c>
      <c r="F78" s="5" t="s">
        <v>1161</v>
      </c>
      <c r="G78" s="5" t="s">
        <v>496</v>
      </c>
      <c r="H78" s="5" t="s">
        <v>874</v>
      </c>
      <c r="I78" s="6">
        <v>46198</v>
      </c>
    </row>
    <row r="79" spans="1:9" x14ac:dyDescent="0.3">
      <c r="A79" s="5" t="s">
        <v>1162</v>
      </c>
      <c r="B79" s="5" t="s">
        <v>710</v>
      </c>
      <c r="C79" s="5" t="s">
        <v>1163</v>
      </c>
      <c r="D79" s="5" t="s">
        <v>862</v>
      </c>
      <c r="E79" s="5" t="s">
        <v>9</v>
      </c>
      <c r="F79" s="5" t="s">
        <v>1058</v>
      </c>
      <c r="G79" s="5" t="s">
        <v>496</v>
      </c>
      <c r="H79" s="5" t="s">
        <v>874</v>
      </c>
      <c r="I79" s="6">
        <v>46197</v>
      </c>
    </row>
    <row r="80" spans="1:9" x14ac:dyDescent="0.3">
      <c r="A80" s="5" t="s">
        <v>1164</v>
      </c>
      <c r="B80" s="5" t="s">
        <v>730</v>
      </c>
      <c r="C80" s="5" t="s">
        <v>1165</v>
      </c>
      <c r="D80" s="5" t="s">
        <v>862</v>
      </c>
      <c r="E80" s="5" t="s">
        <v>10</v>
      </c>
      <c r="F80" s="5" t="s">
        <v>1166</v>
      </c>
      <c r="G80" s="5" t="s">
        <v>496</v>
      </c>
      <c r="H80" s="5" t="s">
        <v>874</v>
      </c>
      <c r="I80" s="6">
        <v>46198</v>
      </c>
    </row>
    <row r="81" spans="1:9" x14ac:dyDescent="0.3">
      <c r="A81" s="5" t="s">
        <v>1167</v>
      </c>
      <c r="B81" s="5" t="s">
        <v>749</v>
      </c>
      <c r="C81" s="5" t="s">
        <v>1168</v>
      </c>
      <c r="D81" s="5" t="s">
        <v>862</v>
      </c>
      <c r="E81" s="5" t="s">
        <v>11</v>
      </c>
      <c r="F81" s="5" t="s">
        <v>1169</v>
      </c>
      <c r="G81" s="5" t="s">
        <v>496</v>
      </c>
      <c r="H81" s="5" t="s">
        <v>874</v>
      </c>
      <c r="I81" s="6">
        <v>46198</v>
      </c>
    </row>
    <row r="82" spans="1:9" x14ac:dyDescent="0.3">
      <c r="A82" s="5" t="s">
        <v>1170</v>
      </c>
      <c r="B82" s="5" t="s">
        <v>769</v>
      </c>
      <c r="C82" s="5" t="s">
        <v>1171</v>
      </c>
      <c r="D82" s="5" t="s">
        <v>862</v>
      </c>
      <c r="E82" s="5" t="s">
        <v>12</v>
      </c>
      <c r="F82" s="5" t="s">
        <v>1172</v>
      </c>
      <c r="G82" s="5" t="s">
        <v>496</v>
      </c>
      <c r="H82" s="5" t="s">
        <v>874</v>
      </c>
      <c r="I82" s="6">
        <v>46195</v>
      </c>
    </row>
    <row r="83" spans="1:9" x14ac:dyDescent="0.3">
      <c r="A83" s="5" t="s">
        <v>1173</v>
      </c>
      <c r="B83" s="5" t="s">
        <v>624</v>
      </c>
      <c r="C83" s="5" t="s">
        <v>1174</v>
      </c>
      <c r="D83" s="5" t="s">
        <v>622</v>
      </c>
      <c r="E83" s="5" t="s">
        <v>5</v>
      </c>
      <c r="F83" s="5" t="s">
        <v>1175</v>
      </c>
      <c r="G83" s="5" t="s">
        <v>496</v>
      </c>
      <c r="H83" s="5" t="s">
        <v>874</v>
      </c>
      <c r="I83" s="6">
        <v>46198</v>
      </c>
    </row>
    <row r="84" spans="1:9" x14ac:dyDescent="0.3">
      <c r="A84" s="5" t="s">
        <v>1176</v>
      </c>
      <c r="B84" s="5" t="s">
        <v>652</v>
      </c>
      <c r="C84" s="5" t="s">
        <v>1177</v>
      </c>
      <c r="D84" s="5" t="s">
        <v>622</v>
      </c>
      <c r="E84" s="5" t="s">
        <v>6</v>
      </c>
      <c r="F84" s="5" t="s">
        <v>1175</v>
      </c>
      <c r="G84" s="5" t="s">
        <v>496</v>
      </c>
      <c r="H84" s="5" t="s">
        <v>874</v>
      </c>
      <c r="I84" s="6">
        <v>46197</v>
      </c>
    </row>
    <row r="85" spans="1:9" x14ac:dyDescent="0.3">
      <c r="A85" s="5" t="s">
        <v>1178</v>
      </c>
      <c r="B85" s="5" t="s">
        <v>672</v>
      </c>
      <c r="C85" s="5" t="s">
        <v>1179</v>
      </c>
      <c r="D85" s="5" t="s">
        <v>622</v>
      </c>
      <c r="E85" s="5" t="s">
        <v>7</v>
      </c>
      <c r="F85" s="5" t="s">
        <v>1175</v>
      </c>
      <c r="G85" s="5" t="s">
        <v>496</v>
      </c>
      <c r="H85" s="5" t="s">
        <v>874</v>
      </c>
      <c r="I85" s="6">
        <v>46198</v>
      </c>
    </row>
    <row r="86" spans="1:9" x14ac:dyDescent="0.3">
      <c r="A86" s="5" t="s">
        <v>1180</v>
      </c>
      <c r="B86" s="5" t="s">
        <v>692</v>
      </c>
      <c r="C86" s="5" t="s">
        <v>1181</v>
      </c>
      <c r="D86" s="5" t="s">
        <v>622</v>
      </c>
      <c r="E86" s="5" t="s">
        <v>8</v>
      </c>
      <c r="F86" s="5" t="s">
        <v>1175</v>
      </c>
      <c r="G86" s="5" t="s">
        <v>496</v>
      </c>
      <c r="H86" s="5" t="s">
        <v>874</v>
      </c>
      <c r="I86" s="6">
        <v>46196</v>
      </c>
    </row>
    <row r="87" spans="1:9" x14ac:dyDescent="0.3">
      <c r="A87" s="5" t="s">
        <v>1182</v>
      </c>
      <c r="B87" s="5" t="s">
        <v>711</v>
      </c>
      <c r="C87" s="5" t="s">
        <v>1183</v>
      </c>
      <c r="D87" s="5" t="s">
        <v>622</v>
      </c>
      <c r="E87" s="5" t="s">
        <v>9</v>
      </c>
      <c r="F87" s="5" t="s">
        <v>1175</v>
      </c>
      <c r="G87" s="5" t="s">
        <v>496</v>
      </c>
      <c r="H87" s="5" t="s">
        <v>874</v>
      </c>
      <c r="I87" s="6">
        <v>46198</v>
      </c>
    </row>
    <row r="88" spans="1:9" x14ac:dyDescent="0.3">
      <c r="A88" s="5" t="s">
        <v>1184</v>
      </c>
      <c r="B88" s="5" t="s">
        <v>731</v>
      </c>
      <c r="C88" s="5" t="s">
        <v>1185</v>
      </c>
      <c r="D88" s="5" t="s">
        <v>622</v>
      </c>
      <c r="E88" s="5" t="s">
        <v>10</v>
      </c>
      <c r="F88" s="5" t="s">
        <v>1175</v>
      </c>
      <c r="G88" s="5" t="s">
        <v>496</v>
      </c>
      <c r="H88" s="5" t="s">
        <v>874</v>
      </c>
      <c r="I88" s="6">
        <v>46197</v>
      </c>
    </row>
    <row r="89" spans="1:9" x14ac:dyDescent="0.3">
      <c r="A89" s="5" t="s">
        <v>1186</v>
      </c>
      <c r="B89" s="5" t="s">
        <v>1187</v>
      </c>
      <c r="C89" s="5" t="s">
        <v>1188</v>
      </c>
      <c r="D89" s="5" t="s">
        <v>1189</v>
      </c>
      <c r="E89" s="5" t="s">
        <v>1190</v>
      </c>
      <c r="F89" s="5" t="s">
        <v>1191</v>
      </c>
      <c r="G89" s="5" t="s">
        <v>1190</v>
      </c>
      <c r="H89" s="5" t="s">
        <v>874</v>
      </c>
      <c r="I89" s="6">
        <v>46198</v>
      </c>
    </row>
    <row r="90" spans="1:9" x14ac:dyDescent="0.3">
      <c r="A90" s="5" t="s">
        <v>1192</v>
      </c>
      <c r="B90" s="5" t="s">
        <v>1193</v>
      </c>
      <c r="C90" s="5" t="s">
        <v>1194</v>
      </c>
      <c r="D90" s="5" t="s">
        <v>1195</v>
      </c>
      <c r="E90" s="5" t="s">
        <v>1190</v>
      </c>
      <c r="F90" s="5" t="s">
        <v>1191</v>
      </c>
      <c r="G90" s="5" t="s">
        <v>1190</v>
      </c>
      <c r="H90" s="5" t="s">
        <v>874</v>
      </c>
      <c r="I90" s="6">
        <v>46198</v>
      </c>
    </row>
    <row r="91" spans="1:9" x14ac:dyDescent="0.3">
      <c r="A91" s="5" t="s">
        <v>1196</v>
      </c>
      <c r="B91" s="5" t="s">
        <v>1197</v>
      </c>
      <c r="C91" s="5" t="s">
        <v>1198</v>
      </c>
      <c r="D91" s="5" t="s">
        <v>1199</v>
      </c>
      <c r="E91" s="5" t="s">
        <v>1190</v>
      </c>
      <c r="F91" s="5" t="s">
        <v>1191</v>
      </c>
      <c r="G91" s="5" t="s">
        <v>1190</v>
      </c>
      <c r="H91" s="5" t="s">
        <v>874</v>
      </c>
      <c r="I91" s="6">
        <v>46195</v>
      </c>
    </row>
    <row r="92" spans="1:9" x14ac:dyDescent="0.3">
      <c r="A92" s="5" t="s">
        <v>1200</v>
      </c>
      <c r="B92" s="5" t="s">
        <v>1201</v>
      </c>
      <c r="C92" s="5" t="s">
        <v>1202</v>
      </c>
      <c r="D92" s="5" t="s">
        <v>1203</v>
      </c>
      <c r="E92" s="5" t="s">
        <v>9</v>
      </c>
      <c r="F92" s="5" t="s">
        <v>1189</v>
      </c>
      <c r="G92" s="5" t="s">
        <v>1190</v>
      </c>
      <c r="H92" s="5" t="s">
        <v>874</v>
      </c>
      <c r="I92" s="6">
        <v>46198</v>
      </c>
    </row>
    <row r="93" spans="1:9" x14ac:dyDescent="0.3">
      <c r="A93" s="5" t="s">
        <v>1204</v>
      </c>
      <c r="B93" s="5" t="s">
        <v>1205</v>
      </c>
      <c r="C93" s="5" t="s">
        <v>1206</v>
      </c>
      <c r="D93" s="5" t="s">
        <v>1075</v>
      </c>
      <c r="E93" s="5" t="s">
        <v>1074</v>
      </c>
      <c r="F93" s="5" t="s">
        <v>1207</v>
      </c>
      <c r="G93" s="5" t="s">
        <v>1190</v>
      </c>
      <c r="H93" s="5" t="s">
        <v>874</v>
      </c>
      <c r="I93" s="6">
        <v>46197</v>
      </c>
    </row>
    <row r="94" spans="1:9" x14ac:dyDescent="0.3">
      <c r="A94" s="5" t="s">
        <v>1208</v>
      </c>
      <c r="B94" s="5" t="s">
        <v>626</v>
      </c>
      <c r="C94" s="5" t="s">
        <v>1209</v>
      </c>
      <c r="D94" s="5" t="s">
        <v>1210</v>
      </c>
      <c r="E94" s="5" t="s">
        <v>9</v>
      </c>
      <c r="F94" s="5" t="s">
        <v>1211</v>
      </c>
      <c r="G94" s="5" t="s">
        <v>496</v>
      </c>
      <c r="H94" s="5" t="s">
        <v>874</v>
      </c>
      <c r="I94" s="6">
        <v>46198</v>
      </c>
    </row>
    <row r="95" spans="1:9" x14ac:dyDescent="0.3">
      <c r="A95" s="5" t="s">
        <v>1212</v>
      </c>
      <c r="B95" s="5" t="s">
        <v>628</v>
      </c>
      <c r="C95" s="5" t="s">
        <v>1213</v>
      </c>
      <c r="D95" s="5" t="s">
        <v>1210</v>
      </c>
      <c r="E95" s="5" t="s">
        <v>9</v>
      </c>
      <c r="F95" s="5" t="s">
        <v>1211</v>
      </c>
      <c r="G95" s="5" t="s">
        <v>496</v>
      </c>
      <c r="H95" s="5" t="s">
        <v>874</v>
      </c>
      <c r="I95" s="6">
        <v>46196</v>
      </c>
    </row>
    <row r="96" spans="1:9" x14ac:dyDescent="0.3">
      <c r="A96" s="5" t="s">
        <v>1214</v>
      </c>
      <c r="B96" s="5" t="s">
        <v>630</v>
      </c>
      <c r="C96" s="5" t="s">
        <v>1215</v>
      </c>
      <c r="D96" s="5" t="s">
        <v>1216</v>
      </c>
      <c r="E96" s="5" t="s">
        <v>9</v>
      </c>
      <c r="F96" s="5" t="s">
        <v>1217</v>
      </c>
      <c r="G96" s="5" t="s">
        <v>496</v>
      </c>
      <c r="H96" s="5" t="s">
        <v>874</v>
      </c>
      <c r="I96" s="6">
        <v>46198</v>
      </c>
    </row>
    <row r="97" spans="1:9" x14ac:dyDescent="0.3">
      <c r="A97" s="5" t="s">
        <v>1218</v>
      </c>
      <c r="B97" s="5" t="s">
        <v>634</v>
      </c>
      <c r="C97" s="5" t="s">
        <v>1219</v>
      </c>
      <c r="D97" s="5" t="s">
        <v>1220</v>
      </c>
      <c r="E97" s="5" t="s">
        <v>9</v>
      </c>
      <c r="F97" s="5" t="s">
        <v>1022</v>
      </c>
      <c r="G97" s="5" t="s">
        <v>496</v>
      </c>
      <c r="H97" s="5" t="s">
        <v>874</v>
      </c>
      <c r="I97" s="6">
        <v>46197</v>
      </c>
    </row>
    <row r="98" spans="1:9" x14ac:dyDescent="0.3">
      <c r="A98" s="5" t="s">
        <v>1221</v>
      </c>
      <c r="B98" s="5" t="s">
        <v>640</v>
      </c>
      <c r="C98" s="5" t="s">
        <v>1222</v>
      </c>
      <c r="D98" s="5" t="s">
        <v>1223</v>
      </c>
      <c r="E98" s="5" t="s">
        <v>9</v>
      </c>
      <c r="F98" s="5" t="s">
        <v>1217</v>
      </c>
      <c r="G98" s="5" t="s">
        <v>496</v>
      </c>
      <c r="H98" s="5" t="s">
        <v>874</v>
      </c>
      <c r="I98" s="6">
        <v>46198</v>
      </c>
    </row>
    <row r="99" spans="1:9" x14ac:dyDescent="0.3">
      <c r="A99" s="5" t="s">
        <v>1224</v>
      </c>
      <c r="B99" s="5" t="s">
        <v>638</v>
      </c>
      <c r="C99" s="5" t="s">
        <v>1225</v>
      </c>
      <c r="D99" s="5" t="s">
        <v>1226</v>
      </c>
      <c r="E99" s="5" t="s">
        <v>12</v>
      </c>
      <c r="F99" s="5" t="s">
        <v>1172</v>
      </c>
      <c r="G99" s="5" t="s">
        <v>496</v>
      </c>
      <c r="H99" s="5" t="s">
        <v>874</v>
      </c>
      <c r="I99" s="6">
        <v>46198</v>
      </c>
    </row>
    <row r="100" spans="1:9" x14ac:dyDescent="0.3">
      <c r="A100" s="5" t="s">
        <v>1227</v>
      </c>
      <c r="B100" s="5" t="s">
        <v>664</v>
      </c>
      <c r="C100" s="5" t="s">
        <v>1228</v>
      </c>
      <c r="D100" s="5" t="s">
        <v>1229</v>
      </c>
      <c r="E100" s="5" t="s">
        <v>9</v>
      </c>
      <c r="F100" s="5" t="s">
        <v>1217</v>
      </c>
      <c r="G100" s="5" t="s">
        <v>496</v>
      </c>
      <c r="H100" s="5" t="s">
        <v>874</v>
      </c>
      <c r="I100" s="6">
        <v>46195</v>
      </c>
    </row>
    <row r="101" spans="1:9" x14ac:dyDescent="0.3">
      <c r="A101" s="5" t="s">
        <v>1230</v>
      </c>
      <c r="B101" s="5" t="s">
        <v>697</v>
      </c>
      <c r="C101" s="5" t="s">
        <v>1231</v>
      </c>
      <c r="D101" s="5" t="s">
        <v>1232</v>
      </c>
      <c r="E101" s="5" t="s">
        <v>1233</v>
      </c>
      <c r="F101" s="5" t="s">
        <v>1234</v>
      </c>
      <c r="G101" s="5" t="s">
        <v>496</v>
      </c>
      <c r="H101" s="5" t="s">
        <v>874</v>
      </c>
      <c r="I101" s="6">
        <v>46198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BF03-F202-4D7B-A718-847A5F5EE698}">
  <sheetPr>
    <tabColor theme="4"/>
  </sheetPr>
  <dimension ref="A1:I13"/>
  <sheetViews>
    <sheetView workbookViewId="0">
      <pane ySplit="1" topLeftCell="A2" activePane="bottomLeft" state="frozen"/>
      <selection activeCell="H3" sqref="H3"/>
      <selection pane="bottomLeft" activeCell="H3" sqref="H3"/>
    </sheetView>
  </sheetViews>
  <sheetFormatPr defaultRowHeight="14.4" x14ac:dyDescent="0.3"/>
  <cols>
    <col min="1" max="1" width="7.21875" bestFit="1" customWidth="1"/>
    <col min="2" max="2" width="13.88671875" bestFit="1" customWidth="1"/>
    <col min="3" max="3" width="28.33203125" bestFit="1" customWidth="1"/>
    <col min="4" max="4" width="11.5546875" bestFit="1" customWidth="1"/>
    <col min="5" max="5" width="13.44140625" bestFit="1" customWidth="1"/>
    <col min="6" max="6" width="14.44140625" bestFit="1" customWidth="1"/>
    <col min="7" max="7" width="8.5546875" bestFit="1" customWidth="1"/>
    <col min="8" max="8" width="10.33203125" bestFit="1" customWidth="1"/>
    <col min="9" max="9" width="23.44140625" bestFit="1" customWidth="1"/>
  </cols>
  <sheetData>
    <row r="1" spans="1:9" x14ac:dyDescent="0.3">
      <c r="A1" s="17" t="s">
        <v>863</v>
      </c>
      <c r="B1" s="17" t="s">
        <v>864</v>
      </c>
      <c r="C1" s="17" t="s">
        <v>865</v>
      </c>
      <c r="D1" s="17" t="s">
        <v>1</v>
      </c>
      <c r="E1" s="17" t="s">
        <v>866</v>
      </c>
      <c r="F1" s="17" t="s">
        <v>867</v>
      </c>
      <c r="G1" s="17" t="s">
        <v>112</v>
      </c>
      <c r="H1" s="17" t="s">
        <v>108</v>
      </c>
      <c r="I1" s="17" t="s">
        <v>868</v>
      </c>
    </row>
    <row r="2" spans="1:9" x14ac:dyDescent="0.3">
      <c r="A2" s="5" t="s">
        <v>869</v>
      </c>
      <c r="B2" s="5" t="s">
        <v>870</v>
      </c>
      <c r="C2" s="5" t="s">
        <v>871</v>
      </c>
      <c r="D2" s="5" t="s">
        <v>9</v>
      </c>
      <c r="E2" s="5" t="s">
        <v>872</v>
      </c>
      <c r="F2" s="5" t="s">
        <v>873</v>
      </c>
      <c r="G2" s="5" t="s">
        <v>874</v>
      </c>
      <c r="H2" s="6">
        <v>43905</v>
      </c>
      <c r="I2" s="5" t="s">
        <v>875</v>
      </c>
    </row>
    <row r="3" spans="1:9" x14ac:dyDescent="0.3">
      <c r="A3" s="5" t="s">
        <v>876</v>
      </c>
      <c r="B3" s="5" t="s">
        <v>877</v>
      </c>
      <c r="C3" s="5" t="s">
        <v>878</v>
      </c>
      <c r="D3" s="5" t="s">
        <v>9</v>
      </c>
      <c r="E3" s="5" t="s">
        <v>872</v>
      </c>
      <c r="F3" s="5" t="s">
        <v>879</v>
      </c>
      <c r="G3" s="5" t="s">
        <v>874</v>
      </c>
      <c r="H3" s="6">
        <v>43636</v>
      </c>
      <c r="I3" s="5" t="s">
        <v>880</v>
      </c>
    </row>
    <row r="4" spans="1:9" x14ac:dyDescent="0.3">
      <c r="A4" s="5" t="s">
        <v>881</v>
      </c>
      <c r="B4" s="5" t="s">
        <v>882</v>
      </c>
      <c r="C4" s="5" t="s">
        <v>883</v>
      </c>
      <c r="D4" s="5" t="s">
        <v>9</v>
      </c>
      <c r="E4" s="5" t="s">
        <v>884</v>
      </c>
      <c r="F4" s="5" t="s">
        <v>885</v>
      </c>
      <c r="G4" s="5" t="s">
        <v>874</v>
      </c>
      <c r="H4" s="6">
        <v>44206</v>
      </c>
      <c r="I4" s="5" t="s">
        <v>886</v>
      </c>
    </row>
    <row r="5" spans="1:9" x14ac:dyDescent="0.3">
      <c r="A5" s="5" t="s">
        <v>887</v>
      </c>
      <c r="B5" s="5" t="s">
        <v>888</v>
      </c>
      <c r="C5" s="5" t="s">
        <v>889</v>
      </c>
      <c r="D5" s="5" t="s">
        <v>9</v>
      </c>
      <c r="E5" s="5" t="s">
        <v>884</v>
      </c>
      <c r="F5" s="5" t="s">
        <v>890</v>
      </c>
      <c r="G5" s="5" t="s">
        <v>874</v>
      </c>
      <c r="H5" s="6">
        <v>43344</v>
      </c>
      <c r="I5" s="5" t="s">
        <v>891</v>
      </c>
    </row>
    <row r="6" spans="1:9" x14ac:dyDescent="0.3">
      <c r="A6" s="5" t="s">
        <v>892</v>
      </c>
      <c r="B6" s="5" t="s">
        <v>893</v>
      </c>
      <c r="C6" s="5" t="s">
        <v>894</v>
      </c>
      <c r="D6" s="5" t="s">
        <v>9</v>
      </c>
      <c r="E6" s="5" t="s">
        <v>895</v>
      </c>
      <c r="F6" s="5" t="s">
        <v>896</v>
      </c>
      <c r="G6" s="5" t="s">
        <v>874</v>
      </c>
      <c r="H6" s="6">
        <v>44150</v>
      </c>
      <c r="I6" s="5" t="s">
        <v>897</v>
      </c>
    </row>
    <row r="7" spans="1:9" x14ac:dyDescent="0.3">
      <c r="A7" s="5" t="s">
        <v>898</v>
      </c>
      <c r="B7" s="5" t="s">
        <v>899</v>
      </c>
      <c r="C7" s="5" t="s">
        <v>900</v>
      </c>
      <c r="D7" s="5" t="s">
        <v>9</v>
      </c>
      <c r="E7" s="5" t="s">
        <v>895</v>
      </c>
      <c r="F7" s="5" t="s">
        <v>901</v>
      </c>
      <c r="G7" s="5" t="s">
        <v>874</v>
      </c>
      <c r="H7" s="6">
        <v>44620</v>
      </c>
      <c r="I7" s="5" t="s">
        <v>902</v>
      </c>
    </row>
    <row r="8" spans="1:9" x14ac:dyDescent="0.3">
      <c r="A8" s="5" t="s">
        <v>903</v>
      </c>
      <c r="B8" s="5" t="s">
        <v>904</v>
      </c>
      <c r="C8" s="5" t="s">
        <v>905</v>
      </c>
      <c r="D8" s="5" t="s">
        <v>9</v>
      </c>
      <c r="E8" s="5" t="s">
        <v>872</v>
      </c>
      <c r="F8" s="5" t="s">
        <v>906</v>
      </c>
      <c r="G8" s="5" t="s">
        <v>874</v>
      </c>
      <c r="H8" s="6">
        <v>43567</v>
      </c>
      <c r="I8" s="5" t="s">
        <v>907</v>
      </c>
    </row>
    <row r="9" spans="1:9" x14ac:dyDescent="0.3">
      <c r="A9" s="5" t="s">
        <v>908</v>
      </c>
      <c r="B9" s="5" t="s">
        <v>909</v>
      </c>
      <c r="C9" s="5" t="s">
        <v>910</v>
      </c>
      <c r="D9" s="5" t="s">
        <v>9</v>
      </c>
      <c r="E9" s="5" t="s">
        <v>884</v>
      </c>
      <c r="F9" s="5" t="s">
        <v>911</v>
      </c>
      <c r="G9" s="5" t="s">
        <v>874</v>
      </c>
      <c r="H9" s="6">
        <v>44399</v>
      </c>
      <c r="I9" s="5" t="s">
        <v>912</v>
      </c>
    </row>
    <row r="10" spans="1:9" x14ac:dyDescent="0.3">
      <c r="A10" s="5" t="s">
        <v>913</v>
      </c>
      <c r="B10" s="5" t="s">
        <v>914</v>
      </c>
      <c r="C10" s="5" t="s">
        <v>915</v>
      </c>
      <c r="D10" s="5" t="s">
        <v>9</v>
      </c>
      <c r="E10" s="5" t="s">
        <v>916</v>
      </c>
      <c r="F10" s="5" t="s">
        <v>917</v>
      </c>
      <c r="G10" s="5" t="s">
        <v>874</v>
      </c>
      <c r="H10" s="6">
        <v>44048</v>
      </c>
      <c r="I10" s="5" t="s">
        <v>918</v>
      </c>
    </row>
    <row r="11" spans="1:9" x14ac:dyDescent="0.3">
      <c r="A11" s="5" t="s">
        <v>919</v>
      </c>
      <c r="B11" s="5" t="s">
        <v>920</v>
      </c>
      <c r="C11" s="5" t="s">
        <v>921</v>
      </c>
      <c r="D11" s="5" t="s">
        <v>9</v>
      </c>
      <c r="E11" s="5" t="s">
        <v>872</v>
      </c>
      <c r="F11" s="5" t="s">
        <v>922</v>
      </c>
      <c r="G11" s="5" t="s">
        <v>874</v>
      </c>
      <c r="H11" s="6">
        <v>43070</v>
      </c>
      <c r="I11" s="5" t="s">
        <v>923</v>
      </c>
    </row>
    <row r="12" spans="1:9" x14ac:dyDescent="0.3">
      <c r="A12" s="5" t="s">
        <v>924</v>
      </c>
      <c r="B12" s="5" t="s">
        <v>925</v>
      </c>
      <c r="C12" s="5" t="s">
        <v>926</v>
      </c>
      <c r="D12" s="5" t="s">
        <v>9</v>
      </c>
      <c r="E12" s="5" t="s">
        <v>895</v>
      </c>
      <c r="F12" s="5" t="s">
        <v>927</v>
      </c>
      <c r="G12" s="5" t="s">
        <v>874</v>
      </c>
      <c r="H12" s="6">
        <v>44699</v>
      </c>
      <c r="I12" s="5" t="s">
        <v>928</v>
      </c>
    </row>
    <row r="13" spans="1:9" x14ac:dyDescent="0.3">
      <c r="A13" s="5" t="s">
        <v>929</v>
      </c>
      <c r="B13" s="5" t="s">
        <v>930</v>
      </c>
      <c r="C13" s="5" t="s">
        <v>931</v>
      </c>
      <c r="D13" s="5" t="s">
        <v>9</v>
      </c>
      <c r="E13" s="5" t="s">
        <v>884</v>
      </c>
      <c r="F13" s="5" t="s">
        <v>932</v>
      </c>
      <c r="G13" s="5" t="s">
        <v>933</v>
      </c>
      <c r="H13" s="6">
        <v>43768</v>
      </c>
      <c r="I13" s="5" t="s">
        <v>934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BA3DA-B169-4A63-AEEF-5F328A52BE21}">
  <sheetPr>
    <tabColor theme="4"/>
  </sheetPr>
  <dimension ref="A1:K15"/>
  <sheetViews>
    <sheetView workbookViewId="0">
      <pane ySplit="1" topLeftCell="A2" activePane="bottomLeft" state="frozen"/>
      <selection activeCell="H3" sqref="H3"/>
      <selection pane="bottomLeft" activeCell="H3" sqref="H3"/>
    </sheetView>
  </sheetViews>
  <sheetFormatPr defaultRowHeight="14.4" x14ac:dyDescent="0.3"/>
  <cols>
    <col min="1" max="1" width="13" customWidth="1"/>
    <col min="2" max="2" width="27.77734375" customWidth="1"/>
    <col min="3" max="3" width="40.77734375" customWidth="1"/>
    <col min="4" max="4" width="37" customWidth="1"/>
    <col min="5" max="5" width="16.6640625" customWidth="1"/>
    <col min="6" max="6" width="33.33203125" customWidth="1"/>
    <col min="7" max="7" width="17.5546875" customWidth="1"/>
    <col min="8" max="8" width="24.109375" customWidth="1"/>
    <col min="9" max="9" width="13" customWidth="1"/>
    <col min="10" max="10" width="17.5546875" customWidth="1"/>
    <col min="11" max="11" width="46.33203125" customWidth="1"/>
  </cols>
  <sheetData>
    <row r="1" spans="1:11" x14ac:dyDescent="0.3">
      <c r="A1" s="30" t="s">
        <v>1717</v>
      </c>
      <c r="B1" s="29" t="s">
        <v>864</v>
      </c>
      <c r="C1" s="29" t="s">
        <v>865</v>
      </c>
      <c r="D1" s="29" t="s">
        <v>1718</v>
      </c>
      <c r="E1" s="29" t="s">
        <v>1</v>
      </c>
      <c r="F1" s="29" t="s">
        <v>1719</v>
      </c>
      <c r="G1" s="29" t="s">
        <v>1720</v>
      </c>
      <c r="H1" s="29" t="s">
        <v>1721</v>
      </c>
      <c r="I1" s="29" t="s">
        <v>112</v>
      </c>
      <c r="J1" s="29" t="s">
        <v>1722</v>
      </c>
      <c r="K1" s="31" t="s">
        <v>114</v>
      </c>
    </row>
    <row r="2" spans="1:11" x14ac:dyDescent="0.3">
      <c r="A2" s="24" t="s">
        <v>1723</v>
      </c>
      <c r="B2" s="18" t="s">
        <v>1724</v>
      </c>
      <c r="C2" s="18" t="s">
        <v>1725</v>
      </c>
      <c r="D2" s="18" t="s">
        <v>1726</v>
      </c>
      <c r="E2" s="18" t="s">
        <v>9</v>
      </c>
      <c r="F2" s="18" t="s">
        <v>1727</v>
      </c>
      <c r="G2" s="19">
        <v>44635</v>
      </c>
      <c r="H2" s="18" t="s">
        <v>1728</v>
      </c>
      <c r="I2" s="18" t="s">
        <v>874</v>
      </c>
      <c r="J2" s="19">
        <v>46461</v>
      </c>
      <c r="K2" s="27" t="s">
        <v>1729</v>
      </c>
    </row>
    <row r="3" spans="1:11" x14ac:dyDescent="0.3">
      <c r="A3" s="24" t="s">
        <v>1730</v>
      </c>
      <c r="B3" s="18" t="s">
        <v>627</v>
      </c>
      <c r="C3" s="18" t="s">
        <v>1731</v>
      </c>
      <c r="D3" s="18" t="s">
        <v>1732</v>
      </c>
      <c r="E3" s="18" t="s">
        <v>9</v>
      </c>
      <c r="F3" s="18" t="s">
        <v>1727</v>
      </c>
      <c r="G3" s="19">
        <v>44936</v>
      </c>
      <c r="H3" s="18" t="s">
        <v>1724</v>
      </c>
      <c r="I3" s="18" t="s">
        <v>874</v>
      </c>
      <c r="J3" s="19">
        <v>46397</v>
      </c>
      <c r="K3" s="27" t="s">
        <v>1733</v>
      </c>
    </row>
    <row r="4" spans="1:11" x14ac:dyDescent="0.3">
      <c r="A4" s="24" t="s">
        <v>1734</v>
      </c>
      <c r="B4" s="18" t="s">
        <v>710</v>
      </c>
      <c r="C4" s="18" t="s">
        <v>1163</v>
      </c>
      <c r="D4" s="18" t="s">
        <v>1735</v>
      </c>
      <c r="E4" s="18" t="s">
        <v>9</v>
      </c>
      <c r="F4" s="18" t="s">
        <v>1736</v>
      </c>
      <c r="G4" s="19">
        <v>45097</v>
      </c>
      <c r="H4" s="18" t="s">
        <v>627</v>
      </c>
      <c r="I4" s="18" t="s">
        <v>874</v>
      </c>
      <c r="J4" s="19">
        <v>46387</v>
      </c>
      <c r="K4" s="27" t="s">
        <v>1737</v>
      </c>
    </row>
    <row r="5" spans="1:11" x14ac:dyDescent="0.3">
      <c r="A5" s="24" t="s">
        <v>1738</v>
      </c>
      <c r="B5" s="18" t="s">
        <v>712</v>
      </c>
      <c r="C5" s="18" t="s">
        <v>1739</v>
      </c>
      <c r="D5" s="18" t="s">
        <v>1740</v>
      </c>
      <c r="E5" s="18" t="s">
        <v>12</v>
      </c>
      <c r="F5" s="18" t="s">
        <v>1727</v>
      </c>
      <c r="G5" s="19">
        <v>44774</v>
      </c>
      <c r="H5" s="18" t="s">
        <v>1724</v>
      </c>
      <c r="I5" s="18" t="s">
        <v>874</v>
      </c>
      <c r="J5" s="19">
        <v>46600</v>
      </c>
      <c r="K5" s="27" t="s">
        <v>1741</v>
      </c>
    </row>
    <row r="6" spans="1:11" x14ac:dyDescent="0.3">
      <c r="A6" s="24" t="s">
        <v>1742</v>
      </c>
      <c r="B6" s="18" t="s">
        <v>1743</v>
      </c>
      <c r="C6" s="18" t="s">
        <v>1744</v>
      </c>
      <c r="D6" s="18" t="s">
        <v>1745</v>
      </c>
      <c r="E6" s="18" t="s">
        <v>9</v>
      </c>
      <c r="F6" s="18" t="s">
        <v>1727</v>
      </c>
      <c r="G6" s="19">
        <v>44326</v>
      </c>
      <c r="H6" s="18" t="s">
        <v>1728</v>
      </c>
      <c r="I6" s="18" t="s">
        <v>874</v>
      </c>
      <c r="J6" s="19">
        <v>46517</v>
      </c>
      <c r="K6" s="27" t="s">
        <v>1746</v>
      </c>
    </row>
    <row r="7" spans="1:11" x14ac:dyDescent="0.3">
      <c r="A7" s="24" t="s">
        <v>1747</v>
      </c>
      <c r="B7" s="18" t="s">
        <v>657</v>
      </c>
      <c r="C7" s="18" t="s">
        <v>1748</v>
      </c>
      <c r="D7" s="18" t="s">
        <v>1749</v>
      </c>
      <c r="E7" s="18" t="s">
        <v>9</v>
      </c>
      <c r="F7" s="18" t="s">
        <v>1750</v>
      </c>
      <c r="G7" s="19">
        <v>45337</v>
      </c>
      <c r="H7" s="18" t="s">
        <v>627</v>
      </c>
      <c r="I7" s="18" t="s">
        <v>874</v>
      </c>
      <c r="J7" s="19">
        <v>46249</v>
      </c>
      <c r="K7" s="27" t="s">
        <v>1751</v>
      </c>
    </row>
    <row r="8" spans="1:11" x14ac:dyDescent="0.3">
      <c r="A8" s="24" t="s">
        <v>1752</v>
      </c>
      <c r="B8" s="18" t="s">
        <v>730</v>
      </c>
      <c r="C8" s="18" t="s">
        <v>1165</v>
      </c>
      <c r="D8" s="18" t="s">
        <v>1753</v>
      </c>
      <c r="E8" s="18" t="s">
        <v>10</v>
      </c>
      <c r="F8" s="18" t="s">
        <v>1754</v>
      </c>
      <c r="G8" s="19">
        <v>45170</v>
      </c>
      <c r="H8" s="18" t="s">
        <v>627</v>
      </c>
      <c r="I8" s="18" t="s">
        <v>874</v>
      </c>
      <c r="J8" s="19">
        <v>46266</v>
      </c>
      <c r="K8" s="27" t="s">
        <v>1755</v>
      </c>
    </row>
    <row r="9" spans="1:11" x14ac:dyDescent="0.3">
      <c r="A9" s="24" t="s">
        <v>1756</v>
      </c>
      <c r="B9" s="18" t="s">
        <v>623</v>
      </c>
      <c r="C9" s="18" t="s">
        <v>1149</v>
      </c>
      <c r="D9" s="18" t="s">
        <v>1757</v>
      </c>
      <c r="E9" s="18" t="s">
        <v>5</v>
      </c>
      <c r="F9" s="18" t="s">
        <v>1758</v>
      </c>
      <c r="G9" s="19">
        <v>45031</v>
      </c>
      <c r="H9" s="18" t="s">
        <v>1724</v>
      </c>
      <c r="I9" s="18" t="s">
        <v>874</v>
      </c>
      <c r="J9" s="19">
        <v>46310</v>
      </c>
      <c r="K9" s="27" t="s">
        <v>1759</v>
      </c>
    </row>
    <row r="10" spans="1:11" x14ac:dyDescent="0.3">
      <c r="A10" s="24" t="s">
        <v>1760</v>
      </c>
      <c r="B10" s="18" t="s">
        <v>718</v>
      </c>
      <c r="C10" s="18" t="s">
        <v>1761</v>
      </c>
      <c r="D10" s="18" t="s">
        <v>1762</v>
      </c>
      <c r="E10" s="18" t="s">
        <v>9</v>
      </c>
      <c r="F10" s="18" t="s">
        <v>1763</v>
      </c>
      <c r="G10" s="19">
        <v>45296</v>
      </c>
      <c r="H10" s="18" t="s">
        <v>1743</v>
      </c>
      <c r="I10" s="18" t="s">
        <v>874</v>
      </c>
      <c r="J10" s="19">
        <v>46208</v>
      </c>
      <c r="K10" s="27" t="s">
        <v>1764</v>
      </c>
    </row>
    <row r="11" spans="1:11" x14ac:dyDescent="0.3">
      <c r="A11" s="24" t="s">
        <v>1765</v>
      </c>
      <c r="B11" s="18" t="s">
        <v>716</v>
      </c>
      <c r="C11" s="18" t="s">
        <v>1766</v>
      </c>
      <c r="D11" s="18" t="s">
        <v>1767</v>
      </c>
      <c r="E11" s="18" t="s">
        <v>12</v>
      </c>
      <c r="F11" s="18" t="s">
        <v>1768</v>
      </c>
      <c r="G11" s="19">
        <v>45250</v>
      </c>
      <c r="H11" s="18" t="s">
        <v>712</v>
      </c>
      <c r="I11" s="18" t="s">
        <v>874</v>
      </c>
      <c r="J11" s="19">
        <v>46346</v>
      </c>
      <c r="K11" s="27" t="s">
        <v>1769</v>
      </c>
    </row>
    <row r="12" spans="1:11" x14ac:dyDescent="0.3">
      <c r="A12" s="24" t="s">
        <v>1770</v>
      </c>
      <c r="B12" s="18" t="s">
        <v>722</v>
      </c>
      <c r="C12" s="18" t="s">
        <v>1771</v>
      </c>
      <c r="D12" s="18" t="s">
        <v>1772</v>
      </c>
      <c r="E12" s="18" t="s">
        <v>9</v>
      </c>
      <c r="F12" s="18" t="s">
        <v>1773</v>
      </c>
      <c r="G12" s="19">
        <v>45361</v>
      </c>
      <c r="H12" s="18" t="s">
        <v>710</v>
      </c>
      <c r="I12" s="18" t="s">
        <v>874</v>
      </c>
      <c r="J12" s="19">
        <v>46275</v>
      </c>
      <c r="K12" s="27" t="s">
        <v>1774</v>
      </c>
    </row>
    <row r="13" spans="1:11" x14ac:dyDescent="0.3">
      <c r="A13" s="25" t="s">
        <v>1775</v>
      </c>
      <c r="B13" s="20" t="s">
        <v>724</v>
      </c>
      <c r="C13" s="20" t="s">
        <v>1776</v>
      </c>
      <c r="D13" s="20" t="s">
        <v>1777</v>
      </c>
      <c r="E13" s="20" t="s">
        <v>9</v>
      </c>
      <c r="F13" s="20" t="s">
        <v>1778</v>
      </c>
      <c r="G13" s="21">
        <v>45122</v>
      </c>
      <c r="H13" s="20" t="s">
        <v>710</v>
      </c>
      <c r="I13" s="20" t="s">
        <v>874</v>
      </c>
      <c r="J13" s="21">
        <v>46218</v>
      </c>
      <c r="K13" s="28" t="s">
        <v>1779</v>
      </c>
    </row>
    <row r="15" spans="1:11" x14ac:dyDescent="0.3">
      <c r="A15" s="365" t="s">
        <v>1780</v>
      </c>
      <c r="B15" s="339"/>
      <c r="C15" s="339"/>
      <c r="D15" s="339"/>
      <c r="E15" s="339"/>
      <c r="F15" s="339"/>
      <c r="G15" s="339"/>
      <c r="H15" s="339"/>
      <c r="I15" s="339"/>
      <c r="J15" s="339"/>
      <c r="K15" s="339"/>
    </row>
  </sheetData>
  <mergeCells count="1">
    <mergeCell ref="A15:K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8773E-1641-478D-A1BA-53A189351204}">
  <sheetPr>
    <tabColor theme="5"/>
  </sheetPr>
  <dimension ref="A1:AC84"/>
  <sheetViews>
    <sheetView workbookViewId="0">
      <pane ySplit="4" topLeftCell="A5" activePane="bottomLeft" state="frozen"/>
      <selection activeCell="D1" sqref="D1"/>
      <selection pane="bottomLeft" activeCell="J2" sqref="J2"/>
    </sheetView>
  </sheetViews>
  <sheetFormatPr defaultRowHeight="14.4" x14ac:dyDescent="0.3"/>
  <cols>
    <col min="1" max="1" width="10.44140625" bestFit="1" customWidth="1"/>
    <col min="2" max="2" width="18.5546875" customWidth="1"/>
    <col min="3" max="3" width="13.5546875" bestFit="1" customWidth="1"/>
    <col min="4" max="4" width="24.109375" customWidth="1"/>
    <col min="5" max="5" width="22.5546875" style="165" customWidth="1"/>
    <col min="6" max="6" width="15.77734375" customWidth="1"/>
    <col min="7" max="7" width="7.88671875" bestFit="1" customWidth="1"/>
    <col min="8" max="8" width="15.77734375" customWidth="1"/>
    <col min="9" max="9" width="17.5546875" customWidth="1"/>
    <col min="10" max="10" width="15.77734375" customWidth="1"/>
    <col min="11" max="11" width="23.109375" bestFit="1" customWidth="1"/>
    <col min="12" max="12" width="17.109375" bestFit="1" customWidth="1"/>
    <col min="13" max="13" width="16.5546875" bestFit="1" customWidth="1"/>
    <col min="14" max="14" width="9.88671875" bestFit="1" customWidth="1"/>
    <col min="15" max="15" width="12.44140625" bestFit="1" customWidth="1"/>
    <col min="16" max="16" width="56.109375" bestFit="1" customWidth="1"/>
    <col min="17" max="17" width="17.5546875" customWidth="1"/>
    <col min="18" max="18" width="55.5546875" customWidth="1"/>
    <col min="19" max="19" width="25.88671875" customWidth="1"/>
    <col min="20" max="20" width="22.21875" customWidth="1"/>
    <col min="21" max="22" width="18.5546875" customWidth="1"/>
    <col min="23" max="24" width="22.21875" customWidth="1"/>
    <col min="25" max="25" width="16.6640625" customWidth="1"/>
    <col min="26" max="26" width="20.33203125" customWidth="1"/>
    <col min="27" max="27" width="27.77734375" customWidth="1"/>
    <col min="28" max="28" width="22.21875" customWidth="1"/>
    <col min="29" max="29" width="0" hidden="1" customWidth="1"/>
  </cols>
  <sheetData>
    <row r="1" spans="1:29" ht="18" x14ac:dyDescent="0.35">
      <c r="A1" s="366" t="s">
        <v>4173</v>
      </c>
      <c r="B1" s="366"/>
      <c r="C1" s="366"/>
      <c r="D1" s="366"/>
      <c r="E1" s="366"/>
      <c r="F1" s="366"/>
      <c r="G1" s="366"/>
      <c r="H1" s="366"/>
      <c r="I1" s="366"/>
      <c r="J1" s="366"/>
    </row>
    <row r="2" spans="1:29" x14ac:dyDescent="0.3">
      <c r="A2" s="1" t="s">
        <v>4175</v>
      </c>
      <c r="B2" s="210" t="s">
        <v>4096</v>
      </c>
      <c r="C2" s="208" t="s">
        <v>4176</v>
      </c>
      <c r="D2" s="207" t="s">
        <v>4096</v>
      </c>
      <c r="E2" s="209" t="s">
        <v>4125</v>
      </c>
      <c r="F2" s="207" t="s">
        <v>4174</v>
      </c>
      <c r="G2" s="208" t="s">
        <v>4198</v>
      </c>
      <c r="H2" s="207" t="s">
        <v>4096</v>
      </c>
      <c r="I2" s="208" t="s">
        <v>4199</v>
      </c>
      <c r="J2" s="211" t="s">
        <v>4096</v>
      </c>
    </row>
    <row r="3" spans="1:29" ht="15" thickBot="1" x14ac:dyDescent="0.35">
      <c r="A3" s="216" t="s">
        <v>4201</v>
      </c>
      <c r="B3" s="217" t="str">
        <f ca="1">COUNTIF(AC5:AC84,TRUE)&amp;" of "&amp;COUNTA(A5:A84)&amp;" releases"</f>
        <v>80 of 80 releases</v>
      </c>
      <c r="C3" s="218"/>
      <c r="D3" s="218"/>
      <c r="E3" s="219"/>
      <c r="F3" s="218"/>
      <c r="G3" s="218"/>
      <c r="H3" s="218"/>
      <c r="I3" s="218"/>
      <c r="J3" s="218"/>
      <c r="L3" s="213" t="s">
        <v>4202</v>
      </c>
    </row>
    <row r="4" spans="1:29" ht="25.05" customHeight="1" thickTop="1" x14ac:dyDescent="0.3">
      <c r="A4" s="214" t="s">
        <v>103</v>
      </c>
      <c r="B4" s="214" t="s">
        <v>104</v>
      </c>
      <c r="C4" s="214" t="s">
        <v>1</v>
      </c>
      <c r="D4" s="214" t="s">
        <v>2</v>
      </c>
      <c r="E4" s="215" t="s">
        <v>2696</v>
      </c>
      <c r="F4" s="214" t="s">
        <v>105</v>
      </c>
      <c r="G4" s="214" t="s">
        <v>106</v>
      </c>
      <c r="H4" s="214" t="s">
        <v>107</v>
      </c>
      <c r="I4" s="214" t="s">
        <v>1812</v>
      </c>
      <c r="J4" s="214" t="s">
        <v>108</v>
      </c>
      <c r="K4" s="4" t="s">
        <v>109</v>
      </c>
      <c r="L4" s="4" t="s">
        <v>110</v>
      </c>
      <c r="M4" s="4" t="s">
        <v>111</v>
      </c>
      <c r="N4" s="4" t="s">
        <v>112</v>
      </c>
      <c r="O4" s="4" t="s">
        <v>113</v>
      </c>
      <c r="P4" s="4" t="s">
        <v>114</v>
      </c>
      <c r="Q4" s="56" t="s">
        <v>1906</v>
      </c>
      <c r="R4" s="56" t="s">
        <v>1907</v>
      </c>
      <c r="S4" s="56" t="s">
        <v>1929</v>
      </c>
      <c r="T4" s="56" t="s">
        <v>1930</v>
      </c>
      <c r="U4" s="56" t="s">
        <v>1931</v>
      </c>
      <c r="V4" s="2" t="s">
        <v>2543</v>
      </c>
      <c r="W4" s="2" t="s">
        <v>2544</v>
      </c>
      <c r="X4" s="2" t="s">
        <v>2545</v>
      </c>
      <c r="Y4" s="2" t="s">
        <v>2546</v>
      </c>
      <c r="Z4" s="2" t="s">
        <v>2547</v>
      </c>
      <c r="AA4" s="2" t="s">
        <v>2548</v>
      </c>
      <c r="AB4" s="2" t="s">
        <v>2549</v>
      </c>
      <c r="AC4" s="212" t="s">
        <v>4200</v>
      </c>
    </row>
    <row r="5" spans="1:29" x14ac:dyDescent="0.3">
      <c r="A5" s="5" t="s">
        <v>115</v>
      </c>
      <c r="B5" s="5" t="s">
        <v>116</v>
      </c>
      <c r="C5" s="5" t="s">
        <v>5</v>
      </c>
      <c r="D5" s="5" t="s">
        <v>16</v>
      </c>
      <c r="E5" s="164" t="s">
        <v>3915</v>
      </c>
      <c r="F5" s="5" t="s">
        <v>117</v>
      </c>
      <c r="G5" s="5" t="s">
        <v>118</v>
      </c>
      <c r="H5" s="5" t="s">
        <v>119</v>
      </c>
      <c r="I5" s="6">
        <v>46201</v>
      </c>
      <c r="J5" s="6">
        <v>46203</v>
      </c>
      <c r="K5" s="6">
        <v>46203</v>
      </c>
      <c r="L5" s="5" t="s">
        <v>120</v>
      </c>
      <c r="M5" s="5" t="s">
        <v>121</v>
      </c>
      <c r="N5" s="5" t="s">
        <v>2577</v>
      </c>
      <c r="O5" s="5" t="s">
        <v>123</v>
      </c>
      <c r="P5" s="5" t="s">
        <v>124</v>
      </c>
      <c r="Q5" s="57">
        <v>0.75</v>
      </c>
      <c r="R5" t="s">
        <v>1908</v>
      </c>
      <c r="T5" t="s">
        <v>1933</v>
      </c>
      <c r="V5" t="s">
        <v>1109</v>
      </c>
      <c r="W5" t="s">
        <v>2550</v>
      </c>
      <c r="Y5" t="s">
        <v>2551</v>
      </c>
      <c r="Z5" s="57">
        <v>0.79</v>
      </c>
      <c r="AA5" t="s">
        <v>2552</v>
      </c>
      <c r="AB5" t="s">
        <v>2553</v>
      </c>
      <c r="AC5" t="b">
        <f ca="1">AND(
        IF($B$2="All",TRUE,$C5=$B$2),
        IF($D$2="All",TRUE,$D5=$D$2),
        IF($H$2="All",TRUE,$N5=$H$2),
        IF($J$2="All",TRUE,IF($J$2="Has Conflict",$O5&lt;&gt;"",IF($J$2="No Conflict",$O5="",TRUE))),
        IF($F$2="All Time",TRUE,IF($F$2="Today",$J5=TODAY(),IF($F$2="This Week",AND($J5&gt;=TODAY(),$J5&lt;=TODAY()+7),IF($F$2="This Month",AND($J5&gt;=TODAY(),$J5&lt;=TODAY()+30),AND($J5&gt;=DATE(YEAR(TODAY()),1,1),$J5&lt;=DATE(YEAR(TODAY()),12,31))))))
    )</f>
        <v>1</v>
      </c>
    </row>
    <row r="6" spans="1:29" x14ac:dyDescent="0.3">
      <c r="A6" s="5" t="s">
        <v>125</v>
      </c>
      <c r="B6" s="5" t="s">
        <v>126</v>
      </c>
      <c r="C6" s="5" t="s">
        <v>6</v>
      </c>
      <c r="D6" s="5" t="s">
        <v>35</v>
      </c>
      <c r="E6" s="164" t="s">
        <v>3915</v>
      </c>
      <c r="F6" s="5" t="s">
        <v>127</v>
      </c>
      <c r="G6" s="5" t="s">
        <v>128</v>
      </c>
      <c r="H6" s="5" t="s">
        <v>129</v>
      </c>
      <c r="I6" s="6">
        <v>46205</v>
      </c>
      <c r="J6" s="6">
        <v>46207</v>
      </c>
      <c r="K6" s="6">
        <v>46208</v>
      </c>
      <c r="L6" s="5" t="s">
        <v>130</v>
      </c>
      <c r="M6" s="5" t="s">
        <v>131</v>
      </c>
      <c r="N6" s="5" t="s">
        <v>2578</v>
      </c>
      <c r="O6" s="5"/>
      <c r="P6" s="5" t="s">
        <v>339</v>
      </c>
      <c r="Q6" s="57">
        <v>0.95</v>
      </c>
      <c r="V6" t="s">
        <v>1115</v>
      </c>
      <c r="W6" t="s">
        <v>2554</v>
      </c>
      <c r="Y6" t="s">
        <v>2555</v>
      </c>
      <c r="Z6" s="57">
        <v>0.85</v>
      </c>
      <c r="AA6" t="s">
        <v>2556</v>
      </c>
      <c r="AB6" t="s">
        <v>2557</v>
      </c>
      <c r="AC6" t="b">
        <f t="shared" ref="AC6:AC69" ca="1" si="0">AND(
        IF($B$2="All",TRUE,$C6=$B$2),
        IF($D$2="All",TRUE,$D6=$D$2),
        IF($H$2="All",TRUE,$N6=$H$2),
        IF($J$2="All",TRUE,IF($J$2="Has Conflict",$O6&lt;&gt;"",IF($J$2="No Conflict",$O6="",TRUE))),
        IF($F$2="All Time",TRUE,IF($F$2="Today",$J6=TODAY(),IF($F$2="This Week",AND($J6&gt;=TODAY(),$J6&lt;=TODAY()+7),IF($F$2="This Month",AND($J6&gt;=TODAY(),$J6&lt;=TODAY()+30),AND($J6&gt;=DATE(YEAR(TODAY()),1,1),$J6&lt;=DATE(YEAR(TODAY()),12,31))))))
    )</f>
        <v>1</v>
      </c>
    </row>
    <row r="7" spans="1:29" x14ac:dyDescent="0.3">
      <c r="A7" s="5" t="s">
        <v>132</v>
      </c>
      <c r="B7" s="5" t="s">
        <v>133</v>
      </c>
      <c r="C7" s="5" t="s">
        <v>7</v>
      </c>
      <c r="D7" s="5" t="s">
        <v>51</v>
      </c>
      <c r="E7" s="164" t="s">
        <v>3915</v>
      </c>
      <c r="F7" s="5" t="s">
        <v>117</v>
      </c>
      <c r="G7" s="5" t="s">
        <v>118</v>
      </c>
      <c r="H7" s="5" t="s">
        <v>134</v>
      </c>
      <c r="I7" s="6">
        <v>46203</v>
      </c>
      <c r="J7" s="6">
        <v>46205</v>
      </c>
      <c r="K7" s="6">
        <v>46205</v>
      </c>
      <c r="L7" s="5" t="s">
        <v>120</v>
      </c>
      <c r="M7" s="5" t="s">
        <v>121</v>
      </c>
      <c r="N7" s="5" t="s">
        <v>2578</v>
      </c>
      <c r="O7" s="5" t="s">
        <v>123</v>
      </c>
      <c r="P7" s="5" t="s">
        <v>135</v>
      </c>
      <c r="Q7" s="57">
        <v>0.7</v>
      </c>
      <c r="R7" t="s">
        <v>1909</v>
      </c>
      <c r="V7" t="s">
        <v>1118</v>
      </c>
      <c r="W7" t="s">
        <v>2554</v>
      </c>
      <c r="Y7" t="s">
        <v>2555</v>
      </c>
      <c r="Z7" s="57">
        <v>0.91</v>
      </c>
      <c r="AA7" t="s">
        <v>2558</v>
      </c>
      <c r="AB7" t="s">
        <v>2559</v>
      </c>
      <c r="AC7" t="b">
        <f t="shared" ca="1" si="0"/>
        <v>1</v>
      </c>
    </row>
    <row r="8" spans="1:29" x14ac:dyDescent="0.3">
      <c r="A8" s="5" t="s">
        <v>136</v>
      </c>
      <c r="B8" s="5" t="s">
        <v>137</v>
      </c>
      <c r="C8" s="5" t="s">
        <v>8</v>
      </c>
      <c r="D8" s="5" t="s">
        <v>56</v>
      </c>
      <c r="E8" s="164" t="s">
        <v>3915</v>
      </c>
      <c r="F8" s="5" t="s">
        <v>127</v>
      </c>
      <c r="G8" s="5" t="s">
        <v>128</v>
      </c>
      <c r="H8" s="5" t="s">
        <v>129</v>
      </c>
      <c r="I8" s="6">
        <v>46213</v>
      </c>
      <c r="J8" s="6">
        <v>46215</v>
      </c>
      <c r="K8" s="6">
        <v>46216</v>
      </c>
      <c r="L8" s="5" t="s">
        <v>138</v>
      </c>
      <c r="M8" s="5" t="s">
        <v>139</v>
      </c>
      <c r="N8" s="5" t="s">
        <v>2579</v>
      </c>
      <c r="O8" s="5"/>
      <c r="P8" s="5" t="s">
        <v>340</v>
      </c>
      <c r="Q8" s="57">
        <v>0.88</v>
      </c>
      <c r="V8" t="s">
        <v>1121</v>
      </c>
      <c r="W8" t="s">
        <v>2560</v>
      </c>
      <c r="Y8" t="s">
        <v>2287</v>
      </c>
      <c r="Z8" s="57">
        <v>0.78</v>
      </c>
      <c r="AA8" t="s">
        <v>2561</v>
      </c>
      <c r="AB8" t="s">
        <v>2557</v>
      </c>
      <c r="AC8" t="b">
        <f t="shared" ca="1" si="0"/>
        <v>1</v>
      </c>
    </row>
    <row r="9" spans="1:29" x14ac:dyDescent="0.3">
      <c r="A9" s="5" t="s">
        <v>140</v>
      </c>
      <c r="B9" s="5" t="s">
        <v>141</v>
      </c>
      <c r="C9" s="5" t="s">
        <v>9</v>
      </c>
      <c r="D9" s="5" t="s">
        <v>70</v>
      </c>
      <c r="E9" s="164" t="s">
        <v>3915</v>
      </c>
      <c r="F9" s="5" t="s">
        <v>127</v>
      </c>
      <c r="G9" s="5" t="s">
        <v>128</v>
      </c>
      <c r="H9" s="5" t="s">
        <v>142</v>
      </c>
      <c r="I9" s="6">
        <v>46217</v>
      </c>
      <c r="J9" s="6">
        <v>46219</v>
      </c>
      <c r="K9" s="6">
        <v>46220</v>
      </c>
      <c r="L9" s="5" t="s">
        <v>143</v>
      </c>
      <c r="M9" s="5" t="s">
        <v>144</v>
      </c>
      <c r="N9" s="5" t="s">
        <v>2337</v>
      </c>
      <c r="O9" s="5" t="s">
        <v>123</v>
      </c>
      <c r="P9" s="5" t="s">
        <v>145</v>
      </c>
      <c r="Q9" s="57">
        <v>0.8</v>
      </c>
      <c r="R9" t="s">
        <v>1910</v>
      </c>
      <c r="V9" t="s">
        <v>1124</v>
      </c>
      <c r="W9" t="s">
        <v>2337</v>
      </c>
      <c r="Y9" t="s">
        <v>2287</v>
      </c>
      <c r="Z9" s="57">
        <v>0.52</v>
      </c>
      <c r="AA9" t="s">
        <v>2562</v>
      </c>
      <c r="AB9" t="s">
        <v>2553</v>
      </c>
      <c r="AC9" t="b">
        <f t="shared" ca="1" si="0"/>
        <v>1</v>
      </c>
    </row>
    <row r="10" spans="1:29" x14ac:dyDescent="0.3">
      <c r="A10" s="5" t="s">
        <v>146</v>
      </c>
      <c r="B10" s="5" t="s">
        <v>147</v>
      </c>
      <c r="C10" s="5" t="s">
        <v>10</v>
      </c>
      <c r="D10" s="5" t="s">
        <v>74</v>
      </c>
      <c r="E10" s="164" t="s">
        <v>3915</v>
      </c>
      <c r="F10" s="5" t="s">
        <v>117</v>
      </c>
      <c r="G10" s="5" t="s">
        <v>127</v>
      </c>
      <c r="H10" s="5" t="s">
        <v>142</v>
      </c>
      <c r="I10" s="6">
        <v>46221</v>
      </c>
      <c r="J10" s="6">
        <v>46223</v>
      </c>
      <c r="K10" s="6">
        <v>46223</v>
      </c>
      <c r="L10" s="5" t="s">
        <v>148</v>
      </c>
      <c r="M10" s="5" t="s">
        <v>149</v>
      </c>
      <c r="N10" s="5" t="s">
        <v>2337</v>
      </c>
      <c r="O10" s="5"/>
      <c r="P10" s="5" t="s">
        <v>341</v>
      </c>
      <c r="Q10" s="57">
        <v>0.82</v>
      </c>
      <c r="V10" t="s">
        <v>1127</v>
      </c>
      <c r="W10" t="s">
        <v>2337</v>
      </c>
      <c r="Y10" t="s">
        <v>2287</v>
      </c>
      <c r="Z10" s="57">
        <v>0.64</v>
      </c>
      <c r="AA10" t="s">
        <v>2563</v>
      </c>
      <c r="AB10" t="s">
        <v>2559</v>
      </c>
      <c r="AC10" t="b">
        <f t="shared" ca="1" si="0"/>
        <v>1</v>
      </c>
    </row>
    <row r="11" spans="1:29" x14ac:dyDescent="0.3">
      <c r="A11" s="5" t="s">
        <v>150</v>
      </c>
      <c r="B11" s="5" t="s">
        <v>151</v>
      </c>
      <c r="C11" s="5" t="s">
        <v>11</v>
      </c>
      <c r="D11" s="5" t="s">
        <v>84</v>
      </c>
      <c r="E11" s="164" t="s">
        <v>3915</v>
      </c>
      <c r="F11" s="5" t="s">
        <v>127</v>
      </c>
      <c r="G11" s="5" t="s">
        <v>128</v>
      </c>
      <c r="H11" s="5" t="s">
        <v>142</v>
      </c>
      <c r="I11" s="6">
        <v>46205</v>
      </c>
      <c r="J11" s="6">
        <v>46207</v>
      </c>
      <c r="K11" s="6">
        <v>46208</v>
      </c>
      <c r="L11" s="5" t="s">
        <v>120</v>
      </c>
      <c r="M11" s="5" t="s">
        <v>121</v>
      </c>
      <c r="N11" s="5" t="s">
        <v>2578</v>
      </c>
      <c r="O11" s="5" t="s">
        <v>123</v>
      </c>
      <c r="P11" s="5" t="s">
        <v>152</v>
      </c>
      <c r="Q11" s="57">
        <v>0.65</v>
      </c>
      <c r="R11" t="s">
        <v>1911</v>
      </c>
      <c r="V11" t="s">
        <v>1130</v>
      </c>
      <c r="W11" t="s">
        <v>2554</v>
      </c>
      <c r="Y11" t="s">
        <v>2555</v>
      </c>
      <c r="Z11" s="57">
        <v>0.88</v>
      </c>
      <c r="AA11" t="s">
        <v>2564</v>
      </c>
      <c r="AB11" t="s">
        <v>2557</v>
      </c>
      <c r="AC11" t="b">
        <f t="shared" ca="1" si="0"/>
        <v>1</v>
      </c>
    </row>
    <row r="12" spans="1:29" x14ac:dyDescent="0.3">
      <c r="A12" s="5" t="s">
        <v>153</v>
      </c>
      <c r="B12" s="5" t="s">
        <v>154</v>
      </c>
      <c r="C12" s="5" t="s">
        <v>12</v>
      </c>
      <c r="D12" s="5" t="s">
        <v>93</v>
      </c>
      <c r="E12" s="164" t="s">
        <v>3915</v>
      </c>
      <c r="F12" s="5" t="s">
        <v>117</v>
      </c>
      <c r="G12" s="5" t="s">
        <v>118</v>
      </c>
      <c r="H12" s="5" t="s">
        <v>134</v>
      </c>
      <c r="I12" s="6">
        <v>46232</v>
      </c>
      <c r="J12" s="6">
        <v>46234</v>
      </c>
      <c r="K12" s="6">
        <v>46234</v>
      </c>
      <c r="L12" s="5" t="s">
        <v>155</v>
      </c>
      <c r="M12" s="5" t="s">
        <v>156</v>
      </c>
      <c r="N12" s="5" t="s">
        <v>2565</v>
      </c>
      <c r="O12" s="5"/>
      <c r="P12" s="5" t="s">
        <v>342</v>
      </c>
      <c r="Q12" s="57">
        <v>0.7</v>
      </c>
      <c r="V12" t="s">
        <v>1133</v>
      </c>
      <c r="W12" t="s">
        <v>2565</v>
      </c>
      <c r="Y12" t="s">
        <v>2566</v>
      </c>
      <c r="Z12" s="57">
        <v>0.26</v>
      </c>
      <c r="AA12" t="s">
        <v>2567</v>
      </c>
      <c r="AB12" t="s">
        <v>2553</v>
      </c>
      <c r="AC12" t="b">
        <f t="shared" ca="1" si="0"/>
        <v>1</v>
      </c>
    </row>
    <row r="13" spans="1:29" x14ac:dyDescent="0.3">
      <c r="A13" s="5" t="s">
        <v>157</v>
      </c>
      <c r="B13" s="5" t="s">
        <v>158</v>
      </c>
      <c r="C13" s="5" t="s">
        <v>5</v>
      </c>
      <c r="D13" s="5" t="s">
        <v>15</v>
      </c>
      <c r="E13" s="164" t="str" cm="1">
        <f t="array" ref="E13">IFERROR(_xlfn.TEXTJOIN(CHAR(10),TRUE,_xlfn._xlws.FILTER(#REF!&amp;": "&amp;#REF!,#REF!=$A13,"")),"")</f>
        <v/>
      </c>
      <c r="F13" s="5" t="s">
        <v>117</v>
      </c>
      <c r="G13" s="5" t="s">
        <v>127</v>
      </c>
      <c r="H13" s="5" t="s">
        <v>142</v>
      </c>
      <c r="I13" s="6">
        <v>46236</v>
      </c>
      <c r="J13" s="6">
        <v>46238</v>
      </c>
      <c r="K13" s="6">
        <v>46238</v>
      </c>
      <c r="L13" s="5" t="s">
        <v>159</v>
      </c>
      <c r="M13" s="5" t="s">
        <v>121</v>
      </c>
      <c r="N13" s="5" t="s">
        <v>2565</v>
      </c>
      <c r="O13" s="5" t="s">
        <v>123</v>
      </c>
      <c r="P13" s="5" t="s">
        <v>160</v>
      </c>
      <c r="Q13" s="57">
        <v>0.55000000000000004</v>
      </c>
      <c r="R13" t="s">
        <v>1912</v>
      </c>
      <c r="V13" t="s">
        <v>940</v>
      </c>
      <c r="W13" t="s">
        <v>2565</v>
      </c>
      <c r="X13" t="s">
        <v>150</v>
      </c>
      <c r="Y13" t="s">
        <v>2566</v>
      </c>
      <c r="Z13" s="57">
        <v>0.27</v>
      </c>
      <c r="AA13" t="s">
        <v>2552</v>
      </c>
      <c r="AB13" t="s">
        <v>2559</v>
      </c>
      <c r="AC13" t="b">
        <f t="shared" ca="1" si="0"/>
        <v>1</v>
      </c>
    </row>
    <row r="14" spans="1:29" x14ac:dyDescent="0.3">
      <c r="A14" s="5" t="s">
        <v>161</v>
      </c>
      <c r="B14" s="5" t="s">
        <v>162</v>
      </c>
      <c r="C14" s="5" t="s">
        <v>6</v>
      </c>
      <c r="D14" s="5" t="s">
        <v>36</v>
      </c>
      <c r="E14" s="164" t="s">
        <v>3915</v>
      </c>
      <c r="F14" s="5" t="s">
        <v>163</v>
      </c>
      <c r="G14" s="5" t="s">
        <v>127</v>
      </c>
      <c r="H14" s="5" t="s">
        <v>142</v>
      </c>
      <c r="I14" s="6">
        <v>46218</v>
      </c>
      <c r="J14" s="6">
        <v>46221</v>
      </c>
      <c r="K14" s="6">
        <v>46223</v>
      </c>
      <c r="L14" s="5" t="s">
        <v>143</v>
      </c>
      <c r="M14" s="5" t="s">
        <v>144</v>
      </c>
      <c r="N14" s="5" t="s">
        <v>2337</v>
      </c>
      <c r="O14" s="5" t="s">
        <v>123</v>
      </c>
      <c r="P14" s="5" t="s">
        <v>164</v>
      </c>
      <c r="Q14" s="57">
        <v>0.6</v>
      </c>
      <c r="R14" t="s">
        <v>1913</v>
      </c>
      <c r="V14" t="s">
        <v>946</v>
      </c>
      <c r="W14" t="s">
        <v>2337</v>
      </c>
      <c r="Y14" t="s">
        <v>2287</v>
      </c>
      <c r="Z14" s="57">
        <v>0.64</v>
      </c>
      <c r="AA14" t="s">
        <v>2556</v>
      </c>
      <c r="AB14" t="s">
        <v>2557</v>
      </c>
      <c r="AC14" t="b">
        <f t="shared" ca="1" si="0"/>
        <v>1</v>
      </c>
    </row>
    <row r="15" spans="1:29" x14ac:dyDescent="0.3">
      <c r="A15" s="5" t="s">
        <v>165</v>
      </c>
      <c r="B15" s="5" t="s">
        <v>166</v>
      </c>
      <c r="C15" s="5" t="s">
        <v>7</v>
      </c>
      <c r="D15" s="5" t="s">
        <v>47</v>
      </c>
      <c r="E15" s="164" t="s">
        <v>3915</v>
      </c>
      <c r="F15" s="5" t="s">
        <v>117</v>
      </c>
      <c r="G15" s="5" t="s">
        <v>118</v>
      </c>
      <c r="H15" s="5" t="s">
        <v>134</v>
      </c>
      <c r="I15" s="6">
        <v>46244</v>
      </c>
      <c r="J15" s="6">
        <v>46246</v>
      </c>
      <c r="K15" s="6">
        <v>46246</v>
      </c>
      <c r="L15" s="5" t="s">
        <v>167</v>
      </c>
      <c r="M15" s="5" t="s">
        <v>168</v>
      </c>
      <c r="N15" s="5" t="s">
        <v>2565</v>
      </c>
      <c r="O15" s="5" t="s">
        <v>123</v>
      </c>
      <c r="P15" s="5" t="s">
        <v>160</v>
      </c>
      <c r="Q15" s="57">
        <v>0.4</v>
      </c>
      <c r="V15" t="s">
        <v>949</v>
      </c>
      <c r="W15" t="s">
        <v>2565</v>
      </c>
      <c r="Y15" t="s">
        <v>2566</v>
      </c>
      <c r="Z15" s="57">
        <v>0.28999999999999998</v>
      </c>
      <c r="AA15" t="s">
        <v>2558</v>
      </c>
      <c r="AB15" t="s">
        <v>2559</v>
      </c>
      <c r="AC15" t="b">
        <f t="shared" ca="1" si="0"/>
        <v>1</v>
      </c>
    </row>
    <row r="16" spans="1:29" x14ac:dyDescent="0.3">
      <c r="A16" s="5" t="s">
        <v>169</v>
      </c>
      <c r="B16" s="5" t="s">
        <v>170</v>
      </c>
      <c r="C16" s="5" t="s">
        <v>8</v>
      </c>
      <c r="D16" s="5" t="s">
        <v>59</v>
      </c>
      <c r="E16" s="164" t="s">
        <v>3915</v>
      </c>
      <c r="F16" s="5" t="s">
        <v>117</v>
      </c>
      <c r="G16" s="5" t="s">
        <v>127</v>
      </c>
      <c r="H16" s="5" t="s">
        <v>134</v>
      </c>
      <c r="I16" s="6">
        <v>46207</v>
      </c>
      <c r="J16" s="6">
        <v>46209</v>
      </c>
      <c r="K16" s="6">
        <v>46209</v>
      </c>
      <c r="L16" s="5" t="s">
        <v>120</v>
      </c>
      <c r="M16" s="5" t="s">
        <v>121</v>
      </c>
      <c r="N16" s="5" t="s">
        <v>2578</v>
      </c>
      <c r="O16" s="5" t="s">
        <v>123</v>
      </c>
      <c r="P16" s="5" t="s">
        <v>135</v>
      </c>
      <c r="Q16" s="57">
        <v>0.72</v>
      </c>
      <c r="R16" t="s">
        <v>1914</v>
      </c>
      <c r="V16" t="s">
        <v>952</v>
      </c>
      <c r="W16" t="s">
        <v>2554</v>
      </c>
      <c r="Y16" t="s">
        <v>2555</v>
      </c>
      <c r="Z16" s="57">
        <v>0.89</v>
      </c>
      <c r="AA16" t="s">
        <v>2561</v>
      </c>
      <c r="AB16" t="s">
        <v>2553</v>
      </c>
      <c r="AC16" t="b">
        <f t="shared" ca="1" si="0"/>
        <v>1</v>
      </c>
    </row>
    <row r="17" spans="1:29" x14ac:dyDescent="0.3">
      <c r="A17" s="5" t="s">
        <v>171</v>
      </c>
      <c r="B17" s="5" t="s">
        <v>172</v>
      </c>
      <c r="C17" s="5" t="s">
        <v>9</v>
      </c>
      <c r="D17" s="5" t="s">
        <v>67</v>
      </c>
      <c r="E17" s="164" t="str" cm="1">
        <f t="array" ref="E17">IFERROR(_xlfn.TEXTJOIN(CHAR(10),TRUE,_xlfn._xlws.FILTER(#REF!&amp;": "&amp;#REF!,#REF!=$A17,"")),"")</f>
        <v/>
      </c>
      <c r="F17" s="5" t="s">
        <v>117</v>
      </c>
      <c r="G17" s="5" t="s">
        <v>118</v>
      </c>
      <c r="H17" s="5" t="s">
        <v>134</v>
      </c>
      <c r="I17" s="6">
        <v>46252</v>
      </c>
      <c r="J17" s="6">
        <v>46254</v>
      </c>
      <c r="K17" s="6">
        <v>46254</v>
      </c>
      <c r="L17" s="5" t="s">
        <v>173</v>
      </c>
      <c r="M17" s="5" t="s">
        <v>144</v>
      </c>
      <c r="N17" s="5" t="s">
        <v>2565</v>
      </c>
      <c r="O17" s="5" t="s">
        <v>123</v>
      </c>
      <c r="P17" s="5" t="s">
        <v>174</v>
      </c>
      <c r="Q17" s="57">
        <v>0.35</v>
      </c>
      <c r="V17" t="s">
        <v>955</v>
      </c>
      <c r="W17" t="s">
        <v>2565</v>
      </c>
      <c r="X17" t="s">
        <v>169</v>
      </c>
      <c r="Y17" t="s">
        <v>2566</v>
      </c>
      <c r="Z17" s="57">
        <v>0.49</v>
      </c>
      <c r="AA17" t="s">
        <v>2562</v>
      </c>
      <c r="AB17" t="s">
        <v>2559</v>
      </c>
      <c r="AC17" t="b">
        <f t="shared" ca="1" si="0"/>
        <v>1</v>
      </c>
    </row>
    <row r="18" spans="1:29" x14ac:dyDescent="0.3">
      <c r="A18" s="5" t="s">
        <v>175</v>
      </c>
      <c r="B18" s="5" t="s">
        <v>176</v>
      </c>
      <c r="C18" s="5" t="s">
        <v>10</v>
      </c>
      <c r="D18" s="5" t="s">
        <v>75</v>
      </c>
      <c r="E18" s="164" t="s">
        <v>3915</v>
      </c>
      <c r="F18" s="5" t="s">
        <v>163</v>
      </c>
      <c r="G18" s="5" t="s">
        <v>128</v>
      </c>
      <c r="H18" s="5" t="s">
        <v>142</v>
      </c>
      <c r="I18" s="6">
        <v>46245</v>
      </c>
      <c r="J18" s="6">
        <v>46248</v>
      </c>
      <c r="K18" s="6">
        <v>46250</v>
      </c>
      <c r="L18" s="5" t="s">
        <v>167</v>
      </c>
      <c r="M18" s="5" t="s">
        <v>168</v>
      </c>
      <c r="N18" s="5" t="s">
        <v>2565</v>
      </c>
      <c r="O18" s="5" t="s">
        <v>123</v>
      </c>
      <c r="P18" s="5" t="s">
        <v>177</v>
      </c>
      <c r="Q18" s="57">
        <v>0.45</v>
      </c>
      <c r="R18" t="s">
        <v>1915</v>
      </c>
      <c r="V18" t="s">
        <v>958</v>
      </c>
      <c r="W18" t="s">
        <v>2565</v>
      </c>
      <c r="Y18" t="s">
        <v>2566</v>
      </c>
      <c r="Z18" s="57">
        <v>0.21</v>
      </c>
      <c r="AA18" t="s">
        <v>2563</v>
      </c>
      <c r="AB18" t="s">
        <v>2557</v>
      </c>
      <c r="AC18" t="b">
        <f t="shared" ca="1" si="0"/>
        <v>1</v>
      </c>
    </row>
    <row r="19" spans="1:29" x14ac:dyDescent="0.3">
      <c r="A19" s="5" t="s">
        <v>178</v>
      </c>
      <c r="B19" s="5" t="s">
        <v>179</v>
      </c>
      <c r="C19" s="5" t="s">
        <v>11</v>
      </c>
      <c r="D19" s="5" t="s">
        <v>88</v>
      </c>
      <c r="E19" s="164" t="s">
        <v>3915</v>
      </c>
      <c r="F19" s="5" t="s">
        <v>163</v>
      </c>
      <c r="G19" s="5" t="s">
        <v>128</v>
      </c>
      <c r="H19" s="5" t="s">
        <v>142</v>
      </c>
      <c r="I19" s="6">
        <v>46253</v>
      </c>
      <c r="J19" s="6">
        <v>46256</v>
      </c>
      <c r="K19" s="6">
        <v>46258</v>
      </c>
      <c r="L19" s="5" t="s">
        <v>173</v>
      </c>
      <c r="M19" s="5" t="s">
        <v>144</v>
      </c>
      <c r="N19" s="5" t="s">
        <v>2565</v>
      </c>
      <c r="O19" s="5" t="s">
        <v>123</v>
      </c>
      <c r="P19" s="5" t="s">
        <v>180</v>
      </c>
      <c r="Q19" s="57">
        <v>0.38</v>
      </c>
      <c r="R19" t="s">
        <v>1916</v>
      </c>
      <c r="V19" t="s">
        <v>1109</v>
      </c>
      <c r="W19" t="s">
        <v>2565</v>
      </c>
      <c r="Y19" t="s">
        <v>2566</v>
      </c>
      <c r="Z19" s="57">
        <v>0.24</v>
      </c>
      <c r="AA19" t="s">
        <v>2564</v>
      </c>
      <c r="AB19" t="s">
        <v>2557</v>
      </c>
      <c r="AC19" t="b">
        <f t="shared" ca="1" si="0"/>
        <v>1</v>
      </c>
    </row>
    <row r="20" spans="1:29" x14ac:dyDescent="0.3">
      <c r="A20" s="5" t="s">
        <v>181</v>
      </c>
      <c r="B20" s="5" t="s">
        <v>182</v>
      </c>
      <c r="C20" s="5" t="s">
        <v>12</v>
      </c>
      <c r="D20" s="5" t="s">
        <v>98</v>
      </c>
      <c r="E20" s="164" t="s">
        <v>3915</v>
      </c>
      <c r="F20" s="5" t="s">
        <v>163</v>
      </c>
      <c r="G20" s="5" t="s">
        <v>128</v>
      </c>
      <c r="H20" s="5" t="s">
        <v>142</v>
      </c>
      <c r="I20" s="6">
        <v>46266</v>
      </c>
      <c r="J20" s="6">
        <v>46269</v>
      </c>
      <c r="K20" s="6">
        <v>46271</v>
      </c>
      <c r="L20" s="5" t="s">
        <v>155</v>
      </c>
      <c r="M20" s="5" t="s">
        <v>156</v>
      </c>
      <c r="N20" s="5" t="s">
        <v>2568</v>
      </c>
      <c r="O20" s="5"/>
      <c r="P20" s="5" t="s">
        <v>343</v>
      </c>
      <c r="Q20" s="57"/>
      <c r="U20" t="s">
        <v>1935</v>
      </c>
      <c r="V20" t="s">
        <v>1115</v>
      </c>
      <c r="W20" t="s">
        <v>2568</v>
      </c>
      <c r="Y20" t="s">
        <v>2566</v>
      </c>
      <c r="Z20" s="57">
        <v>7.0000000000000007E-2</v>
      </c>
      <c r="AA20" t="s">
        <v>2567</v>
      </c>
      <c r="AB20" t="s">
        <v>2557</v>
      </c>
      <c r="AC20" t="b">
        <f t="shared" ca="1" si="0"/>
        <v>1</v>
      </c>
    </row>
    <row r="21" spans="1:29" x14ac:dyDescent="0.3">
      <c r="A21" s="5" t="s">
        <v>183</v>
      </c>
      <c r="B21" s="5" t="s">
        <v>184</v>
      </c>
      <c r="C21" s="5" t="s">
        <v>5</v>
      </c>
      <c r="D21" s="5" t="s">
        <v>25</v>
      </c>
      <c r="E21" s="164" t="str" cm="1">
        <f t="array" ref="E21">IFERROR(_xlfn.TEXTJOIN(CHAR(10),TRUE,_xlfn._xlws.FILTER(#REF!&amp;": "&amp;#REF!,#REF!=$A21,"")),"")</f>
        <v/>
      </c>
      <c r="F21" s="5" t="s">
        <v>117</v>
      </c>
      <c r="G21" s="5" t="s">
        <v>118</v>
      </c>
      <c r="H21" s="5" t="s">
        <v>134</v>
      </c>
      <c r="I21" s="6">
        <v>46256</v>
      </c>
      <c r="J21" s="6">
        <v>46258</v>
      </c>
      <c r="K21" s="6">
        <v>46258</v>
      </c>
      <c r="L21" s="5" t="s">
        <v>173</v>
      </c>
      <c r="M21" s="5" t="s">
        <v>144</v>
      </c>
      <c r="N21" s="5" t="s">
        <v>2565</v>
      </c>
      <c r="O21" s="5" t="s">
        <v>123</v>
      </c>
      <c r="P21" s="5" t="s">
        <v>185</v>
      </c>
      <c r="Q21" s="57">
        <v>0.3</v>
      </c>
      <c r="V21" t="s">
        <v>1118</v>
      </c>
      <c r="W21" t="s">
        <v>2565</v>
      </c>
      <c r="X21" t="s">
        <v>2569</v>
      </c>
      <c r="Y21" t="s">
        <v>2566</v>
      </c>
      <c r="Z21" s="57">
        <v>0.35</v>
      </c>
      <c r="AA21" t="s">
        <v>2552</v>
      </c>
      <c r="AB21" t="s">
        <v>2553</v>
      </c>
      <c r="AC21" t="b">
        <f t="shared" ca="1" si="0"/>
        <v>1</v>
      </c>
    </row>
    <row r="22" spans="1:29" x14ac:dyDescent="0.3">
      <c r="A22" s="5" t="s">
        <v>186</v>
      </c>
      <c r="B22" s="5" t="s">
        <v>187</v>
      </c>
      <c r="C22" s="5" t="s">
        <v>6</v>
      </c>
      <c r="D22" s="5" t="s">
        <v>34</v>
      </c>
      <c r="E22" s="164" t="s">
        <v>3915</v>
      </c>
      <c r="F22" s="5" t="s">
        <v>117</v>
      </c>
      <c r="G22" s="5" t="s">
        <v>118</v>
      </c>
      <c r="H22" s="5" t="s">
        <v>134</v>
      </c>
      <c r="I22" s="6">
        <v>46275</v>
      </c>
      <c r="J22" s="6">
        <v>46277</v>
      </c>
      <c r="K22" s="6">
        <v>46277</v>
      </c>
      <c r="L22" s="5" t="s">
        <v>188</v>
      </c>
      <c r="M22" s="5" t="s">
        <v>189</v>
      </c>
      <c r="N22" s="5" t="s">
        <v>2568</v>
      </c>
      <c r="O22" s="5"/>
      <c r="P22" s="5" t="s">
        <v>344</v>
      </c>
      <c r="Q22" s="57"/>
      <c r="V22" t="s">
        <v>1121</v>
      </c>
      <c r="W22" t="s">
        <v>2568</v>
      </c>
      <c r="Y22" t="s">
        <v>2566</v>
      </c>
      <c r="Z22" s="57">
        <v>0.02</v>
      </c>
      <c r="AA22" t="s">
        <v>2556</v>
      </c>
      <c r="AB22" t="s">
        <v>2553</v>
      </c>
      <c r="AC22" t="b">
        <f t="shared" ca="1" si="0"/>
        <v>1</v>
      </c>
    </row>
    <row r="23" spans="1:29" x14ac:dyDescent="0.3">
      <c r="A23" s="5" t="s">
        <v>190</v>
      </c>
      <c r="B23" s="5" t="s">
        <v>191</v>
      </c>
      <c r="C23" s="5" t="s">
        <v>7</v>
      </c>
      <c r="D23" s="5" t="s">
        <v>44</v>
      </c>
      <c r="E23" s="164" t="s">
        <v>3915</v>
      </c>
      <c r="F23" s="5" t="s">
        <v>117</v>
      </c>
      <c r="G23" s="5" t="s">
        <v>118</v>
      </c>
      <c r="H23" s="5" t="s">
        <v>134</v>
      </c>
      <c r="I23" s="6">
        <v>46279</v>
      </c>
      <c r="J23" s="6">
        <v>46281</v>
      </c>
      <c r="K23" s="6">
        <v>46281</v>
      </c>
      <c r="L23" s="5" t="s">
        <v>192</v>
      </c>
      <c r="M23" s="5" t="s">
        <v>193</v>
      </c>
      <c r="N23" s="5" t="s">
        <v>2568</v>
      </c>
      <c r="O23" s="5" t="s">
        <v>123</v>
      </c>
      <c r="P23" s="5" t="s">
        <v>194</v>
      </c>
      <c r="Q23" s="57"/>
      <c r="V23" t="s">
        <v>1124</v>
      </c>
      <c r="W23" t="s">
        <v>2568</v>
      </c>
      <c r="Y23" t="s">
        <v>2566</v>
      </c>
      <c r="Z23" s="57">
        <v>0.05</v>
      </c>
      <c r="AA23" t="s">
        <v>2558</v>
      </c>
      <c r="AB23" t="s">
        <v>2559</v>
      </c>
      <c r="AC23" t="b">
        <f t="shared" ca="1" si="0"/>
        <v>1</v>
      </c>
    </row>
    <row r="24" spans="1:29" x14ac:dyDescent="0.3">
      <c r="A24" s="5" t="s">
        <v>195</v>
      </c>
      <c r="B24" s="5" t="s">
        <v>196</v>
      </c>
      <c r="C24" s="5" t="s">
        <v>8</v>
      </c>
      <c r="D24" s="5" t="s">
        <v>55</v>
      </c>
      <c r="E24" s="164" t="s">
        <v>3915</v>
      </c>
      <c r="F24" s="5" t="s">
        <v>117</v>
      </c>
      <c r="G24" s="5" t="s">
        <v>118</v>
      </c>
      <c r="H24" s="5" t="s">
        <v>134</v>
      </c>
      <c r="I24" s="6">
        <v>46283</v>
      </c>
      <c r="J24" s="6">
        <v>46285</v>
      </c>
      <c r="K24" s="6">
        <v>46285</v>
      </c>
      <c r="L24" s="5" t="s">
        <v>138</v>
      </c>
      <c r="M24" s="5" t="s">
        <v>139</v>
      </c>
      <c r="N24" s="5" t="s">
        <v>2568</v>
      </c>
      <c r="O24" s="5"/>
      <c r="P24" s="5" t="s">
        <v>345</v>
      </c>
      <c r="Q24" s="57"/>
      <c r="V24" t="s">
        <v>1127</v>
      </c>
      <c r="W24" t="s">
        <v>2568</v>
      </c>
      <c r="Y24" t="s">
        <v>2566</v>
      </c>
      <c r="Z24" s="57">
        <v>0.16</v>
      </c>
      <c r="AA24" t="s">
        <v>2561</v>
      </c>
      <c r="AB24" t="s">
        <v>2559</v>
      </c>
      <c r="AC24" t="b">
        <f t="shared" ca="1" si="0"/>
        <v>1</v>
      </c>
    </row>
    <row r="25" spans="1:29" x14ac:dyDescent="0.3">
      <c r="A25" s="5" t="s">
        <v>197</v>
      </c>
      <c r="B25" s="5" t="s">
        <v>198</v>
      </c>
      <c r="C25" s="5" t="s">
        <v>9</v>
      </c>
      <c r="D25" s="5" t="s">
        <v>66</v>
      </c>
      <c r="E25" s="164" t="str" cm="1">
        <f t="array" ref="E25">IFERROR(_xlfn.TEXTJOIN(CHAR(10),TRUE,_xlfn._xlws.FILTER(#REF!&amp;": "&amp;#REF!,#REF!=$A25,"")),"")</f>
        <v/>
      </c>
      <c r="F25" s="5" t="s">
        <v>117</v>
      </c>
      <c r="G25" s="5" t="s">
        <v>118</v>
      </c>
      <c r="H25" s="5" t="s">
        <v>134</v>
      </c>
      <c r="I25" s="6">
        <v>46281</v>
      </c>
      <c r="J25" s="6">
        <v>46283</v>
      </c>
      <c r="K25" s="6">
        <v>46283</v>
      </c>
      <c r="L25" s="5" t="s">
        <v>192</v>
      </c>
      <c r="M25" s="5" t="s">
        <v>193</v>
      </c>
      <c r="N25" s="5" t="s">
        <v>2568</v>
      </c>
      <c r="O25" s="5" t="s">
        <v>123</v>
      </c>
      <c r="P25" s="5" t="s">
        <v>199</v>
      </c>
      <c r="Q25" s="57"/>
      <c r="V25" t="s">
        <v>1130</v>
      </c>
      <c r="W25" t="s">
        <v>2568</v>
      </c>
      <c r="X25" t="s">
        <v>190</v>
      </c>
      <c r="Y25" t="s">
        <v>2566</v>
      </c>
      <c r="Z25" s="57">
        <v>0.04</v>
      </c>
      <c r="AA25" t="s">
        <v>2562</v>
      </c>
      <c r="AB25" t="s">
        <v>2559</v>
      </c>
      <c r="AC25" t="b">
        <f t="shared" ca="1" si="0"/>
        <v>1</v>
      </c>
    </row>
    <row r="26" spans="1:29" x14ac:dyDescent="0.3">
      <c r="A26" s="5" t="s">
        <v>200</v>
      </c>
      <c r="B26" s="5" t="s">
        <v>201</v>
      </c>
      <c r="C26" s="5" t="s">
        <v>10</v>
      </c>
      <c r="D26" s="5" t="s">
        <v>75</v>
      </c>
      <c r="E26" s="164" t="s">
        <v>3915</v>
      </c>
      <c r="F26" s="5" t="s">
        <v>127</v>
      </c>
      <c r="G26" s="5" t="s">
        <v>118</v>
      </c>
      <c r="H26" s="5" t="s">
        <v>134</v>
      </c>
      <c r="I26" s="6">
        <v>46258</v>
      </c>
      <c r="J26" s="6">
        <v>46260</v>
      </c>
      <c r="K26" s="6">
        <v>46261</v>
      </c>
      <c r="L26" s="5" t="s">
        <v>173</v>
      </c>
      <c r="M26" s="5" t="s">
        <v>144</v>
      </c>
      <c r="N26" s="5" t="s">
        <v>2565</v>
      </c>
      <c r="O26" s="5" t="s">
        <v>123</v>
      </c>
      <c r="P26" s="5" t="s">
        <v>180</v>
      </c>
      <c r="Q26" s="57">
        <v>0.28000000000000003</v>
      </c>
      <c r="R26" t="s">
        <v>1917</v>
      </c>
      <c r="V26" t="s">
        <v>1133</v>
      </c>
      <c r="W26" t="s">
        <v>2565</v>
      </c>
      <c r="Y26" t="s">
        <v>2566</v>
      </c>
      <c r="Z26" s="57">
        <v>0.32</v>
      </c>
      <c r="AA26" t="s">
        <v>2563</v>
      </c>
      <c r="AB26" t="s">
        <v>2557</v>
      </c>
      <c r="AC26" t="b">
        <f t="shared" ca="1" si="0"/>
        <v>1</v>
      </c>
    </row>
    <row r="27" spans="1:29" x14ac:dyDescent="0.3">
      <c r="A27" s="5" t="s">
        <v>202</v>
      </c>
      <c r="B27" s="5" t="s">
        <v>203</v>
      </c>
      <c r="C27" s="5" t="s">
        <v>11</v>
      </c>
      <c r="D27" s="5" t="s">
        <v>88</v>
      </c>
      <c r="E27" s="164" t="s">
        <v>3915</v>
      </c>
      <c r="F27" s="5" t="s">
        <v>127</v>
      </c>
      <c r="G27" s="5" t="s">
        <v>128</v>
      </c>
      <c r="H27" s="5" t="s">
        <v>129</v>
      </c>
      <c r="I27" s="6">
        <v>46297</v>
      </c>
      <c r="J27" s="6">
        <v>46299</v>
      </c>
      <c r="K27" s="6">
        <v>46300</v>
      </c>
      <c r="L27" s="5" t="s">
        <v>204</v>
      </c>
      <c r="M27" s="5" t="s">
        <v>205</v>
      </c>
      <c r="N27" s="5" t="s">
        <v>2568</v>
      </c>
      <c r="O27" s="5" t="s">
        <v>123</v>
      </c>
      <c r="P27" s="5" t="s">
        <v>206</v>
      </c>
      <c r="Q27" s="57"/>
      <c r="V27" t="s">
        <v>940</v>
      </c>
      <c r="W27" t="s">
        <v>2568</v>
      </c>
      <c r="Y27" t="s">
        <v>2566</v>
      </c>
      <c r="Z27" s="57">
        <v>0.05</v>
      </c>
      <c r="AA27" t="s">
        <v>2564</v>
      </c>
      <c r="AB27" t="s">
        <v>2557</v>
      </c>
      <c r="AC27" t="b">
        <f t="shared" ca="1" si="0"/>
        <v>1</v>
      </c>
    </row>
    <row r="28" spans="1:29" x14ac:dyDescent="0.3">
      <c r="A28" s="5" t="s">
        <v>207</v>
      </c>
      <c r="B28" s="5" t="s">
        <v>208</v>
      </c>
      <c r="C28" s="5" t="s">
        <v>12</v>
      </c>
      <c r="D28" s="5" t="s">
        <v>97</v>
      </c>
      <c r="E28" s="164" t="s">
        <v>3915</v>
      </c>
      <c r="F28" s="5" t="s">
        <v>117</v>
      </c>
      <c r="G28" s="5" t="s">
        <v>118</v>
      </c>
      <c r="H28" s="5" t="s">
        <v>134</v>
      </c>
      <c r="I28" s="6">
        <v>46301</v>
      </c>
      <c r="J28" s="6">
        <v>46303</v>
      </c>
      <c r="K28" s="6">
        <v>46303</v>
      </c>
      <c r="L28" s="5" t="s">
        <v>155</v>
      </c>
      <c r="M28" s="5" t="s">
        <v>156</v>
      </c>
      <c r="N28" s="5" t="s">
        <v>2568</v>
      </c>
      <c r="O28" s="5"/>
      <c r="P28" s="5" t="s">
        <v>346</v>
      </c>
      <c r="Q28" s="57"/>
      <c r="V28" t="s">
        <v>946</v>
      </c>
      <c r="W28" t="s">
        <v>2568</v>
      </c>
      <c r="Y28" t="s">
        <v>2566</v>
      </c>
      <c r="Z28" s="57">
        <v>0.04</v>
      </c>
      <c r="AA28" t="s">
        <v>2567</v>
      </c>
      <c r="AB28" t="s">
        <v>2559</v>
      </c>
      <c r="AC28" t="b">
        <f t="shared" ca="1" si="0"/>
        <v>1</v>
      </c>
    </row>
    <row r="29" spans="1:29" x14ac:dyDescent="0.3">
      <c r="A29" s="5" t="s">
        <v>209</v>
      </c>
      <c r="B29" s="5" t="s">
        <v>210</v>
      </c>
      <c r="C29" s="5" t="s">
        <v>5</v>
      </c>
      <c r="D29" s="5" t="s">
        <v>17</v>
      </c>
      <c r="E29" s="164" t="str" cm="1">
        <f t="array" ref="E29">IFERROR(_xlfn.TEXTJOIN(CHAR(10),TRUE,_xlfn._xlws.FILTER(#REF!&amp;": "&amp;#REF!,#REF!=$A29,"")),"")</f>
        <v/>
      </c>
      <c r="F29" s="5" t="s">
        <v>127</v>
      </c>
      <c r="G29" s="5" t="s">
        <v>127</v>
      </c>
      <c r="H29" s="5" t="s">
        <v>134</v>
      </c>
      <c r="I29" s="6">
        <v>46305</v>
      </c>
      <c r="J29" s="6">
        <v>46307</v>
      </c>
      <c r="K29" s="6">
        <v>46308</v>
      </c>
      <c r="L29" s="5" t="s">
        <v>159</v>
      </c>
      <c r="M29" s="5" t="s">
        <v>211</v>
      </c>
      <c r="N29" s="5" t="s">
        <v>2568</v>
      </c>
      <c r="O29" s="5"/>
      <c r="P29" s="5" t="s">
        <v>347</v>
      </c>
      <c r="Q29" s="57"/>
      <c r="U29" t="s">
        <v>1936</v>
      </c>
      <c r="V29" t="s">
        <v>949</v>
      </c>
      <c r="W29" t="s">
        <v>2568</v>
      </c>
      <c r="X29" t="s">
        <v>2570</v>
      </c>
      <c r="Y29" t="s">
        <v>2566</v>
      </c>
      <c r="Z29" s="57">
        <v>0.09</v>
      </c>
      <c r="AA29" t="s">
        <v>2552</v>
      </c>
      <c r="AB29" t="s">
        <v>2557</v>
      </c>
      <c r="AC29" t="b">
        <f t="shared" ca="1" si="0"/>
        <v>1</v>
      </c>
    </row>
    <row r="30" spans="1:29" x14ac:dyDescent="0.3">
      <c r="A30" s="5" t="s">
        <v>212</v>
      </c>
      <c r="B30" s="5" t="s">
        <v>213</v>
      </c>
      <c r="C30" s="5" t="s">
        <v>6</v>
      </c>
      <c r="D30" s="5" t="s">
        <v>38</v>
      </c>
      <c r="E30" s="164" t="s">
        <v>3915</v>
      </c>
      <c r="F30" s="5" t="s">
        <v>127</v>
      </c>
      <c r="G30" s="5" t="s">
        <v>118</v>
      </c>
      <c r="H30" s="5" t="s">
        <v>134</v>
      </c>
      <c r="I30" s="6">
        <v>46283</v>
      </c>
      <c r="J30" s="6">
        <v>46285</v>
      </c>
      <c r="K30" s="6">
        <v>46286</v>
      </c>
      <c r="L30" s="5" t="s">
        <v>192</v>
      </c>
      <c r="M30" s="5" t="s">
        <v>193</v>
      </c>
      <c r="N30" s="5" t="s">
        <v>2568</v>
      </c>
      <c r="O30" s="5" t="s">
        <v>123</v>
      </c>
      <c r="P30" s="5" t="s">
        <v>194</v>
      </c>
      <c r="Q30" s="57"/>
      <c r="V30" t="s">
        <v>952</v>
      </c>
      <c r="W30" t="s">
        <v>2568</v>
      </c>
      <c r="Y30" t="s">
        <v>2566</v>
      </c>
      <c r="Z30" s="57">
        <v>0.05</v>
      </c>
      <c r="AA30" t="s">
        <v>2556</v>
      </c>
      <c r="AB30" t="s">
        <v>2553</v>
      </c>
      <c r="AC30" t="b">
        <f t="shared" ca="1" si="0"/>
        <v>1</v>
      </c>
    </row>
    <row r="31" spans="1:29" x14ac:dyDescent="0.3">
      <c r="A31" s="5" t="s">
        <v>214</v>
      </c>
      <c r="B31" s="5" t="s">
        <v>215</v>
      </c>
      <c r="C31" s="5" t="s">
        <v>7</v>
      </c>
      <c r="D31" s="5" t="s">
        <v>43</v>
      </c>
      <c r="E31" s="164" t="s">
        <v>3915</v>
      </c>
      <c r="F31" s="5" t="s">
        <v>117</v>
      </c>
      <c r="G31" s="5" t="s">
        <v>118</v>
      </c>
      <c r="H31" s="5" t="s">
        <v>119</v>
      </c>
      <c r="I31" s="6">
        <v>46299</v>
      </c>
      <c r="J31" s="6">
        <v>46301</v>
      </c>
      <c r="K31" s="6">
        <v>46301</v>
      </c>
      <c r="L31" s="5" t="s">
        <v>204</v>
      </c>
      <c r="M31" s="5" t="s">
        <v>205</v>
      </c>
      <c r="N31" s="5" t="s">
        <v>2568</v>
      </c>
      <c r="O31" s="5" t="s">
        <v>123</v>
      </c>
      <c r="P31" s="5" t="s">
        <v>216</v>
      </c>
      <c r="Q31" s="57"/>
      <c r="V31" t="s">
        <v>955</v>
      </c>
      <c r="W31" t="s">
        <v>2568</v>
      </c>
      <c r="Y31" t="s">
        <v>2566</v>
      </c>
      <c r="Z31" s="57">
        <v>0.19</v>
      </c>
      <c r="AA31" t="s">
        <v>2558</v>
      </c>
      <c r="AB31" t="s">
        <v>2559</v>
      </c>
      <c r="AC31" t="b">
        <f t="shared" ca="1" si="0"/>
        <v>1</v>
      </c>
    </row>
    <row r="32" spans="1:29" x14ac:dyDescent="0.3">
      <c r="A32" s="5" t="s">
        <v>217</v>
      </c>
      <c r="B32" s="5" t="s">
        <v>218</v>
      </c>
      <c r="C32" s="5" t="s">
        <v>8</v>
      </c>
      <c r="D32" s="5" t="s">
        <v>53</v>
      </c>
      <c r="E32" s="164" t="s">
        <v>3915</v>
      </c>
      <c r="F32" s="5" t="s">
        <v>163</v>
      </c>
      <c r="G32" s="5" t="s">
        <v>128</v>
      </c>
      <c r="H32" s="5" t="s">
        <v>142</v>
      </c>
      <c r="I32" s="6">
        <v>46316</v>
      </c>
      <c r="J32" s="6">
        <v>46319</v>
      </c>
      <c r="K32" s="6">
        <v>46321</v>
      </c>
      <c r="L32" s="5" t="s">
        <v>138</v>
      </c>
      <c r="M32" s="5" t="s">
        <v>139</v>
      </c>
      <c r="N32" s="5" t="s">
        <v>2568</v>
      </c>
      <c r="O32" s="5"/>
      <c r="P32" s="5" t="s">
        <v>348</v>
      </c>
      <c r="Q32" s="57"/>
      <c r="V32" t="s">
        <v>958</v>
      </c>
      <c r="W32" t="s">
        <v>2568</v>
      </c>
      <c r="Y32" t="s">
        <v>2566</v>
      </c>
      <c r="Z32" s="57">
        <v>0.02</v>
      </c>
      <c r="AA32" t="s">
        <v>2561</v>
      </c>
      <c r="AB32" t="s">
        <v>2557</v>
      </c>
      <c r="AC32" t="b">
        <f t="shared" ca="1" si="0"/>
        <v>1</v>
      </c>
    </row>
    <row r="33" spans="1:29" x14ac:dyDescent="0.3">
      <c r="A33" s="5" t="s">
        <v>219</v>
      </c>
      <c r="B33" s="5" t="s">
        <v>220</v>
      </c>
      <c r="C33" s="5" t="s">
        <v>9</v>
      </c>
      <c r="D33" s="5" t="s">
        <v>70</v>
      </c>
      <c r="E33" s="164" t="str" cm="1">
        <f t="array" ref="E33">IFERROR(_xlfn.TEXTJOIN(CHAR(10),TRUE,_xlfn._xlws.FILTER(#REF!&amp;": "&amp;#REF!,#REF!=$A33,"")),"")</f>
        <v/>
      </c>
      <c r="F33" s="5" t="s">
        <v>127</v>
      </c>
      <c r="G33" s="5" t="s">
        <v>127</v>
      </c>
      <c r="H33" s="5" t="s">
        <v>142</v>
      </c>
      <c r="I33" s="6">
        <v>46324</v>
      </c>
      <c r="J33" s="6">
        <v>46326</v>
      </c>
      <c r="K33" s="6">
        <v>46327</v>
      </c>
      <c r="L33" s="5" t="s">
        <v>173</v>
      </c>
      <c r="M33" s="5" t="s">
        <v>144</v>
      </c>
      <c r="N33" s="5" t="s">
        <v>2568</v>
      </c>
      <c r="O33" s="5"/>
      <c r="P33" s="5" t="s">
        <v>349</v>
      </c>
      <c r="Q33" s="57"/>
      <c r="V33" t="s">
        <v>1109</v>
      </c>
      <c r="W33" t="s">
        <v>2568</v>
      </c>
      <c r="X33" t="s">
        <v>214</v>
      </c>
      <c r="Y33" t="s">
        <v>2566</v>
      </c>
      <c r="Z33" s="57">
        <v>0.01</v>
      </c>
      <c r="AA33" t="s">
        <v>2562</v>
      </c>
      <c r="AB33" t="s">
        <v>2557</v>
      </c>
      <c r="AC33" t="b">
        <f t="shared" ca="1" si="0"/>
        <v>1</v>
      </c>
    </row>
    <row r="34" spans="1:29" x14ac:dyDescent="0.3">
      <c r="A34" s="5" t="s">
        <v>221</v>
      </c>
      <c r="B34" s="5" t="s">
        <v>222</v>
      </c>
      <c r="C34" s="5" t="s">
        <v>10</v>
      </c>
      <c r="D34" s="5" t="s">
        <v>80</v>
      </c>
      <c r="E34" s="164" t="s">
        <v>3915</v>
      </c>
      <c r="F34" s="5" t="s">
        <v>127</v>
      </c>
      <c r="G34" s="5" t="s">
        <v>128</v>
      </c>
      <c r="H34" s="5" t="s">
        <v>142</v>
      </c>
      <c r="I34" s="6">
        <v>46328</v>
      </c>
      <c r="J34" s="6">
        <v>46330</v>
      </c>
      <c r="K34" s="6">
        <v>46331</v>
      </c>
      <c r="L34" s="5" t="s">
        <v>223</v>
      </c>
      <c r="M34" s="5" t="s">
        <v>149</v>
      </c>
      <c r="N34" s="5" t="s">
        <v>2568</v>
      </c>
      <c r="O34" s="5"/>
      <c r="P34" s="5" t="s">
        <v>350</v>
      </c>
      <c r="Q34" s="57"/>
      <c r="V34" t="s">
        <v>1115</v>
      </c>
      <c r="W34" t="s">
        <v>2568</v>
      </c>
      <c r="Y34" t="s">
        <v>2566</v>
      </c>
      <c r="Z34" s="57">
        <v>0.11</v>
      </c>
      <c r="AA34" t="s">
        <v>2563</v>
      </c>
      <c r="AB34" t="s">
        <v>2557</v>
      </c>
      <c r="AC34" t="b">
        <f t="shared" ca="1" si="0"/>
        <v>1</v>
      </c>
    </row>
    <row r="35" spans="1:29" x14ac:dyDescent="0.3">
      <c r="A35" s="5" t="s">
        <v>224</v>
      </c>
      <c r="B35" s="5" t="s">
        <v>225</v>
      </c>
      <c r="C35" s="5" t="s">
        <v>11</v>
      </c>
      <c r="D35" s="5" t="s">
        <v>84</v>
      </c>
      <c r="E35" s="164" t="s">
        <v>3915</v>
      </c>
      <c r="F35" s="5" t="s">
        <v>117</v>
      </c>
      <c r="G35" s="5" t="s">
        <v>118</v>
      </c>
      <c r="H35" s="5" t="s">
        <v>134</v>
      </c>
      <c r="I35" s="6">
        <v>46332</v>
      </c>
      <c r="J35" s="6">
        <v>46334</v>
      </c>
      <c r="K35" s="6">
        <v>46334</v>
      </c>
      <c r="L35" s="5" t="s">
        <v>204</v>
      </c>
      <c r="M35" s="5" t="s">
        <v>205</v>
      </c>
      <c r="N35" s="5" t="s">
        <v>2568</v>
      </c>
      <c r="O35" s="5"/>
      <c r="P35" s="5" t="s">
        <v>351</v>
      </c>
      <c r="Q35" s="57"/>
      <c r="U35" t="s">
        <v>1937</v>
      </c>
      <c r="V35" t="s">
        <v>1118</v>
      </c>
      <c r="W35" t="s">
        <v>2568</v>
      </c>
      <c r="Y35" t="s">
        <v>2566</v>
      </c>
      <c r="Z35" s="57">
        <v>0.05</v>
      </c>
      <c r="AA35" t="s">
        <v>2564</v>
      </c>
      <c r="AB35" t="s">
        <v>2553</v>
      </c>
      <c r="AC35" t="b">
        <f t="shared" ca="1" si="0"/>
        <v>1</v>
      </c>
    </row>
    <row r="36" spans="1:29" x14ac:dyDescent="0.3">
      <c r="A36" s="5" t="s">
        <v>226</v>
      </c>
      <c r="B36" s="5" t="s">
        <v>227</v>
      </c>
      <c r="C36" s="5" t="s">
        <v>12</v>
      </c>
      <c r="D36" s="5" t="s">
        <v>93</v>
      </c>
      <c r="E36" s="164" t="s">
        <v>3915</v>
      </c>
      <c r="F36" s="5" t="s">
        <v>117</v>
      </c>
      <c r="G36" s="5" t="s">
        <v>118</v>
      </c>
      <c r="H36" s="5" t="s">
        <v>119</v>
      </c>
      <c r="I36" s="6">
        <v>46336</v>
      </c>
      <c r="J36" s="6">
        <v>46338</v>
      </c>
      <c r="K36" s="6">
        <v>46338</v>
      </c>
      <c r="L36" s="5" t="s">
        <v>155</v>
      </c>
      <c r="M36" s="5" t="s">
        <v>156</v>
      </c>
      <c r="N36" s="5" t="s">
        <v>2568</v>
      </c>
      <c r="O36" s="5"/>
      <c r="P36" s="5" t="s">
        <v>341</v>
      </c>
      <c r="Q36" s="57"/>
      <c r="V36" t="s">
        <v>1121</v>
      </c>
      <c r="W36" t="s">
        <v>2568</v>
      </c>
      <c r="Y36" t="s">
        <v>2566</v>
      </c>
      <c r="Z36" s="57">
        <v>0.04</v>
      </c>
      <c r="AA36" t="s">
        <v>2567</v>
      </c>
      <c r="AB36" t="s">
        <v>2559</v>
      </c>
      <c r="AC36" t="b">
        <f t="shared" ca="1" si="0"/>
        <v>1</v>
      </c>
    </row>
    <row r="37" spans="1:29" x14ac:dyDescent="0.3">
      <c r="A37" s="5" t="s">
        <v>228</v>
      </c>
      <c r="B37" s="5" t="s">
        <v>229</v>
      </c>
      <c r="C37" s="5" t="s">
        <v>5</v>
      </c>
      <c r="D37" s="5" t="s">
        <v>15</v>
      </c>
      <c r="E37" s="164" t="str" cm="1">
        <f t="array" ref="E37">IFERROR(_xlfn.TEXTJOIN(CHAR(10),TRUE,_xlfn._xlws.FILTER(#REF!&amp;": "&amp;#REF!,#REF!=$A37,"")),"")</f>
        <v/>
      </c>
      <c r="F37" s="5" t="s">
        <v>163</v>
      </c>
      <c r="G37" s="5" t="s">
        <v>127</v>
      </c>
      <c r="H37" s="5" t="s">
        <v>142</v>
      </c>
      <c r="I37" s="6">
        <v>46339</v>
      </c>
      <c r="J37" s="6">
        <v>46342</v>
      </c>
      <c r="K37" s="6">
        <v>46344</v>
      </c>
      <c r="L37" s="5" t="s">
        <v>120</v>
      </c>
      <c r="M37" s="5" t="s">
        <v>121</v>
      </c>
      <c r="N37" s="5" t="s">
        <v>2568</v>
      </c>
      <c r="O37" s="5"/>
      <c r="P37" s="5" t="s">
        <v>349</v>
      </c>
      <c r="Q37" s="57"/>
      <c r="V37" t="s">
        <v>1124</v>
      </c>
      <c r="W37" t="s">
        <v>2568</v>
      </c>
      <c r="X37" t="s">
        <v>2571</v>
      </c>
      <c r="Y37" t="s">
        <v>2566</v>
      </c>
      <c r="Z37" s="57">
        <v>0.06</v>
      </c>
      <c r="AA37" t="s">
        <v>2552</v>
      </c>
      <c r="AB37" t="s">
        <v>2557</v>
      </c>
      <c r="AC37" t="b">
        <f t="shared" ca="1" si="0"/>
        <v>1</v>
      </c>
    </row>
    <row r="38" spans="1:29" x14ac:dyDescent="0.3">
      <c r="A38" s="5" t="s">
        <v>230</v>
      </c>
      <c r="B38" s="5" t="s">
        <v>231</v>
      </c>
      <c r="C38" s="5" t="s">
        <v>6</v>
      </c>
      <c r="D38" s="5" t="s">
        <v>36</v>
      </c>
      <c r="E38" s="164" t="s">
        <v>3915</v>
      </c>
      <c r="F38" s="5" t="s">
        <v>127</v>
      </c>
      <c r="G38" s="5" t="s">
        <v>118</v>
      </c>
      <c r="H38" s="5" t="s">
        <v>134</v>
      </c>
      <c r="I38" s="6">
        <v>46344</v>
      </c>
      <c r="J38" s="6">
        <v>46346</v>
      </c>
      <c r="K38" s="6">
        <v>46347</v>
      </c>
      <c r="L38" s="5" t="s">
        <v>130</v>
      </c>
      <c r="M38" s="5" t="s">
        <v>131</v>
      </c>
      <c r="N38" s="5" t="s">
        <v>2568</v>
      </c>
      <c r="O38" s="5"/>
      <c r="P38" s="5" t="s">
        <v>339</v>
      </c>
      <c r="Q38" s="57"/>
      <c r="V38" t="s">
        <v>1127</v>
      </c>
      <c r="W38" t="s">
        <v>2568</v>
      </c>
      <c r="Y38" t="s">
        <v>2566</v>
      </c>
      <c r="Z38" s="57">
        <v>0.11</v>
      </c>
      <c r="AA38" t="s">
        <v>2556</v>
      </c>
      <c r="AB38" t="s">
        <v>2553</v>
      </c>
      <c r="AC38" t="b">
        <f t="shared" ca="1" si="0"/>
        <v>1</v>
      </c>
    </row>
    <row r="39" spans="1:29" x14ac:dyDescent="0.3">
      <c r="A39" s="5" t="s">
        <v>232</v>
      </c>
      <c r="B39" s="5" t="s">
        <v>233</v>
      </c>
      <c r="C39" s="5" t="s">
        <v>7</v>
      </c>
      <c r="D39" s="5" t="s">
        <v>44</v>
      </c>
      <c r="E39" s="164" t="s">
        <v>3915</v>
      </c>
      <c r="F39" s="5" t="s">
        <v>117</v>
      </c>
      <c r="G39" s="5" t="s">
        <v>127</v>
      </c>
      <c r="H39" s="5" t="s">
        <v>142</v>
      </c>
      <c r="I39" s="6">
        <v>46348</v>
      </c>
      <c r="J39" s="6">
        <v>46350</v>
      </c>
      <c r="K39" s="6">
        <v>46350</v>
      </c>
      <c r="L39" s="5" t="s">
        <v>192</v>
      </c>
      <c r="M39" s="5" t="s">
        <v>193</v>
      </c>
      <c r="N39" s="5" t="s">
        <v>2568</v>
      </c>
      <c r="O39" s="5"/>
      <c r="P39" s="5" t="s">
        <v>343</v>
      </c>
      <c r="Q39" s="57"/>
      <c r="V39" t="s">
        <v>1130</v>
      </c>
      <c r="W39" t="s">
        <v>2568</v>
      </c>
      <c r="Y39" t="s">
        <v>2566</v>
      </c>
      <c r="Z39" s="57">
        <v>0.04</v>
      </c>
      <c r="AA39" t="s">
        <v>2558</v>
      </c>
      <c r="AB39" t="s">
        <v>2559</v>
      </c>
      <c r="AC39" t="b">
        <f t="shared" ca="1" si="0"/>
        <v>1</v>
      </c>
    </row>
    <row r="40" spans="1:29" x14ac:dyDescent="0.3">
      <c r="A40" s="5" t="s">
        <v>234</v>
      </c>
      <c r="B40" s="5" t="s">
        <v>235</v>
      </c>
      <c r="C40" s="5" t="s">
        <v>8</v>
      </c>
      <c r="D40" s="5" t="s">
        <v>59</v>
      </c>
      <c r="E40" s="164" t="s">
        <v>3915</v>
      </c>
      <c r="F40" s="5" t="s">
        <v>117</v>
      </c>
      <c r="G40" s="5" t="s">
        <v>118</v>
      </c>
      <c r="H40" s="5" t="s">
        <v>134</v>
      </c>
      <c r="I40" s="6">
        <v>46354</v>
      </c>
      <c r="J40" s="6">
        <v>46356</v>
      </c>
      <c r="K40" s="6">
        <v>46356</v>
      </c>
      <c r="L40" s="5" t="s">
        <v>138</v>
      </c>
      <c r="M40" s="5" t="s">
        <v>139</v>
      </c>
      <c r="N40" s="5" t="s">
        <v>2568</v>
      </c>
      <c r="O40" s="5"/>
      <c r="P40" s="5" t="s">
        <v>342</v>
      </c>
      <c r="Q40" s="57"/>
      <c r="V40" t="s">
        <v>1133</v>
      </c>
      <c r="W40" t="s">
        <v>2568</v>
      </c>
      <c r="Y40" t="s">
        <v>2566</v>
      </c>
      <c r="Z40" s="57">
        <v>0.02</v>
      </c>
      <c r="AA40" t="s">
        <v>2561</v>
      </c>
      <c r="AB40" t="s">
        <v>2553</v>
      </c>
      <c r="AC40" t="b">
        <f t="shared" ca="1" si="0"/>
        <v>1</v>
      </c>
    </row>
    <row r="41" spans="1:29" x14ac:dyDescent="0.3">
      <c r="A41" s="5" t="s">
        <v>236</v>
      </c>
      <c r="B41" s="5" t="s">
        <v>237</v>
      </c>
      <c r="C41" s="5" t="s">
        <v>9</v>
      </c>
      <c r="D41" s="5" t="s">
        <v>67</v>
      </c>
      <c r="E41" s="164" t="str" cm="1">
        <f t="array" ref="E41">IFERROR(_xlfn.TEXTJOIN(CHAR(10),TRUE,_xlfn._xlws.FILTER(#REF!&amp;": "&amp;#REF!,#REF!=$A41,"")),"")</f>
        <v/>
      </c>
      <c r="F41" s="5" t="s">
        <v>163</v>
      </c>
      <c r="G41" s="5" t="s">
        <v>128</v>
      </c>
      <c r="H41" s="5" t="s">
        <v>129</v>
      </c>
      <c r="I41" s="6">
        <v>46357</v>
      </c>
      <c r="J41" s="6">
        <v>46360</v>
      </c>
      <c r="K41" s="6">
        <v>46362</v>
      </c>
      <c r="L41" s="5" t="s">
        <v>173</v>
      </c>
      <c r="M41" s="5" t="s">
        <v>238</v>
      </c>
      <c r="N41" s="5" t="s">
        <v>2568</v>
      </c>
      <c r="O41" s="5"/>
      <c r="P41" s="5" t="s">
        <v>352</v>
      </c>
      <c r="Q41" s="57"/>
      <c r="V41" t="s">
        <v>940</v>
      </c>
      <c r="W41" t="s">
        <v>2568</v>
      </c>
      <c r="X41" t="s">
        <v>232</v>
      </c>
      <c r="Y41" t="s">
        <v>2566</v>
      </c>
      <c r="Z41" s="57">
        <v>0.1</v>
      </c>
      <c r="AA41" t="s">
        <v>2562</v>
      </c>
      <c r="AB41" t="s">
        <v>2557</v>
      </c>
      <c r="AC41" t="b">
        <f t="shared" ca="1" si="0"/>
        <v>1</v>
      </c>
    </row>
    <row r="42" spans="1:29" x14ac:dyDescent="0.3">
      <c r="A42" s="5" t="s">
        <v>239</v>
      </c>
      <c r="B42" s="5" t="s">
        <v>240</v>
      </c>
      <c r="C42" s="5" t="s">
        <v>10</v>
      </c>
      <c r="D42" s="5" t="s">
        <v>74</v>
      </c>
      <c r="E42" s="164" t="s">
        <v>3915</v>
      </c>
      <c r="F42" s="5" t="s">
        <v>117</v>
      </c>
      <c r="G42" s="5" t="s">
        <v>118</v>
      </c>
      <c r="H42" s="5" t="s">
        <v>134</v>
      </c>
      <c r="I42" s="6">
        <v>46362</v>
      </c>
      <c r="J42" s="6">
        <v>46364</v>
      </c>
      <c r="K42" s="6">
        <v>46364</v>
      </c>
      <c r="L42" s="5" t="s">
        <v>223</v>
      </c>
      <c r="M42" s="5" t="s">
        <v>241</v>
      </c>
      <c r="N42" s="5" t="s">
        <v>2568</v>
      </c>
      <c r="O42" s="5"/>
      <c r="P42" s="5" t="s">
        <v>350</v>
      </c>
      <c r="Q42" s="57"/>
      <c r="V42" t="s">
        <v>946</v>
      </c>
      <c r="W42" t="s">
        <v>2568</v>
      </c>
      <c r="Y42" t="s">
        <v>2566</v>
      </c>
      <c r="Z42" s="57">
        <v>0.03</v>
      </c>
      <c r="AA42" t="s">
        <v>2563</v>
      </c>
      <c r="AB42" t="s">
        <v>2553</v>
      </c>
      <c r="AC42" t="b">
        <f t="shared" ca="1" si="0"/>
        <v>1</v>
      </c>
    </row>
    <row r="43" spans="1:29" x14ac:dyDescent="0.3">
      <c r="A43" s="5" t="s">
        <v>242</v>
      </c>
      <c r="B43" s="5" t="s">
        <v>243</v>
      </c>
      <c r="C43" s="5" t="s">
        <v>11</v>
      </c>
      <c r="D43" s="5" t="s">
        <v>90</v>
      </c>
      <c r="E43" s="164" t="s">
        <v>3915</v>
      </c>
      <c r="F43" s="5" t="s">
        <v>163</v>
      </c>
      <c r="G43" s="5" t="s">
        <v>128</v>
      </c>
      <c r="H43" s="5" t="s">
        <v>129</v>
      </c>
      <c r="I43" s="6">
        <v>46365</v>
      </c>
      <c r="J43" s="6">
        <v>46368</v>
      </c>
      <c r="K43" s="6">
        <v>46370</v>
      </c>
      <c r="L43" s="5" t="s">
        <v>244</v>
      </c>
      <c r="M43" s="5" t="s">
        <v>245</v>
      </c>
      <c r="N43" s="5" t="s">
        <v>2568</v>
      </c>
      <c r="O43" s="5"/>
      <c r="P43" s="5" t="s">
        <v>345</v>
      </c>
      <c r="Q43" s="57"/>
      <c r="V43" t="s">
        <v>949</v>
      </c>
      <c r="W43" t="s">
        <v>2568</v>
      </c>
      <c r="Y43" t="s">
        <v>2566</v>
      </c>
      <c r="Z43" s="57">
        <v>0.03</v>
      </c>
      <c r="AA43" t="s">
        <v>2564</v>
      </c>
      <c r="AB43" t="s">
        <v>2557</v>
      </c>
      <c r="AC43" t="b">
        <f t="shared" ca="1" si="0"/>
        <v>1</v>
      </c>
    </row>
    <row r="44" spans="1:29" x14ac:dyDescent="0.3">
      <c r="A44" s="5" t="s">
        <v>246</v>
      </c>
      <c r="B44" s="5" t="s">
        <v>247</v>
      </c>
      <c r="C44" s="5" t="s">
        <v>12</v>
      </c>
      <c r="D44" s="5" t="s">
        <v>94</v>
      </c>
      <c r="E44" s="164" t="s">
        <v>3915</v>
      </c>
      <c r="F44" s="5" t="s">
        <v>117</v>
      </c>
      <c r="G44" s="5" t="s">
        <v>118</v>
      </c>
      <c r="H44" s="5" t="s">
        <v>119</v>
      </c>
      <c r="I44" s="6">
        <v>46370</v>
      </c>
      <c r="J44" s="6">
        <v>46372</v>
      </c>
      <c r="K44" s="6">
        <v>46372</v>
      </c>
      <c r="L44" s="5" t="s">
        <v>248</v>
      </c>
      <c r="M44" s="5" t="s">
        <v>156</v>
      </c>
      <c r="N44" s="5" t="s">
        <v>2568</v>
      </c>
      <c r="O44" s="5"/>
      <c r="P44" s="5" t="s">
        <v>348</v>
      </c>
      <c r="Q44" s="57"/>
      <c r="T44" t="s">
        <v>1934</v>
      </c>
      <c r="U44" t="s">
        <v>1935</v>
      </c>
      <c r="V44" t="s">
        <v>952</v>
      </c>
      <c r="W44" t="s">
        <v>2568</v>
      </c>
      <c r="Y44" t="s">
        <v>2566</v>
      </c>
      <c r="Z44" s="57">
        <v>0.17</v>
      </c>
      <c r="AA44" t="s">
        <v>2567</v>
      </c>
      <c r="AB44" t="s">
        <v>2553</v>
      </c>
      <c r="AC44" t="b">
        <f t="shared" ca="1" si="0"/>
        <v>1</v>
      </c>
    </row>
    <row r="45" spans="1:29" x14ac:dyDescent="0.3">
      <c r="A45" s="5" t="s">
        <v>249</v>
      </c>
      <c r="B45" s="5" t="s">
        <v>250</v>
      </c>
      <c r="C45" s="5" t="s">
        <v>5</v>
      </c>
      <c r="D45" s="5" t="s">
        <v>14</v>
      </c>
      <c r="E45" s="164" t="str" cm="1">
        <f t="array" ref="E45">IFERROR(_xlfn.TEXTJOIN(CHAR(10),TRUE,_xlfn._xlws.FILTER(#REF!&amp;": "&amp;#REF!,#REF!=$A45,"")),"")</f>
        <v/>
      </c>
      <c r="F45" s="5" t="s">
        <v>117</v>
      </c>
      <c r="G45" s="5" t="s">
        <v>118</v>
      </c>
      <c r="H45" s="5" t="s">
        <v>119</v>
      </c>
      <c r="I45" s="6">
        <v>46374</v>
      </c>
      <c r="J45" s="6">
        <v>46376</v>
      </c>
      <c r="K45" s="6">
        <v>46376</v>
      </c>
      <c r="L45" s="5" t="s">
        <v>120</v>
      </c>
      <c r="M45" s="5" t="s">
        <v>121</v>
      </c>
      <c r="N45" s="5" t="s">
        <v>2568</v>
      </c>
      <c r="O45" s="5" t="s">
        <v>123</v>
      </c>
      <c r="P45" s="5" t="s">
        <v>353</v>
      </c>
      <c r="Q45" s="57"/>
      <c r="T45" t="s">
        <v>1934</v>
      </c>
      <c r="V45" t="s">
        <v>955</v>
      </c>
      <c r="W45" t="s">
        <v>2568</v>
      </c>
      <c r="X45" t="s">
        <v>2572</v>
      </c>
      <c r="Y45" t="s">
        <v>2566</v>
      </c>
      <c r="Z45" s="57">
        <v>0.09</v>
      </c>
      <c r="AA45" t="s">
        <v>2552</v>
      </c>
      <c r="AB45" t="s">
        <v>2559</v>
      </c>
      <c r="AC45" t="b">
        <f t="shared" ca="1" si="0"/>
        <v>1</v>
      </c>
    </row>
    <row r="46" spans="1:29" x14ac:dyDescent="0.3">
      <c r="A46" s="5" t="s">
        <v>251</v>
      </c>
      <c r="B46" s="5" t="s">
        <v>252</v>
      </c>
      <c r="C46" s="5" t="s">
        <v>6</v>
      </c>
      <c r="D46" s="5" t="s">
        <v>34</v>
      </c>
      <c r="E46" s="164" t="s">
        <v>3915</v>
      </c>
      <c r="F46" s="5" t="s">
        <v>127</v>
      </c>
      <c r="G46" s="5" t="s">
        <v>127</v>
      </c>
      <c r="H46" s="5" t="s">
        <v>142</v>
      </c>
      <c r="I46" s="6">
        <v>46378</v>
      </c>
      <c r="J46" s="6">
        <v>46380</v>
      </c>
      <c r="K46" s="6">
        <v>46381</v>
      </c>
      <c r="L46" s="5" t="s">
        <v>130</v>
      </c>
      <c r="M46" s="5" t="s">
        <v>131</v>
      </c>
      <c r="N46" s="5" t="s">
        <v>2568</v>
      </c>
      <c r="O46" s="5"/>
      <c r="P46" s="5" t="s">
        <v>339</v>
      </c>
      <c r="Q46" s="57"/>
      <c r="S46" t="s">
        <v>1932</v>
      </c>
      <c r="T46" t="s">
        <v>1934</v>
      </c>
      <c r="V46" t="s">
        <v>958</v>
      </c>
      <c r="W46" t="s">
        <v>2568</v>
      </c>
      <c r="Y46" t="s">
        <v>2566</v>
      </c>
      <c r="Z46" s="57">
        <v>0.06</v>
      </c>
      <c r="AA46" t="s">
        <v>2556</v>
      </c>
      <c r="AB46" t="s">
        <v>2553</v>
      </c>
      <c r="AC46" t="b">
        <f t="shared" ca="1" si="0"/>
        <v>1</v>
      </c>
    </row>
    <row r="47" spans="1:29" x14ac:dyDescent="0.3">
      <c r="A47" s="5" t="s">
        <v>253</v>
      </c>
      <c r="B47" s="5" t="s">
        <v>254</v>
      </c>
      <c r="C47" s="5" t="s">
        <v>7</v>
      </c>
      <c r="D47" s="5" t="s">
        <v>45</v>
      </c>
      <c r="E47" s="164" t="s">
        <v>3915</v>
      </c>
      <c r="F47" s="5" t="s">
        <v>127</v>
      </c>
      <c r="G47" s="5" t="s">
        <v>127</v>
      </c>
      <c r="H47" s="5" t="s">
        <v>142</v>
      </c>
      <c r="I47" s="6">
        <v>46377</v>
      </c>
      <c r="J47" s="6">
        <v>46379</v>
      </c>
      <c r="K47" s="6">
        <v>46380</v>
      </c>
      <c r="L47" s="5" t="s">
        <v>120</v>
      </c>
      <c r="M47" s="5" t="s">
        <v>121</v>
      </c>
      <c r="N47" s="5" t="s">
        <v>2568</v>
      </c>
      <c r="O47" s="5" t="s">
        <v>123</v>
      </c>
      <c r="P47" s="5" t="s">
        <v>354</v>
      </c>
      <c r="Q47" s="57"/>
      <c r="T47" t="s">
        <v>1934</v>
      </c>
      <c r="V47" t="s">
        <v>1109</v>
      </c>
      <c r="W47" t="s">
        <v>2568</v>
      </c>
      <c r="Y47" t="s">
        <v>2566</v>
      </c>
      <c r="Z47" s="57">
        <v>0.16</v>
      </c>
      <c r="AA47" t="s">
        <v>2558</v>
      </c>
      <c r="AB47" t="s">
        <v>2553</v>
      </c>
      <c r="AC47" t="b">
        <f t="shared" ca="1" si="0"/>
        <v>1</v>
      </c>
    </row>
    <row r="48" spans="1:29" x14ac:dyDescent="0.3">
      <c r="A48" s="5" t="s">
        <v>255</v>
      </c>
      <c r="B48" s="5" t="s">
        <v>256</v>
      </c>
      <c r="C48" s="5" t="s">
        <v>8</v>
      </c>
      <c r="D48" s="5" t="s">
        <v>54</v>
      </c>
      <c r="E48" s="164" t="s">
        <v>3915</v>
      </c>
      <c r="F48" s="5" t="s">
        <v>127</v>
      </c>
      <c r="G48" s="5" t="s">
        <v>128</v>
      </c>
      <c r="H48" s="5" t="s">
        <v>142</v>
      </c>
      <c r="I48" s="6">
        <v>46389</v>
      </c>
      <c r="J48" s="6">
        <v>46391</v>
      </c>
      <c r="K48" s="6">
        <v>46392</v>
      </c>
      <c r="L48" s="5" t="s">
        <v>257</v>
      </c>
      <c r="M48" s="5" t="s">
        <v>139</v>
      </c>
      <c r="N48" s="5" t="s">
        <v>2568</v>
      </c>
      <c r="O48" s="5"/>
      <c r="P48" s="5" t="s">
        <v>355</v>
      </c>
      <c r="Q48" s="57"/>
      <c r="T48" t="s">
        <v>1934</v>
      </c>
      <c r="V48" t="s">
        <v>1115</v>
      </c>
      <c r="W48" t="s">
        <v>2568</v>
      </c>
      <c r="Y48" t="s">
        <v>2566</v>
      </c>
      <c r="Z48" s="57">
        <v>0.16</v>
      </c>
      <c r="AA48" t="s">
        <v>2561</v>
      </c>
      <c r="AB48" t="s">
        <v>2557</v>
      </c>
      <c r="AC48" t="b">
        <f t="shared" ca="1" si="0"/>
        <v>1</v>
      </c>
    </row>
    <row r="49" spans="1:29" x14ac:dyDescent="0.3">
      <c r="A49" s="5" t="s">
        <v>258</v>
      </c>
      <c r="B49" s="5" t="s">
        <v>259</v>
      </c>
      <c r="C49" s="5" t="s">
        <v>9</v>
      </c>
      <c r="D49" s="5" t="s">
        <v>66</v>
      </c>
      <c r="E49" s="164" t="str" cm="1">
        <f t="array" ref="E49">IFERROR(_xlfn.TEXTJOIN(CHAR(10),TRUE,_xlfn._xlws.FILTER(#REF!&amp;": "&amp;#REF!,#REF!=$A49,"")),"")</f>
        <v/>
      </c>
      <c r="F49" s="5" t="s">
        <v>163</v>
      </c>
      <c r="G49" s="5" t="s">
        <v>128</v>
      </c>
      <c r="H49" s="5" t="s">
        <v>129</v>
      </c>
      <c r="I49" s="6">
        <v>46392</v>
      </c>
      <c r="J49" s="6">
        <v>46395</v>
      </c>
      <c r="K49" s="6">
        <v>46397</v>
      </c>
      <c r="L49" s="5" t="s">
        <v>143</v>
      </c>
      <c r="M49" s="5" t="s">
        <v>144</v>
      </c>
      <c r="N49" s="5" t="s">
        <v>2568</v>
      </c>
      <c r="O49" s="5"/>
      <c r="P49" s="5" t="s">
        <v>348</v>
      </c>
      <c r="Q49" s="57"/>
      <c r="V49" t="s">
        <v>1118</v>
      </c>
      <c r="W49" t="s">
        <v>2568</v>
      </c>
      <c r="X49" t="s">
        <v>251</v>
      </c>
      <c r="Y49" t="s">
        <v>2566</v>
      </c>
      <c r="Z49" s="57">
        <v>0.17</v>
      </c>
      <c r="AA49" t="s">
        <v>2562</v>
      </c>
      <c r="AB49" t="s">
        <v>2557</v>
      </c>
      <c r="AC49" t="b">
        <f t="shared" ca="1" si="0"/>
        <v>1</v>
      </c>
    </row>
    <row r="50" spans="1:29" x14ac:dyDescent="0.3">
      <c r="A50" s="5" t="s">
        <v>260</v>
      </c>
      <c r="B50" s="5" t="s">
        <v>261</v>
      </c>
      <c r="C50" s="5" t="s">
        <v>10</v>
      </c>
      <c r="D50" s="5" t="s">
        <v>74</v>
      </c>
      <c r="E50" s="164" t="s">
        <v>3915</v>
      </c>
      <c r="F50" s="5" t="s">
        <v>117</v>
      </c>
      <c r="G50" s="5" t="s">
        <v>118</v>
      </c>
      <c r="H50" s="5" t="s">
        <v>119</v>
      </c>
      <c r="I50" s="6">
        <v>46397</v>
      </c>
      <c r="J50" s="6">
        <v>46399</v>
      </c>
      <c r="K50" s="6">
        <v>46399</v>
      </c>
      <c r="L50" s="5" t="s">
        <v>262</v>
      </c>
      <c r="M50" s="5" t="s">
        <v>241</v>
      </c>
      <c r="N50" s="5" t="s">
        <v>2568</v>
      </c>
      <c r="O50" s="5"/>
      <c r="P50" s="5" t="s">
        <v>339</v>
      </c>
      <c r="Q50" s="57"/>
      <c r="V50" t="s">
        <v>1121</v>
      </c>
      <c r="W50" t="s">
        <v>2568</v>
      </c>
      <c r="Y50" t="s">
        <v>2566</v>
      </c>
      <c r="Z50" s="57">
        <v>0.14000000000000001</v>
      </c>
      <c r="AA50" t="s">
        <v>2563</v>
      </c>
      <c r="AB50" t="s">
        <v>2553</v>
      </c>
      <c r="AC50" t="b">
        <f t="shared" ca="1" si="0"/>
        <v>1</v>
      </c>
    </row>
    <row r="51" spans="1:29" x14ac:dyDescent="0.3">
      <c r="A51" s="5" t="s">
        <v>263</v>
      </c>
      <c r="B51" s="5" t="s">
        <v>264</v>
      </c>
      <c r="C51" s="5" t="s">
        <v>11</v>
      </c>
      <c r="D51" s="5" t="s">
        <v>88</v>
      </c>
      <c r="E51" s="164" t="s">
        <v>3915</v>
      </c>
      <c r="F51" s="5" t="s">
        <v>127</v>
      </c>
      <c r="G51" s="5" t="s">
        <v>127</v>
      </c>
      <c r="H51" s="5" t="s">
        <v>134</v>
      </c>
      <c r="I51" s="6">
        <v>46401</v>
      </c>
      <c r="J51" s="6">
        <v>46403</v>
      </c>
      <c r="K51" s="6">
        <v>46404</v>
      </c>
      <c r="L51" s="5" t="s">
        <v>204</v>
      </c>
      <c r="M51" s="5" t="s">
        <v>205</v>
      </c>
      <c r="N51" s="5" t="s">
        <v>2568</v>
      </c>
      <c r="O51" s="5"/>
      <c r="P51" s="5" t="s">
        <v>352</v>
      </c>
      <c r="Q51" s="57"/>
      <c r="V51" t="s">
        <v>1124</v>
      </c>
      <c r="W51" t="s">
        <v>2568</v>
      </c>
      <c r="Y51" t="s">
        <v>2566</v>
      </c>
      <c r="Z51" s="57">
        <v>0.1</v>
      </c>
      <c r="AA51" t="s">
        <v>2564</v>
      </c>
      <c r="AB51" t="s">
        <v>2557</v>
      </c>
      <c r="AC51" t="b">
        <f t="shared" ca="1" si="0"/>
        <v>1</v>
      </c>
    </row>
    <row r="52" spans="1:29" x14ac:dyDescent="0.3">
      <c r="A52" s="5" t="s">
        <v>265</v>
      </c>
      <c r="B52" s="5" t="s">
        <v>266</v>
      </c>
      <c r="C52" s="5" t="s">
        <v>12</v>
      </c>
      <c r="D52" s="5" t="s">
        <v>97</v>
      </c>
      <c r="E52" s="164" t="s">
        <v>3915</v>
      </c>
      <c r="F52" s="5" t="s">
        <v>117</v>
      </c>
      <c r="G52" s="5" t="s">
        <v>118</v>
      </c>
      <c r="H52" s="5" t="s">
        <v>119</v>
      </c>
      <c r="I52" s="6">
        <v>46405</v>
      </c>
      <c r="J52" s="6">
        <v>46407</v>
      </c>
      <c r="K52" s="6">
        <v>46407</v>
      </c>
      <c r="L52" s="5" t="s">
        <v>248</v>
      </c>
      <c r="M52" s="5" t="s">
        <v>267</v>
      </c>
      <c r="N52" s="5" t="s">
        <v>2568</v>
      </c>
      <c r="O52" s="5"/>
      <c r="P52" s="5" t="s">
        <v>356</v>
      </c>
      <c r="Q52" s="57"/>
      <c r="V52" t="s">
        <v>1127</v>
      </c>
      <c r="W52" t="s">
        <v>2568</v>
      </c>
      <c r="Y52" t="s">
        <v>2566</v>
      </c>
      <c r="Z52" s="57">
        <v>0.17</v>
      </c>
      <c r="AA52" t="s">
        <v>2567</v>
      </c>
      <c r="AB52" t="s">
        <v>2559</v>
      </c>
      <c r="AC52" t="b">
        <f t="shared" ca="1" si="0"/>
        <v>1</v>
      </c>
    </row>
    <row r="53" spans="1:29" x14ac:dyDescent="0.3">
      <c r="A53" s="5" t="s">
        <v>268</v>
      </c>
      <c r="B53" s="5" t="s">
        <v>269</v>
      </c>
      <c r="C53" s="5" t="s">
        <v>5</v>
      </c>
      <c r="D53" s="5" t="s">
        <v>14</v>
      </c>
      <c r="E53" s="164" t="str" cm="1">
        <f t="array" ref="E53">IFERROR(_xlfn.TEXTJOIN(CHAR(10),TRUE,_xlfn._xlws.FILTER(#REF!&amp;": "&amp;#REF!,#REF!=$A53,"")),"")</f>
        <v/>
      </c>
      <c r="F53" s="5" t="s">
        <v>117</v>
      </c>
      <c r="G53" s="5" t="s">
        <v>118</v>
      </c>
      <c r="H53" s="5" t="s">
        <v>119</v>
      </c>
      <c r="I53" s="6">
        <v>46409</v>
      </c>
      <c r="J53" s="6">
        <v>46411</v>
      </c>
      <c r="K53" s="6">
        <v>46411</v>
      </c>
      <c r="L53" s="5" t="s">
        <v>270</v>
      </c>
      <c r="M53" s="5" t="s">
        <v>211</v>
      </c>
      <c r="N53" s="5" t="s">
        <v>2568</v>
      </c>
      <c r="O53" s="5"/>
      <c r="P53" s="5" t="s">
        <v>347</v>
      </c>
      <c r="Q53" s="57"/>
      <c r="U53" t="s">
        <v>1936</v>
      </c>
      <c r="V53" t="s">
        <v>1130</v>
      </c>
      <c r="W53" t="s">
        <v>2568</v>
      </c>
      <c r="X53" t="s">
        <v>2573</v>
      </c>
      <c r="Y53" t="s">
        <v>2566</v>
      </c>
      <c r="Z53" s="57">
        <v>0.18</v>
      </c>
      <c r="AA53" t="s">
        <v>2552</v>
      </c>
      <c r="AB53" t="s">
        <v>2559</v>
      </c>
      <c r="AC53" t="b">
        <f t="shared" ca="1" si="0"/>
        <v>1</v>
      </c>
    </row>
    <row r="54" spans="1:29" x14ac:dyDescent="0.3">
      <c r="A54" s="5" t="s">
        <v>271</v>
      </c>
      <c r="B54" s="5" t="s">
        <v>272</v>
      </c>
      <c r="C54" s="5" t="s">
        <v>6</v>
      </c>
      <c r="D54" s="5" t="s">
        <v>35</v>
      </c>
      <c r="E54" s="164" t="s">
        <v>3915</v>
      </c>
      <c r="F54" s="5" t="s">
        <v>117</v>
      </c>
      <c r="G54" s="5" t="s">
        <v>118</v>
      </c>
      <c r="H54" s="5" t="s">
        <v>119</v>
      </c>
      <c r="I54" s="6">
        <v>46416</v>
      </c>
      <c r="J54" s="6">
        <v>46418</v>
      </c>
      <c r="K54" s="6">
        <v>46418</v>
      </c>
      <c r="L54" s="5" t="s">
        <v>130</v>
      </c>
      <c r="M54" s="5" t="s">
        <v>189</v>
      </c>
      <c r="N54" s="5" t="s">
        <v>2568</v>
      </c>
      <c r="O54" s="5"/>
      <c r="P54" s="5" t="s">
        <v>351</v>
      </c>
      <c r="Q54" s="57"/>
      <c r="V54" t="s">
        <v>1133</v>
      </c>
      <c r="W54" t="s">
        <v>2568</v>
      </c>
      <c r="Y54" t="s">
        <v>2566</v>
      </c>
      <c r="Z54" s="57">
        <v>0</v>
      </c>
      <c r="AA54" t="s">
        <v>2556</v>
      </c>
      <c r="AB54" t="s">
        <v>2553</v>
      </c>
      <c r="AC54" t="b">
        <f t="shared" ca="1" si="0"/>
        <v>1</v>
      </c>
    </row>
    <row r="55" spans="1:29" x14ac:dyDescent="0.3">
      <c r="A55" s="5" t="s">
        <v>273</v>
      </c>
      <c r="B55" s="5" t="s">
        <v>274</v>
      </c>
      <c r="C55" s="5" t="s">
        <v>7</v>
      </c>
      <c r="D55" s="5" t="s">
        <v>47</v>
      </c>
      <c r="E55" s="164" t="s">
        <v>3915</v>
      </c>
      <c r="F55" s="5" t="s">
        <v>127</v>
      </c>
      <c r="G55" s="5" t="s">
        <v>127</v>
      </c>
      <c r="H55" s="5" t="s">
        <v>142</v>
      </c>
      <c r="I55" s="6">
        <v>46420</v>
      </c>
      <c r="J55" s="6">
        <v>46422</v>
      </c>
      <c r="K55" s="6">
        <v>46423</v>
      </c>
      <c r="L55" s="5" t="s">
        <v>275</v>
      </c>
      <c r="M55" s="5" t="s">
        <v>193</v>
      </c>
      <c r="N55" s="5" t="s">
        <v>2568</v>
      </c>
      <c r="O55" s="5"/>
      <c r="P55" s="5" t="s">
        <v>357</v>
      </c>
      <c r="Q55" s="57"/>
      <c r="V55" t="s">
        <v>940</v>
      </c>
      <c r="W55" t="s">
        <v>2568</v>
      </c>
      <c r="Y55" t="s">
        <v>2566</v>
      </c>
      <c r="Z55" s="57">
        <v>0.03</v>
      </c>
      <c r="AA55" t="s">
        <v>2558</v>
      </c>
      <c r="AB55" t="s">
        <v>2553</v>
      </c>
      <c r="AC55" t="b">
        <f t="shared" ca="1" si="0"/>
        <v>1</v>
      </c>
    </row>
    <row r="56" spans="1:29" x14ac:dyDescent="0.3">
      <c r="A56" s="5" t="s">
        <v>276</v>
      </c>
      <c r="B56" s="5" t="s">
        <v>277</v>
      </c>
      <c r="C56" s="5" t="s">
        <v>8</v>
      </c>
      <c r="D56" s="5" t="s">
        <v>53</v>
      </c>
      <c r="E56" s="164" t="s">
        <v>3915</v>
      </c>
      <c r="F56" s="5" t="s">
        <v>117</v>
      </c>
      <c r="G56" s="5" t="s">
        <v>118</v>
      </c>
      <c r="H56" s="5" t="s">
        <v>119</v>
      </c>
      <c r="I56" s="6">
        <v>46424</v>
      </c>
      <c r="J56" s="6">
        <v>46426</v>
      </c>
      <c r="K56" s="6">
        <v>46426</v>
      </c>
      <c r="L56" s="5" t="s">
        <v>257</v>
      </c>
      <c r="M56" s="5" t="s">
        <v>139</v>
      </c>
      <c r="N56" s="5" t="s">
        <v>2568</v>
      </c>
      <c r="O56" s="5"/>
      <c r="P56" s="5" t="s">
        <v>347</v>
      </c>
      <c r="Q56" s="57"/>
      <c r="V56" t="s">
        <v>946</v>
      </c>
      <c r="W56" t="s">
        <v>2568</v>
      </c>
      <c r="Y56" t="s">
        <v>2566</v>
      </c>
      <c r="Z56" s="57">
        <v>0.12</v>
      </c>
      <c r="AA56" t="s">
        <v>2561</v>
      </c>
      <c r="AB56" t="s">
        <v>2559</v>
      </c>
      <c r="AC56" t="b">
        <f t="shared" ca="1" si="0"/>
        <v>1</v>
      </c>
    </row>
    <row r="57" spans="1:29" x14ac:dyDescent="0.3">
      <c r="A57" s="5" t="s">
        <v>278</v>
      </c>
      <c r="B57" s="5" t="s">
        <v>279</v>
      </c>
      <c r="C57" s="5" t="s">
        <v>9</v>
      </c>
      <c r="D57" s="5" t="s">
        <v>66</v>
      </c>
      <c r="E57" s="164" t="str" cm="1">
        <f t="array" ref="E57">IFERROR(_xlfn.TEXTJOIN(CHAR(10),TRUE,_xlfn._xlws.FILTER(#REF!&amp;": "&amp;#REF!,#REF!=$A57,"")),"")</f>
        <v/>
      </c>
      <c r="F57" s="5" t="s">
        <v>163</v>
      </c>
      <c r="G57" s="5" t="s">
        <v>128</v>
      </c>
      <c r="H57" s="5" t="s">
        <v>129</v>
      </c>
      <c r="I57" s="6">
        <v>46427</v>
      </c>
      <c r="J57" s="6">
        <v>46430</v>
      </c>
      <c r="K57" s="6">
        <v>46432</v>
      </c>
      <c r="L57" s="5" t="s">
        <v>173</v>
      </c>
      <c r="M57" s="5" t="s">
        <v>238</v>
      </c>
      <c r="N57" s="5" t="s">
        <v>2568</v>
      </c>
      <c r="O57" s="5"/>
      <c r="P57" s="5" t="s">
        <v>350</v>
      </c>
      <c r="Q57" s="57"/>
      <c r="V57" t="s">
        <v>949</v>
      </c>
      <c r="W57" t="s">
        <v>2568</v>
      </c>
      <c r="X57" t="s">
        <v>273</v>
      </c>
      <c r="Y57" t="s">
        <v>2566</v>
      </c>
      <c r="Z57" s="57">
        <v>0.06</v>
      </c>
      <c r="AA57" t="s">
        <v>2562</v>
      </c>
      <c r="AB57" t="s">
        <v>2557</v>
      </c>
      <c r="AC57" t="b">
        <f t="shared" ca="1" si="0"/>
        <v>1</v>
      </c>
    </row>
    <row r="58" spans="1:29" x14ac:dyDescent="0.3">
      <c r="A58" s="5" t="s">
        <v>280</v>
      </c>
      <c r="B58" s="5" t="s">
        <v>281</v>
      </c>
      <c r="C58" s="5" t="s">
        <v>10</v>
      </c>
      <c r="D58" s="5" t="s">
        <v>73</v>
      </c>
      <c r="E58" s="164" t="s">
        <v>3915</v>
      </c>
      <c r="F58" s="5" t="s">
        <v>163</v>
      </c>
      <c r="G58" s="5" t="s">
        <v>128</v>
      </c>
      <c r="H58" s="5" t="s">
        <v>142</v>
      </c>
      <c r="I58" s="6">
        <v>46431</v>
      </c>
      <c r="J58" s="6">
        <v>46434</v>
      </c>
      <c r="K58" s="6">
        <v>46436</v>
      </c>
      <c r="L58" s="5" t="s">
        <v>148</v>
      </c>
      <c r="M58" s="5" t="s">
        <v>149</v>
      </c>
      <c r="N58" s="5" t="s">
        <v>2568</v>
      </c>
      <c r="O58" s="5"/>
      <c r="P58" s="5" t="s">
        <v>358</v>
      </c>
      <c r="Q58" s="57"/>
      <c r="V58" t="s">
        <v>952</v>
      </c>
      <c r="W58" t="s">
        <v>2568</v>
      </c>
      <c r="Y58" t="s">
        <v>2566</v>
      </c>
      <c r="Z58" s="57">
        <v>0.02</v>
      </c>
      <c r="AA58" t="s">
        <v>2563</v>
      </c>
      <c r="AB58" t="s">
        <v>2557</v>
      </c>
      <c r="AC58" t="b">
        <f t="shared" ca="1" si="0"/>
        <v>1</v>
      </c>
    </row>
    <row r="59" spans="1:29" x14ac:dyDescent="0.3">
      <c r="A59" s="5" t="s">
        <v>282</v>
      </c>
      <c r="B59" s="5" t="s">
        <v>283</v>
      </c>
      <c r="C59" s="5" t="s">
        <v>11</v>
      </c>
      <c r="D59" s="5" t="s">
        <v>88</v>
      </c>
      <c r="E59" s="164" t="s">
        <v>3915</v>
      </c>
      <c r="F59" s="5" t="s">
        <v>163</v>
      </c>
      <c r="G59" s="5" t="s">
        <v>128</v>
      </c>
      <c r="H59" s="5" t="s">
        <v>129</v>
      </c>
      <c r="I59" s="6">
        <v>46435</v>
      </c>
      <c r="J59" s="6">
        <v>46438</v>
      </c>
      <c r="K59" s="6">
        <v>46440</v>
      </c>
      <c r="L59" s="5" t="s">
        <v>244</v>
      </c>
      <c r="M59" s="5" t="s">
        <v>245</v>
      </c>
      <c r="N59" s="5" t="s">
        <v>2568</v>
      </c>
      <c r="O59" s="5"/>
      <c r="P59" s="5" t="s">
        <v>359</v>
      </c>
      <c r="Q59" s="57"/>
      <c r="U59" t="s">
        <v>1937</v>
      </c>
      <c r="V59" t="s">
        <v>955</v>
      </c>
      <c r="W59" t="s">
        <v>2568</v>
      </c>
      <c r="Y59" t="s">
        <v>2566</v>
      </c>
      <c r="Z59" s="57">
        <v>0</v>
      </c>
      <c r="AA59" t="s">
        <v>2564</v>
      </c>
      <c r="AB59" t="s">
        <v>2557</v>
      </c>
      <c r="AC59" t="b">
        <f t="shared" ca="1" si="0"/>
        <v>1</v>
      </c>
    </row>
    <row r="60" spans="1:29" x14ac:dyDescent="0.3">
      <c r="A60" s="5" t="s">
        <v>284</v>
      </c>
      <c r="B60" s="5" t="s">
        <v>285</v>
      </c>
      <c r="C60" s="5" t="s">
        <v>12</v>
      </c>
      <c r="D60" s="5" t="s">
        <v>97</v>
      </c>
      <c r="E60" s="164" t="s">
        <v>3915</v>
      </c>
      <c r="F60" s="5" t="s">
        <v>127</v>
      </c>
      <c r="G60" s="5" t="s">
        <v>127</v>
      </c>
      <c r="H60" s="5" t="s">
        <v>142</v>
      </c>
      <c r="I60" s="6">
        <v>46440</v>
      </c>
      <c r="J60" s="6">
        <v>46442</v>
      </c>
      <c r="K60" s="6">
        <v>46443</v>
      </c>
      <c r="L60" s="5" t="s">
        <v>155</v>
      </c>
      <c r="M60" s="5" t="s">
        <v>156</v>
      </c>
      <c r="N60" s="5" t="s">
        <v>2568</v>
      </c>
      <c r="O60" s="5" t="s">
        <v>123</v>
      </c>
      <c r="P60" s="5" t="s">
        <v>360</v>
      </c>
      <c r="Q60" s="57"/>
      <c r="V60" t="s">
        <v>958</v>
      </c>
      <c r="W60" t="s">
        <v>2568</v>
      </c>
      <c r="Y60" t="s">
        <v>2566</v>
      </c>
      <c r="Z60" s="57">
        <v>0.17</v>
      </c>
      <c r="AA60" t="s">
        <v>2567</v>
      </c>
      <c r="AB60" t="s">
        <v>2557</v>
      </c>
      <c r="AC60" t="b">
        <f t="shared" ca="1" si="0"/>
        <v>1</v>
      </c>
    </row>
    <row r="61" spans="1:29" x14ac:dyDescent="0.3">
      <c r="A61" s="5" t="s">
        <v>286</v>
      </c>
      <c r="B61" s="5" t="s">
        <v>287</v>
      </c>
      <c r="C61" s="5" t="s">
        <v>5</v>
      </c>
      <c r="D61" s="5" t="s">
        <v>17</v>
      </c>
      <c r="E61" s="164" t="str" cm="1">
        <f t="array" ref="E61">IFERROR(_xlfn.TEXTJOIN(CHAR(10),TRUE,_xlfn._xlws.FILTER(#REF!&amp;": "&amp;#REF!,#REF!=$A61,"")),"")</f>
        <v/>
      </c>
      <c r="F61" s="5" t="s">
        <v>127</v>
      </c>
      <c r="G61" s="5" t="s">
        <v>127</v>
      </c>
      <c r="H61" s="5" t="s">
        <v>134</v>
      </c>
      <c r="I61" s="6">
        <v>46444</v>
      </c>
      <c r="J61" s="6">
        <v>46446</v>
      </c>
      <c r="K61" s="6">
        <v>46447</v>
      </c>
      <c r="L61" s="5" t="s">
        <v>270</v>
      </c>
      <c r="M61" s="5" t="s">
        <v>121</v>
      </c>
      <c r="N61" s="5" t="s">
        <v>2568</v>
      </c>
      <c r="O61" s="5"/>
      <c r="P61" s="5" t="s">
        <v>356</v>
      </c>
      <c r="Q61" s="57"/>
      <c r="V61" t="s">
        <v>1109</v>
      </c>
      <c r="W61" t="s">
        <v>2568</v>
      </c>
      <c r="X61" t="s">
        <v>2574</v>
      </c>
      <c r="Y61" t="s">
        <v>2566</v>
      </c>
      <c r="Z61" s="57">
        <v>0.05</v>
      </c>
      <c r="AA61" t="s">
        <v>2552</v>
      </c>
      <c r="AB61" t="s">
        <v>2553</v>
      </c>
      <c r="AC61" t="b">
        <f t="shared" ca="1" si="0"/>
        <v>1</v>
      </c>
    </row>
    <row r="62" spans="1:29" x14ac:dyDescent="0.3">
      <c r="A62" s="5" t="s">
        <v>288</v>
      </c>
      <c r="B62" s="5" t="s">
        <v>289</v>
      </c>
      <c r="C62" s="5" t="s">
        <v>6</v>
      </c>
      <c r="D62" s="5" t="s">
        <v>36</v>
      </c>
      <c r="E62" s="164" t="s">
        <v>3915</v>
      </c>
      <c r="F62" s="5" t="s">
        <v>127</v>
      </c>
      <c r="G62" s="5" t="s">
        <v>118</v>
      </c>
      <c r="H62" s="5" t="s">
        <v>119</v>
      </c>
      <c r="I62" s="6">
        <v>46443</v>
      </c>
      <c r="J62" s="6">
        <v>46445</v>
      </c>
      <c r="K62" s="6">
        <v>46446</v>
      </c>
      <c r="L62" s="5" t="s">
        <v>155</v>
      </c>
      <c r="M62" s="5" t="s">
        <v>156</v>
      </c>
      <c r="N62" s="5" t="s">
        <v>2568</v>
      </c>
      <c r="O62" s="5" t="s">
        <v>123</v>
      </c>
      <c r="P62" s="5" t="s">
        <v>361</v>
      </c>
      <c r="Q62" s="57"/>
      <c r="V62" t="s">
        <v>1115</v>
      </c>
      <c r="W62" t="s">
        <v>2568</v>
      </c>
      <c r="Y62" t="s">
        <v>2566</v>
      </c>
      <c r="Z62" s="57">
        <v>7.0000000000000007E-2</v>
      </c>
      <c r="AA62" t="s">
        <v>2556</v>
      </c>
      <c r="AB62" t="s">
        <v>2557</v>
      </c>
      <c r="AC62" t="b">
        <f t="shared" ca="1" si="0"/>
        <v>1</v>
      </c>
    </row>
    <row r="63" spans="1:29" x14ac:dyDescent="0.3">
      <c r="A63" s="5" t="s">
        <v>290</v>
      </c>
      <c r="B63" s="5" t="s">
        <v>291</v>
      </c>
      <c r="C63" s="5" t="s">
        <v>7</v>
      </c>
      <c r="D63" s="5" t="s">
        <v>44</v>
      </c>
      <c r="E63" s="164" t="s">
        <v>3915</v>
      </c>
      <c r="F63" s="5" t="s">
        <v>127</v>
      </c>
      <c r="G63" s="5" t="s">
        <v>127</v>
      </c>
      <c r="H63" s="5" t="s">
        <v>134</v>
      </c>
      <c r="I63" s="6">
        <v>46452</v>
      </c>
      <c r="J63" s="6">
        <v>46454</v>
      </c>
      <c r="K63" s="6">
        <v>46455</v>
      </c>
      <c r="L63" s="5" t="s">
        <v>275</v>
      </c>
      <c r="M63" s="5" t="s">
        <v>193</v>
      </c>
      <c r="N63" s="5" t="s">
        <v>2568</v>
      </c>
      <c r="O63" s="5"/>
      <c r="P63" s="5" t="s">
        <v>345</v>
      </c>
      <c r="Q63" s="57"/>
      <c r="V63" t="s">
        <v>1118</v>
      </c>
      <c r="W63" t="s">
        <v>2568</v>
      </c>
      <c r="Y63" t="s">
        <v>2566</v>
      </c>
      <c r="Z63" s="57">
        <v>0</v>
      </c>
      <c r="AA63" t="s">
        <v>2558</v>
      </c>
      <c r="AB63" t="s">
        <v>2557</v>
      </c>
      <c r="AC63" t="b">
        <f t="shared" ca="1" si="0"/>
        <v>1</v>
      </c>
    </row>
    <row r="64" spans="1:29" x14ac:dyDescent="0.3">
      <c r="A64" s="5" t="s">
        <v>292</v>
      </c>
      <c r="B64" s="5" t="s">
        <v>293</v>
      </c>
      <c r="C64" s="5" t="s">
        <v>8</v>
      </c>
      <c r="D64" s="5" t="s">
        <v>59</v>
      </c>
      <c r="E64" s="164" t="s">
        <v>3915</v>
      </c>
      <c r="F64" s="5" t="s">
        <v>117</v>
      </c>
      <c r="G64" s="5" t="s">
        <v>118</v>
      </c>
      <c r="H64" s="5" t="s">
        <v>119</v>
      </c>
      <c r="I64" s="6">
        <v>46456</v>
      </c>
      <c r="J64" s="6">
        <v>46458</v>
      </c>
      <c r="K64" s="6">
        <v>46458</v>
      </c>
      <c r="L64" s="5" t="s">
        <v>294</v>
      </c>
      <c r="M64" s="5" t="s">
        <v>295</v>
      </c>
      <c r="N64" s="5" t="s">
        <v>2568</v>
      </c>
      <c r="O64" s="5"/>
      <c r="P64" s="5" t="s">
        <v>362</v>
      </c>
      <c r="Q64" s="57"/>
      <c r="V64" t="s">
        <v>1121</v>
      </c>
      <c r="W64" t="s">
        <v>2568</v>
      </c>
      <c r="Y64" t="s">
        <v>2566</v>
      </c>
      <c r="Z64" s="57">
        <v>0.18</v>
      </c>
      <c r="AA64" t="s">
        <v>2561</v>
      </c>
      <c r="AB64" t="s">
        <v>2559</v>
      </c>
      <c r="AC64" t="b">
        <f t="shared" ca="1" si="0"/>
        <v>1</v>
      </c>
    </row>
    <row r="65" spans="1:29" x14ac:dyDescent="0.3">
      <c r="A65" s="5" t="s">
        <v>296</v>
      </c>
      <c r="B65" s="5" t="s">
        <v>297</v>
      </c>
      <c r="C65" s="5" t="s">
        <v>9</v>
      </c>
      <c r="D65" s="5" t="s">
        <v>70</v>
      </c>
      <c r="E65" s="164" t="str" cm="1">
        <f t="array" ref="E65">IFERROR(_xlfn.TEXTJOIN(CHAR(10),TRUE,_xlfn._xlws.FILTER(#REF!&amp;": "&amp;#REF!,#REF!=$A65,"")),"")</f>
        <v/>
      </c>
      <c r="F65" s="5" t="s">
        <v>127</v>
      </c>
      <c r="G65" s="5" t="s">
        <v>118</v>
      </c>
      <c r="H65" s="5" t="s">
        <v>119</v>
      </c>
      <c r="I65" s="6">
        <v>46460</v>
      </c>
      <c r="J65" s="6">
        <v>46462</v>
      </c>
      <c r="K65" s="6">
        <v>46463</v>
      </c>
      <c r="L65" s="5" t="s">
        <v>298</v>
      </c>
      <c r="M65" s="5" t="s">
        <v>144</v>
      </c>
      <c r="N65" s="5" t="s">
        <v>2568</v>
      </c>
      <c r="O65" s="5"/>
      <c r="P65" s="5" t="s">
        <v>345</v>
      </c>
      <c r="Q65" s="57"/>
      <c r="V65" t="s">
        <v>1124</v>
      </c>
      <c r="W65" t="s">
        <v>2568</v>
      </c>
      <c r="X65" t="s">
        <v>290</v>
      </c>
      <c r="Y65" t="s">
        <v>2566</v>
      </c>
      <c r="Z65" s="57">
        <v>0.12</v>
      </c>
      <c r="AA65" t="s">
        <v>2562</v>
      </c>
      <c r="AB65" t="s">
        <v>2553</v>
      </c>
      <c r="AC65" t="b">
        <f t="shared" ca="1" si="0"/>
        <v>1</v>
      </c>
    </row>
    <row r="66" spans="1:29" x14ac:dyDescent="0.3">
      <c r="A66" s="5" t="s">
        <v>299</v>
      </c>
      <c r="B66" s="5" t="s">
        <v>300</v>
      </c>
      <c r="C66" s="5" t="s">
        <v>10</v>
      </c>
      <c r="D66" s="5" t="s">
        <v>74</v>
      </c>
      <c r="E66" s="164" t="s">
        <v>3915</v>
      </c>
      <c r="F66" s="5" t="s">
        <v>117</v>
      </c>
      <c r="G66" s="5" t="s">
        <v>127</v>
      </c>
      <c r="H66" s="5" t="s">
        <v>134</v>
      </c>
      <c r="I66" s="6">
        <v>46464</v>
      </c>
      <c r="J66" s="6">
        <v>46466</v>
      </c>
      <c r="K66" s="6">
        <v>46466</v>
      </c>
      <c r="L66" s="5" t="s">
        <v>262</v>
      </c>
      <c r="M66" s="5" t="s">
        <v>241</v>
      </c>
      <c r="N66" s="5" t="s">
        <v>2568</v>
      </c>
      <c r="O66" s="5"/>
      <c r="P66" s="5" t="s">
        <v>350</v>
      </c>
      <c r="Q66" s="57"/>
      <c r="V66" t="s">
        <v>1127</v>
      </c>
      <c r="W66" t="s">
        <v>2568</v>
      </c>
      <c r="Y66" t="s">
        <v>2566</v>
      </c>
      <c r="Z66" s="57">
        <v>0.11</v>
      </c>
      <c r="AA66" t="s">
        <v>2563</v>
      </c>
      <c r="AB66" t="s">
        <v>2553</v>
      </c>
      <c r="AC66" t="b">
        <f t="shared" ca="1" si="0"/>
        <v>1</v>
      </c>
    </row>
    <row r="67" spans="1:29" x14ac:dyDescent="0.3">
      <c r="A67" s="5" t="s">
        <v>301</v>
      </c>
      <c r="B67" s="5" t="s">
        <v>302</v>
      </c>
      <c r="C67" s="5" t="s">
        <v>11</v>
      </c>
      <c r="D67" s="5" t="s">
        <v>84</v>
      </c>
      <c r="E67" s="164" t="s">
        <v>3915</v>
      </c>
      <c r="F67" s="5" t="s">
        <v>127</v>
      </c>
      <c r="G67" s="5" t="s">
        <v>118</v>
      </c>
      <c r="H67" s="5" t="s">
        <v>119</v>
      </c>
      <c r="I67" s="6">
        <v>46468</v>
      </c>
      <c r="J67" s="6">
        <v>46470</v>
      </c>
      <c r="K67" s="6">
        <v>46471</v>
      </c>
      <c r="L67" s="5" t="s">
        <v>303</v>
      </c>
      <c r="M67" s="5" t="s">
        <v>205</v>
      </c>
      <c r="N67" s="5" t="s">
        <v>2568</v>
      </c>
      <c r="O67" s="5"/>
      <c r="P67" s="5" t="s">
        <v>363</v>
      </c>
      <c r="Q67" s="57"/>
      <c r="V67" t="s">
        <v>1130</v>
      </c>
      <c r="W67" t="s">
        <v>2568</v>
      </c>
      <c r="Y67" t="s">
        <v>2566</v>
      </c>
      <c r="Z67" s="57">
        <v>0.15</v>
      </c>
      <c r="AA67" t="s">
        <v>2564</v>
      </c>
      <c r="AB67" t="s">
        <v>2553</v>
      </c>
      <c r="AC67" t="b">
        <f t="shared" ca="1" si="0"/>
        <v>1</v>
      </c>
    </row>
    <row r="68" spans="1:29" x14ac:dyDescent="0.3">
      <c r="A68" s="5" t="s">
        <v>304</v>
      </c>
      <c r="B68" s="5" t="s">
        <v>305</v>
      </c>
      <c r="C68" s="5" t="s">
        <v>12</v>
      </c>
      <c r="D68" s="5" t="s">
        <v>96</v>
      </c>
      <c r="E68" s="164" t="s">
        <v>3915</v>
      </c>
      <c r="F68" s="5" t="s">
        <v>127</v>
      </c>
      <c r="G68" s="5" t="s">
        <v>118</v>
      </c>
      <c r="H68" s="5" t="s">
        <v>119</v>
      </c>
      <c r="I68" s="6">
        <v>46475</v>
      </c>
      <c r="J68" s="6">
        <v>46477</v>
      </c>
      <c r="K68" s="6">
        <v>46478</v>
      </c>
      <c r="L68" s="5" t="s">
        <v>248</v>
      </c>
      <c r="M68" s="5" t="s">
        <v>156</v>
      </c>
      <c r="N68" s="5" t="s">
        <v>2568</v>
      </c>
      <c r="O68" s="5"/>
      <c r="P68" s="5" t="s">
        <v>352</v>
      </c>
      <c r="Q68" s="57"/>
      <c r="T68" t="s">
        <v>1933</v>
      </c>
      <c r="U68" t="s">
        <v>1935</v>
      </c>
      <c r="V68" t="s">
        <v>1133</v>
      </c>
      <c r="W68" t="s">
        <v>2568</v>
      </c>
      <c r="Y68" t="s">
        <v>2566</v>
      </c>
      <c r="Z68" s="57">
        <v>0.05</v>
      </c>
      <c r="AA68" t="s">
        <v>2567</v>
      </c>
      <c r="AB68" t="s">
        <v>2553</v>
      </c>
      <c r="AC68" t="b">
        <f t="shared" ca="1" si="0"/>
        <v>1</v>
      </c>
    </row>
    <row r="69" spans="1:29" x14ac:dyDescent="0.3">
      <c r="A69" s="5" t="s">
        <v>306</v>
      </c>
      <c r="B69" s="5" t="s">
        <v>307</v>
      </c>
      <c r="C69" s="5" t="s">
        <v>5</v>
      </c>
      <c r="D69" s="5" t="s">
        <v>15</v>
      </c>
      <c r="E69" s="164" t="str" cm="1">
        <f t="array" ref="E69">IFERROR(_xlfn.TEXTJOIN(CHAR(10),TRUE,_xlfn._xlws.FILTER(#REF!&amp;": "&amp;#REF!,#REF!=$A69,"")),"")</f>
        <v/>
      </c>
      <c r="F69" s="5" t="s">
        <v>163</v>
      </c>
      <c r="G69" s="5" t="s">
        <v>128</v>
      </c>
      <c r="H69" s="5" t="s">
        <v>142</v>
      </c>
      <c r="I69" s="6">
        <v>46478</v>
      </c>
      <c r="J69" s="6">
        <v>46481</v>
      </c>
      <c r="K69" s="6">
        <v>46483</v>
      </c>
      <c r="L69" s="5" t="s">
        <v>159</v>
      </c>
      <c r="M69" s="5" t="s">
        <v>211</v>
      </c>
      <c r="N69" s="5" t="s">
        <v>2568</v>
      </c>
      <c r="O69" s="5"/>
      <c r="P69" s="5" t="s">
        <v>349</v>
      </c>
      <c r="Q69" s="57"/>
      <c r="V69" t="s">
        <v>940</v>
      </c>
      <c r="W69" t="s">
        <v>2568</v>
      </c>
      <c r="X69" t="s">
        <v>2575</v>
      </c>
      <c r="Y69" t="s">
        <v>2566</v>
      </c>
      <c r="Z69" s="57">
        <v>0.09</v>
      </c>
      <c r="AA69" t="s">
        <v>2552</v>
      </c>
      <c r="AB69" t="s">
        <v>2557</v>
      </c>
      <c r="AC69" t="b">
        <f t="shared" ca="1" si="0"/>
        <v>1</v>
      </c>
    </row>
    <row r="70" spans="1:29" x14ac:dyDescent="0.3">
      <c r="A70" s="5" t="s">
        <v>308</v>
      </c>
      <c r="B70" s="5" t="s">
        <v>309</v>
      </c>
      <c r="C70" s="5" t="s">
        <v>6</v>
      </c>
      <c r="D70" s="5" t="s">
        <v>34</v>
      </c>
      <c r="E70" s="164" t="s">
        <v>3915</v>
      </c>
      <c r="F70" s="5" t="s">
        <v>127</v>
      </c>
      <c r="G70" s="5" t="s">
        <v>127</v>
      </c>
      <c r="H70" s="5" t="s">
        <v>134</v>
      </c>
      <c r="I70" s="6">
        <v>46483</v>
      </c>
      <c r="J70" s="6">
        <v>46485</v>
      </c>
      <c r="K70" s="6">
        <v>46486</v>
      </c>
      <c r="L70" s="5" t="s">
        <v>310</v>
      </c>
      <c r="M70" s="5" t="s">
        <v>131</v>
      </c>
      <c r="N70" s="5" t="s">
        <v>2568</v>
      </c>
      <c r="O70" s="5" t="s">
        <v>123</v>
      </c>
      <c r="P70" s="5" t="s">
        <v>364</v>
      </c>
      <c r="Q70" s="57"/>
      <c r="V70" t="s">
        <v>946</v>
      </c>
      <c r="W70" t="s">
        <v>2568</v>
      </c>
      <c r="Y70" t="s">
        <v>2566</v>
      </c>
      <c r="Z70" s="57">
        <v>0.1</v>
      </c>
      <c r="AA70" t="s">
        <v>2556</v>
      </c>
      <c r="AB70" t="s">
        <v>2553</v>
      </c>
      <c r="AC70" t="b">
        <f t="shared" ref="AC70:AC84" ca="1" si="1">AND(
        IF($B$2="All",TRUE,$C70=$B$2),
        IF($D$2="All",TRUE,$D70=$D$2),
        IF($H$2="All",TRUE,$N70=$H$2),
        IF($J$2="All",TRUE,IF($J$2="Has Conflict",$O70&lt;&gt;"",IF($J$2="No Conflict",$O70="",TRUE))),
        IF($F$2="All Time",TRUE,IF($F$2="Today",$J70=TODAY(),IF($F$2="This Week",AND($J70&gt;=TODAY(),$J70&lt;=TODAY()+7),IF($F$2="This Month",AND($J70&gt;=TODAY(),$J70&lt;=TODAY()+30),AND($J70&gt;=DATE(YEAR(TODAY()),1,1),$J70&lt;=DATE(YEAR(TODAY()),12,31))))))
    )</f>
        <v>1</v>
      </c>
    </row>
    <row r="71" spans="1:29" x14ac:dyDescent="0.3">
      <c r="A71" s="5" t="s">
        <v>311</v>
      </c>
      <c r="B71" s="5" t="s">
        <v>312</v>
      </c>
      <c r="C71" s="5" t="s">
        <v>7</v>
      </c>
      <c r="D71" s="5" t="s">
        <v>43</v>
      </c>
      <c r="E71" s="164" t="s">
        <v>3915</v>
      </c>
      <c r="F71" s="5" t="s">
        <v>163</v>
      </c>
      <c r="G71" s="5" t="s">
        <v>128</v>
      </c>
      <c r="H71" s="5" t="s">
        <v>129</v>
      </c>
      <c r="I71" s="6">
        <v>46486</v>
      </c>
      <c r="J71" s="6">
        <v>46489</v>
      </c>
      <c r="K71" s="6">
        <v>46491</v>
      </c>
      <c r="L71" s="5" t="s">
        <v>275</v>
      </c>
      <c r="M71" s="5" t="s">
        <v>193</v>
      </c>
      <c r="N71" s="5" t="s">
        <v>2568</v>
      </c>
      <c r="O71" s="5"/>
      <c r="P71" s="5" t="s">
        <v>340</v>
      </c>
      <c r="Q71" s="57"/>
      <c r="V71" t="s">
        <v>949</v>
      </c>
      <c r="W71" t="s">
        <v>2568</v>
      </c>
      <c r="Y71" t="s">
        <v>2566</v>
      </c>
      <c r="Z71" s="57">
        <v>0.19</v>
      </c>
      <c r="AA71" t="s">
        <v>2558</v>
      </c>
      <c r="AB71" t="s">
        <v>2557</v>
      </c>
      <c r="AC71" t="b">
        <f t="shared" ca="1" si="1"/>
        <v>1</v>
      </c>
    </row>
    <row r="72" spans="1:29" x14ac:dyDescent="0.3">
      <c r="A72" s="5" t="s">
        <v>313</v>
      </c>
      <c r="B72" s="5" t="s">
        <v>314</v>
      </c>
      <c r="C72" s="5" t="s">
        <v>8</v>
      </c>
      <c r="D72" s="5" t="s">
        <v>55</v>
      </c>
      <c r="E72" s="164" t="s">
        <v>3915</v>
      </c>
      <c r="F72" s="5" t="s">
        <v>117</v>
      </c>
      <c r="G72" s="5" t="s">
        <v>118</v>
      </c>
      <c r="H72" s="5" t="s">
        <v>119</v>
      </c>
      <c r="I72" s="6">
        <v>46486</v>
      </c>
      <c r="J72" s="6">
        <v>46488</v>
      </c>
      <c r="K72" s="6">
        <v>46488</v>
      </c>
      <c r="L72" s="5" t="s">
        <v>310</v>
      </c>
      <c r="M72" s="5" t="s">
        <v>131</v>
      </c>
      <c r="N72" s="5" t="s">
        <v>2568</v>
      </c>
      <c r="O72" s="5" t="s">
        <v>123</v>
      </c>
      <c r="P72" s="5" t="s">
        <v>365</v>
      </c>
      <c r="Q72" s="57"/>
      <c r="V72" t="s">
        <v>952</v>
      </c>
      <c r="W72" t="s">
        <v>2568</v>
      </c>
      <c r="Y72" t="s">
        <v>2566</v>
      </c>
      <c r="Z72" s="57">
        <v>0.18</v>
      </c>
      <c r="AA72" t="s">
        <v>2561</v>
      </c>
      <c r="AB72" t="s">
        <v>2559</v>
      </c>
      <c r="AC72" t="b">
        <f t="shared" ca="1" si="1"/>
        <v>1</v>
      </c>
    </row>
    <row r="73" spans="1:29" x14ac:dyDescent="0.3">
      <c r="A73" s="5" t="s">
        <v>315</v>
      </c>
      <c r="B73" s="5" t="s">
        <v>316</v>
      </c>
      <c r="C73" s="5" t="s">
        <v>9</v>
      </c>
      <c r="D73" s="5" t="s">
        <v>64</v>
      </c>
      <c r="E73" s="164" t="str" cm="1">
        <f t="array" ref="E73">IFERROR(_xlfn.TEXTJOIN(CHAR(10),TRUE,_xlfn._xlws.FILTER(#REF!&amp;": "&amp;#REF!,#REF!=$A73,"")),"")</f>
        <v/>
      </c>
      <c r="F73" s="5" t="s">
        <v>117</v>
      </c>
      <c r="G73" s="5" t="s">
        <v>127</v>
      </c>
      <c r="H73" s="5" t="s">
        <v>134</v>
      </c>
      <c r="I73" s="6">
        <v>46495</v>
      </c>
      <c r="J73" s="6">
        <v>46497</v>
      </c>
      <c r="K73" s="6">
        <v>46497</v>
      </c>
      <c r="L73" s="5" t="s">
        <v>143</v>
      </c>
      <c r="M73" s="5" t="s">
        <v>144</v>
      </c>
      <c r="N73" s="5" t="s">
        <v>2568</v>
      </c>
      <c r="O73" s="5"/>
      <c r="P73" s="5" t="s">
        <v>359</v>
      </c>
      <c r="Q73" s="57"/>
      <c r="V73" t="s">
        <v>955</v>
      </c>
      <c r="W73" t="s">
        <v>2568</v>
      </c>
      <c r="X73" t="s">
        <v>311</v>
      </c>
      <c r="Y73" t="s">
        <v>2566</v>
      </c>
      <c r="Z73" s="57">
        <v>0.02</v>
      </c>
      <c r="AA73" t="s">
        <v>2562</v>
      </c>
      <c r="AB73" t="s">
        <v>2553</v>
      </c>
      <c r="AC73" t="b">
        <f t="shared" ca="1" si="1"/>
        <v>1</v>
      </c>
    </row>
    <row r="74" spans="1:29" x14ac:dyDescent="0.3">
      <c r="A74" s="5" t="s">
        <v>317</v>
      </c>
      <c r="B74" s="5" t="s">
        <v>318</v>
      </c>
      <c r="C74" s="5" t="s">
        <v>10</v>
      </c>
      <c r="D74" s="5" t="s">
        <v>75</v>
      </c>
      <c r="E74" s="164" t="s">
        <v>3915</v>
      </c>
      <c r="F74" s="5" t="s">
        <v>127</v>
      </c>
      <c r="G74" s="5" t="s">
        <v>127</v>
      </c>
      <c r="H74" s="5" t="s">
        <v>134</v>
      </c>
      <c r="I74" s="6">
        <v>46499</v>
      </c>
      <c r="J74" s="6">
        <v>46501</v>
      </c>
      <c r="K74" s="6">
        <v>46502</v>
      </c>
      <c r="L74" s="5" t="s">
        <v>223</v>
      </c>
      <c r="M74" s="5" t="s">
        <v>241</v>
      </c>
      <c r="N74" s="5" t="s">
        <v>2568</v>
      </c>
      <c r="O74" s="5"/>
      <c r="P74" s="5" t="s">
        <v>357</v>
      </c>
      <c r="Q74" s="57"/>
      <c r="S74" t="s">
        <v>1932</v>
      </c>
      <c r="V74" t="s">
        <v>958</v>
      </c>
      <c r="W74" t="s">
        <v>2568</v>
      </c>
      <c r="Y74" t="s">
        <v>2566</v>
      </c>
      <c r="Z74" s="57">
        <v>0</v>
      </c>
      <c r="AA74" t="s">
        <v>2563</v>
      </c>
      <c r="AB74" t="s">
        <v>2557</v>
      </c>
      <c r="AC74" t="b">
        <f t="shared" ca="1" si="1"/>
        <v>1</v>
      </c>
    </row>
    <row r="75" spans="1:29" x14ac:dyDescent="0.3">
      <c r="A75" s="5" t="s">
        <v>319</v>
      </c>
      <c r="B75" s="5" t="s">
        <v>320</v>
      </c>
      <c r="C75" s="5" t="s">
        <v>11</v>
      </c>
      <c r="D75" s="5" t="s">
        <v>90</v>
      </c>
      <c r="E75" s="164" t="s">
        <v>3915</v>
      </c>
      <c r="F75" s="5" t="s">
        <v>117</v>
      </c>
      <c r="G75" s="5" t="s">
        <v>118</v>
      </c>
      <c r="H75" s="5" t="s">
        <v>134</v>
      </c>
      <c r="I75" s="6">
        <v>46505</v>
      </c>
      <c r="J75" s="6">
        <v>46507</v>
      </c>
      <c r="K75" s="6">
        <v>46507</v>
      </c>
      <c r="L75" s="5" t="s">
        <v>244</v>
      </c>
      <c r="M75" s="5" t="s">
        <v>245</v>
      </c>
      <c r="N75" s="5" t="s">
        <v>2568</v>
      </c>
      <c r="O75" s="5" t="s">
        <v>123</v>
      </c>
      <c r="P75" s="5" t="s">
        <v>366</v>
      </c>
      <c r="Q75" s="57"/>
      <c r="V75" t="s">
        <v>1109</v>
      </c>
      <c r="W75" t="s">
        <v>2568</v>
      </c>
      <c r="Y75" t="s">
        <v>2566</v>
      </c>
      <c r="Z75" s="57">
        <v>0.11</v>
      </c>
      <c r="AA75" t="s">
        <v>2564</v>
      </c>
      <c r="AB75" t="s">
        <v>2559</v>
      </c>
      <c r="AC75" t="b">
        <f t="shared" ca="1" si="1"/>
        <v>1</v>
      </c>
    </row>
    <row r="76" spans="1:29" x14ac:dyDescent="0.3">
      <c r="A76" s="5" t="s">
        <v>321</v>
      </c>
      <c r="B76" s="5" t="s">
        <v>322</v>
      </c>
      <c r="C76" s="5" t="s">
        <v>12</v>
      </c>
      <c r="D76" s="5" t="s">
        <v>94</v>
      </c>
      <c r="E76" s="164" t="s">
        <v>3915</v>
      </c>
      <c r="F76" s="5" t="s">
        <v>117</v>
      </c>
      <c r="G76" s="5" t="s">
        <v>118</v>
      </c>
      <c r="H76" s="5" t="s">
        <v>134</v>
      </c>
      <c r="I76" s="6">
        <v>46509</v>
      </c>
      <c r="J76" s="6">
        <v>46511</v>
      </c>
      <c r="K76" s="6">
        <v>46511</v>
      </c>
      <c r="L76" s="5" t="s">
        <v>155</v>
      </c>
      <c r="M76" s="5" t="s">
        <v>267</v>
      </c>
      <c r="N76" s="5" t="s">
        <v>2568</v>
      </c>
      <c r="O76" s="5"/>
      <c r="P76" s="5" t="s">
        <v>350</v>
      </c>
      <c r="Q76" s="57"/>
      <c r="V76" t="s">
        <v>1115</v>
      </c>
      <c r="W76" t="s">
        <v>2568</v>
      </c>
      <c r="Y76" t="s">
        <v>2566</v>
      </c>
      <c r="Z76" s="57">
        <v>0.18</v>
      </c>
      <c r="AA76" t="s">
        <v>2567</v>
      </c>
      <c r="AB76" t="s">
        <v>2559</v>
      </c>
      <c r="AC76" t="b">
        <f t="shared" ca="1" si="1"/>
        <v>1</v>
      </c>
    </row>
    <row r="77" spans="1:29" x14ac:dyDescent="0.3">
      <c r="A77" s="5" t="s">
        <v>323</v>
      </c>
      <c r="B77" s="5" t="s">
        <v>324</v>
      </c>
      <c r="C77" s="5" t="s">
        <v>5</v>
      </c>
      <c r="D77" s="5" t="s">
        <v>16</v>
      </c>
      <c r="E77" s="164" t="str" cm="1">
        <f t="array" ref="E77">IFERROR(_xlfn.TEXTJOIN(CHAR(10),TRUE,_xlfn._xlws.FILTER(#REF!&amp;": "&amp;#REF!,#REF!=$A77,"")),"")</f>
        <v/>
      </c>
      <c r="F77" s="5" t="s">
        <v>127</v>
      </c>
      <c r="G77" s="5" t="s">
        <v>127</v>
      </c>
      <c r="H77" s="5" t="s">
        <v>142</v>
      </c>
      <c r="I77" s="6">
        <v>46508</v>
      </c>
      <c r="J77" s="6">
        <v>46510</v>
      </c>
      <c r="K77" s="6">
        <v>46511</v>
      </c>
      <c r="L77" s="5" t="s">
        <v>244</v>
      </c>
      <c r="M77" s="5" t="s">
        <v>245</v>
      </c>
      <c r="N77" s="5" t="s">
        <v>2568</v>
      </c>
      <c r="O77" s="5" t="s">
        <v>123</v>
      </c>
      <c r="P77" s="5" t="s">
        <v>367</v>
      </c>
      <c r="Q77" s="57"/>
      <c r="V77" t="s">
        <v>1118</v>
      </c>
      <c r="W77" t="s">
        <v>2568</v>
      </c>
      <c r="X77" t="s">
        <v>2576</v>
      </c>
      <c r="Y77" t="s">
        <v>2566</v>
      </c>
      <c r="Z77" s="57">
        <v>0.14000000000000001</v>
      </c>
      <c r="AA77" t="s">
        <v>2552</v>
      </c>
      <c r="AB77" t="s">
        <v>2553</v>
      </c>
      <c r="AC77" t="b">
        <f t="shared" ca="1" si="1"/>
        <v>1</v>
      </c>
    </row>
    <row r="78" spans="1:29" x14ac:dyDescent="0.3">
      <c r="A78" s="5" t="s">
        <v>325</v>
      </c>
      <c r="B78" s="5" t="s">
        <v>326</v>
      </c>
      <c r="C78" s="5" t="s">
        <v>6</v>
      </c>
      <c r="D78" s="5" t="s">
        <v>34</v>
      </c>
      <c r="E78" s="164" t="s">
        <v>3915</v>
      </c>
      <c r="F78" s="5" t="s">
        <v>117</v>
      </c>
      <c r="G78" s="5" t="s">
        <v>118</v>
      </c>
      <c r="H78" s="5" t="s">
        <v>134</v>
      </c>
      <c r="I78" s="6">
        <v>46517</v>
      </c>
      <c r="J78" s="6">
        <v>46519</v>
      </c>
      <c r="K78" s="6">
        <v>46519</v>
      </c>
      <c r="L78" s="5" t="s">
        <v>188</v>
      </c>
      <c r="M78" s="5" t="s">
        <v>189</v>
      </c>
      <c r="N78" s="5" t="s">
        <v>2568</v>
      </c>
      <c r="O78" s="5"/>
      <c r="P78" s="5" t="s">
        <v>350</v>
      </c>
      <c r="Q78" s="57"/>
      <c r="V78" t="s">
        <v>1121</v>
      </c>
      <c r="W78" t="s">
        <v>2568</v>
      </c>
      <c r="Y78" t="s">
        <v>2566</v>
      </c>
      <c r="Z78" s="57">
        <v>0.16</v>
      </c>
      <c r="AA78" t="s">
        <v>2556</v>
      </c>
      <c r="AB78" t="s">
        <v>2559</v>
      </c>
      <c r="AC78" t="b">
        <f t="shared" ca="1" si="1"/>
        <v>1</v>
      </c>
    </row>
    <row r="79" spans="1:29" x14ac:dyDescent="0.3">
      <c r="A79" s="5" t="s">
        <v>327</v>
      </c>
      <c r="B79" s="5" t="s">
        <v>328</v>
      </c>
      <c r="C79" s="5" t="s">
        <v>7</v>
      </c>
      <c r="D79" s="5" t="s">
        <v>47</v>
      </c>
      <c r="E79" s="164" t="s">
        <v>3915</v>
      </c>
      <c r="F79" s="5" t="s">
        <v>127</v>
      </c>
      <c r="G79" s="5" t="s">
        <v>127</v>
      </c>
      <c r="H79" s="5" t="s">
        <v>134</v>
      </c>
      <c r="I79" s="6">
        <v>46521</v>
      </c>
      <c r="J79" s="6">
        <v>46523</v>
      </c>
      <c r="K79" s="6">
        <v>46524</v>
      </c>
      <c r="L79" s="5" t="s">
        <v>167</v>
      </c>
      <c r="M79" s="5" t="s">
        <v>193</v>
      </c>
      <c r="N79" s="5" t="s">
        <v>2568</v>
      </c>
      <c r="O79" s="5"/>
      <c r="P79" s="5" t="s">
        <v>349</v>
      </c>
      <c r="Q79" s="57"/>
      <c r="V79" t="s">
        <v>1124</v>
      </c>
      <c r="W79" t="s">
        <v>2568</v>
      </c>
      <c r="Y79" t="s">
        <v>2566</v>
      </c>
      <c r="Z79" s="57">
        <v>0.04</v>
      </c>
      <c r="AA79" t="s">
        <v>2558</v>
      </c>
      <c r="AB79" t="s">
        <v>2557</v>
      </c>
      <c r="AC79" t="b">
        <f t="shared" ca="1" si="1"/>
        <v>1</v>
      </c>
    </row>
    <row r="80" spans="1:29" x14ac:dyDescent="0.3">
      <c r="A80" s="5" t="s">
        <v>329</v>
      </c>
      <c r="B80" s="5" t="s">
        <v>330</v>
      </c>
      <c r="C80" s="5" t="s">
        <v>8</v>
      </c>
      <c r="D80" s="5" t="s">
        <v>53</v>
      </c>
      <c r="E80" s="164" t="s">
        <v>3915</v>
      </c>
      <c r="F80" s="5" t="s">
        <v>117</v>
      </c>
      <c r="G80" s="5" t="s">
        <v>118</v>
      </c>
      <c r="H80" s="5" t="s">
        <v>119</v>
      </c>
      <c r="I80" s="6">
        <v>46525</v>
      </c>
      <c r="J80" s="6">
        <v>46527</v>
      </c>
      <c r="K80" s="6">
        <v>46527</v>
      </c>
      <c r="L80" s="5" t="s">
        <v>257</v>
      </c>
      <c r="M80" s="5" t="s">
        <v>139</v>
      </c>
      <c r="N80" s="5" t="s">
        <v>2568</v>
      </c>
      <c r="O80" s="5"/>
      <c r="P80" s="5" t="s">
        <v>346</v>
      </c>
      <c r="Q80" s="57"/>
      <c r="V80" t="s">
        <v>1127</v>
      </c>
      <c r="W80" t="s">
        <v>2568</v>
      </c>
      <c r="Y80" t="s">
        <v>2566</v>
      </c>
      <c r="Z80" s="57">
        <v>0.02</v>
      </c>
      <c r="AA80" t="s">
        <v>2561</v>
      </c>
      <c r="AB80" t="s">
        <v>2559</v>
      </c>
      <c r="AC80" t="b">
        <f t="shared" ca="1" si="1"/>
        <v>1</v>
      </c>
    </row>
    <row r="81" spans="1:29" x14ac:dyDescent="0.3">
      <c r="A81" s="5" t="s">
        <v>331</v>
      </c>
      <c r="B81" s="5" t="s">
        <v>332</v>
      </c>
      <c r="C81" s="5" t="s">
        <v>9</v>
      </c>
      <c r="D81" s="5" t="s">
        <v>65</v>
      </c>
      <c r="E81" s="164" t="str" cm="1">
        <f t="array" ref="E81">IFERROR(_xlfn.TEXTJOIN(CHAR(10),TRUE,_xlfn._xlws.FILTER(#REF!&amp;": "&amp;#REF!,#REF!=$A81,"")),"")</f>
        <v/>
      </c>
      <c r="F81" s="5" t="s">
        <v>163</v>
      </c>
      <c r="G81" s="5" t="s">
        <v>128</v>
      </c>
      <c r="H81" s="5" t="s">
        <v>142</v>
      </c>
      <c r="I81" s="6">
        <v>46528</v>
      </c>
      <c r="J81" s="6">
        <v>46531</v>
      </c>
      <c r="K81" s="6">
        <v>46533</v>
      </c>
      <c r="L81" s="5" t="s">
        <v>298</v>
      </c>
      <c r="M81" s="5" t="s">
        <v>144</v>
      </c>
      <c r="N81" s="5" t="s">
        <v>2568</v>
      </c>
      <c r="O81" s="5"/>
      <c r="P81" s="5" t="s">
        <v>359</v>
      </c>
      <c r="Q81" s="57"/>
      <c r="V81" t="s">
        <v>1130</v>
      </c>
      <c r="W81" t="s">
        <v>2568</v>
      </c>
      <c r="X81" t="s">
        <v>329</v>
      </c>
      <c r="Y81" t="s">
        <v>2566</v>
      </c>
      <c r="Z81" s="57">
        <v>0.02</v>
      </c>
      <c r="AA81" t="s">
        <v>2562</v>
      </c>
      <c r="AB81" t="s">
        <v>2557</v>
      </c>
      <c r="AC81" t="b">
        <f t="shared" ca="1" si="1"/>
        <v>1</v>
      </c>
    </row>
    <row r="82" spans="1:29" x14ac:dyDescent="0.3">
      <c r="A82" s="5" t="s">
        <v>333</v>
      </c>
      <c r="B82" s="5" t="s">
        <v>334</v>
      </c>
      <c r="C82" s="5" t="s">
        <v>10</v>
      </c>
      <c r="D82" s="5" t="s">
        <v>76</v>
      </c>
      <c r="E82" s="164" t="s">
        <v>3915</v>
      </c>
      <c r="F82" s="5" t="s">
        <v>127</v>
      </c>
      <c r="G82" s="5" t="s">
        <v>128</v>
      </c>
      <c r="H82" s="5" t="s">
        <v>129</v>
      </c>
      <c r="I82" s="6">
        <v>46536</v>
      </c>
      <c r="J82" s="6">
        <v>46538</v>
      </c>
      <c r="K82" s="6">
        <v>46539</v>
      </c>
      <c r="L82" s="5" t="s">
        <v>262</v>
      </c>
      <c r="M82" s="5" t="s">
        <v>241</v>
      </c>
      <c r="N82" s="5" t="s">
        <v>2568</v>
      </c>
      <c r="O82" s="5"/>
      <c r="P82" s="5" t="s">
        <v>368</v>
      </c>
      <c r="Q82" s="57"/>
      <c r="V82" t="s">
        <v>1133</v>
      </c>
      <c r="W82" t="s">
        <v>2568</v>
      </c>
      <c r="Y82" t="s">
        <v>2566</v>
      </c>
      <c r="Z82" s="57">
        <v>0.06</v>
      </c>
      <c r="AA82" t="s">
        <v>2563</v>
      </c>
      <c r="AB82" t="s">
        <v>2557</v>
      </c>
      <c r="AC82" t="b">
        <f t="shared" ca="1" si="1"/>
        <v>1</v>
      </c>
    </row>
    <row r="83" spans="1:29" x14ac:dyDescent="0.3">
      <c r="A83" s="5" t="s">
        <v>335</v>
      </c>
      <c r="B83" s="5" t="s">
        <v>336</v>
      </c>
      <c r="C83" s="5" t="s">
        <v>11</v>
      </c>
      <c r="D83" s="5" t="s">
        <v>87</v>
      </c>
      <c r="E83" s="164" t="s">
        <v>3915</v>
      </c>
      <c r="F83" s="5" t="s">
        <v>127</v>
      </c>
      <c r="G83" s="5" t="s">
        <v>128</v>
      </c>
      <c r="H83" s="5" t="s">
        <v>142</v>
      </c>
      <c r="I83" s="6">
        <v>46540</v>
      </c>
      <c r="J83" s="6">
        <v>46542</v>
      </c>
      <c r="K83" s="6">
        <v>46543</v>
      </c>
      <c r="L83" s="5" t="s">
        <v>303</v>
      </c>
      <c r="M83" s="5" t="s">
        <v>245</v>
      </c>
      <c r="N83" s="5" t="s">
        <v>2568</v>
      </c>
      <c r="O83" s="5"/>
      <c r="P83" s="5" t="s">
        <v>349</v>
      </c>
      <c r="Q83" s="57"/>
      <c r="U83" t="s">
        <v>1937</v>
      </c>
      <c r="V83" t="s">
        <v>940</v>
      </c>
      <c r="W83" t="s">
        <v>2568</v>
      </c>
      <c r="Y83" t="s">
        <v>2566</v>
      </c>
      <c r="Z83" s="57">
        <v>0.08</v>
      </c>
      <c r="AA83" t="s">
        <v>2564</v>
      </c>
      <c r="AB83" t="s">
        <v>2553</v>
      </c>
      <c r="AC83" t="b">
        <f t="shared" ca="1" si="1"/>
        <v>1</v>
      </c>
    </row>
    <row r="84" spans="1:29" x14ac:dyDescent="0.3">
      <c r="A84" s="5" t="s">
        <v>337</v>
      </c>
      <c r="B84" s="5" t="s">
        <v>338</v>
      </c>
      <c r="C84" s="5" t="s">
        <v>12</v>
      </c>
      <c r="D84" s="5" t="s">
        <v>93</v>
      </c>
      <c r="E84" s="164" t="s">
        <v>3915</v>
      </c>
      <c r="F84" s="5" t="s">
        <v>127</v>
      </c>
      <c r="G84" s="5" t="s">
        <v>128</v>
      </c>
      <c r="H84" s="5" t="s">
        <v>129</v>
      </c>
      <c r="I84" s="6">
        <v>46544</v>
      </c>
      <c r="J84" s="6">
        <v>46546</v>
      </c>
      <c r="K84" s="6">
        <v>46547</v>
      </c>
      <c r="L84" s="5" t="s">
        <v>248</v>
      </c>
      <c r="M84" s="5" t="s">
        <v>267</v>
      </c>
      <c r="N84" s="5" t="s">
        <v>2568</v>
      </c>
      <c r="O84" s="5"/>
      <c r="P84" s="5" t="s">
        <v>344</v>
      </c>
      <c r="Q84" s="57"/>
      <c r="V84" t="s">
        <v>946</v>
      </c>
      <c r="W84" t="s">
        <v>2568</v>
      </c>
      <c r="Y84" t="s">
        <v>2566</v>
      </c>
      <c r="Z84" s="57">
        <v>0.08</v>
      </c>
      <c r="AA84" t="s">
        <v>2567</v>
      </c>
      <c r="AB84" t="s">
        <v>2557</v>
      </c>
      <c r="AC84" t="b">
        <f t="shared" ca="1" si="1"/>
        <v>1</v>
      </c>
    </row>
  </sheetData>
  <autoFilter ref="A4:AB84" xr:uid="{2858773E-1641-478D-A1BA-53A189351204}"/>
  <mergeCells count="1">
    <mergeCell ref="A1:J1"/>
  </mergeCells>
  <conditionalFormatting sqref="A5:AB84">
    <cfRule type="expression" dxfId="79" priority="39">
      <formula>$AC5=TRUE</formula>
    </cfRule>
    <cfRule type="expression" dxfId="78" priority="38">
      <formula>$AC5=FALSE</formula>
    </cfRule>
  </conditionalFormatting>
  <conditionalFormatting sqref="F5:F84">
    <cfRule type="containsText" dxfId="77" priority="6" operator="containsText" text="Large">
      <formula>NOT(ISERROR(SEARCH("Large",F5)))</formula>
    </cfRule>
  </conditionalFormatting>
  <conditionalFormatting sqref="G5:G84">
    <cfRule type="containsText" dxfId="76" priority="2" operator="containsText" text="High">
      <formula>NOT(ISERROR(SEARCH("High",G5)))</formula>
    </cfRule>
    <cfRule type="containsText" dxfId="75" priority="3" operator="containsText" text="Medium">
      <formula>NOT(ISERROR(SEARCH("Medium",G5)))</formula>
    </cfRule>
  </conditionalFormatting>
  <conditionalFormatting sqref="H5:I84">
    <cfRule type="containsText" dxfId="74" priority="4" operator="containsText" text="P1">
      <formula>NOT(ISERROR(SEARCH("P1",H5)))</formula>
    </cfRule>
    <cfRule type="containsText" dxfId="73" priority="5" operator="containsText" text="P2">
      <formula>NOT(ISERROR(SEARCH("P2",H5)))</formula>
    </cfRule>
  </conditionalFormatting>
  <conditionalFormatting sqref="N5:N84">
    <cfRule type="containsText" dxfId="72" priority="17" operator="containsText" text="Testing">
      <formula>NOT(ISERROR(SEARCH("Testing",N5)))</formula>
    </cfRule>
    <cfRule type="containsText" dxfId="71" priority="18" operator="containsText" text="Pending CAB">
      <formula>NOT(ISERROR(SEARCH("Pending CAB",N5)))</formula>
    </cfRule>
    <cfRule type="containsText" dxfId="70" priority="19" operator="containsText" text="Approved">
      <formula>NOT(ISERROR(SEARCH("Approved",N5)))</formula>
    </cfRule>
    <cfRule type="containsText" dxfId="69" priority="20" operator="containsText" text="In Progress">
      <formula>NOT(ISERROR(SEARCH("In Progress",N5)))</formula>
    </cfRule>
    <cfRule type="containsText" dxfId="68" priority="21" operator="containsText" text="Deployed">
      <formula>NOT(ISERROR(SEARCH("Deployed",N5)))</formula>
    </cfRule>
    <cfRule type="containsText" dxfId="67" priority="22" operator="containsText" text="Blocked">
      <formula>NOT(ISERROR(SEARCH("Blocked",N5)))</formula>
    </cfRule>
    <cfRule type="containsText" dxfId="66" priority="23" operator="containsText" text="Closed">
      <formula>NOT(ISERROR(SEARCH("Closed",N5)))</formula>
    </cfRule>
    <cfRule type="containsText" dxfId="65" priority="15" operator="containsText" text="Draft">
      <formula>NOT(ISERROR(SEARCH("Draft",N5)))</formula>
    </cfRule>
    <cfRule type="containsText" dxfId="64" priority="16" operator="containsText" text="Planning">
      <formula>NOT(ISERROR(SEARCH("Planning",N5)))</formula>
    </cfRule>
  </conditionalFormatting>
  <conditionalFormatting sqref="O5:O84">
    <cfRule type="containsText" dxfId="63" priority="1" operator="containsText" text="CONFLICT">
      <formula>NOT(ISERROR(SEARCH("CONFLICT",O5)))</formula>
    </cfRule>
  </conditionalFormatting>
  <conditionalFormatting sqref="Q5:Q84">
    <cfRule type="cellIs" dxfId="62" priority="7" operator="lessThan">
      <formula>0.5</formula>
    </cfRule>
    <cfRule type="cellIs" dxfId="61" priority="8" operator="between">
      <formula>0.5</formula>
      <formula>0.75</formula>
    </cfRule>
    <cfRule type="cellIs" dxfId="60" priority="9" operator="between">
      <formula>0.75</formula>
      <formula>0.9</formula>
    </cfRule>
    <cfRule type="cellIs" dxfId="59" priority="10" operator="greaterThanOrEqual">
      <formula>0.9</formula>
    </cfRule>
  </conditionalFormatting>
  <conditionalFormatting sqref="R5:R84">
    <cfRule type="expression" dxfId="58" priority="11">
      <formula>LEN($R5)&gt;0</formula>
    </cfRule>
  </conditionalFormatting>
  <conditionalFormatting sqref="S5:S84">
    <cfRule type="expression" dxfId="57" priority="12">
      <formula>LEN($S5)&gt;0</formula>
    </cfRule>
  </conditionalFormatting>
  <conditionalFormatting sqref="T5:T84">
    <cfRule type="expression" dxfId="56" priority="13">
      <formula>LEN($T5)&gt;0</formula>
    </cfRule>
  </conditionalFormatting>
  <conditionalFormatting sqref="U5:U84">
    <cfRule type="expression" dxfId="55" priority="14">
      <formula>LEN($U5)&gt;0</formula>
    </cfRule>
  </conditionalFormatting>
  <conditionalFormatting sqref="W5:W84">
    <cfRule type="containsText" dxfId="54" priority="24" operator="containsText" text="Draft">
      <formula>NOT(ISERROR(SEARCH("Draft",W5)))</formula>
    </cfRule>
    <cfRule type="containsText" dxfId="53" priority="25" operator="containsText" text="Planning">
      <formula>NOT(ISERROR(SEARCH("Planning",W5)))</formula>
    </cfRule>
    <cfRule type="containsText" dxfId="52" priority="26" operator="containsText" text="Testing">
      <formula>NOT(ISERROR(SEARCH("Testing",W5)))</formula>
    </cfRule>
    <cfRule type="containsText" dxfId="51" priority="27" operator="containsText" text="CAB Submitted">
      <formula>NOT(ISERROR(SEARCH("CAB Submitted",W5)))</formula>
    </cfRule>
    <cfRule type="containsText" dxfId="50" priority="28" operator="containsText" text="CAB Approved">
      <formula>NOT(ISERROR(SEARCH("CAB Approved",W5)))</formula>
    </cfRule>
    <cfRule type="containsText" dxfId="49" priority="29" operator="containsText" text="Deploying">
      <formula>NOT(ISERROR(SEARCH("Deploying",W5)))</formula>
    </cfRule>
    <cfRule type="containsText" dxfId="48" priority="30" operator="containsText" text="Deployed">
      <formula>NOT(ISERROR(SEARCH("Deployed",W5)))</formula>
    </cfRule>
    <cfRule type="containsText" dxfId="47" priority="31" operator="containsText" text="PIR Complete">
      <formula>NOT(ISERROR(SEARCH("PIR Complete",W5)))</formula>
    </cfRule>
    <cfRule type="containsText" dxfId="46" priority="32" operator="containsText" text="On Hold">
      <formula>NOT(ISERROR(SEARCH("On Hold",W5)))</formula>
    </cfRule>
    <cfRule type="containsText" dxfId="45" priority="33" operator="containsText" text="Closed">
      <formula>NOT(ISERROR(SEARCH("Closed",W5)))</formula>
    </cfRule>
  </conditionalFormatting>
  <conditionalFormatting sqref="Y5:Y84">
    <cfRule type="containsText" dxfId="44" priority="34" operator="containsText" text="Ready">
      <formula>NOT(ISERROR(SEARCH("Ready",Y5)))</formula>
    </cfRule>
    <cfRule type="containsText" dxfId="43" priority="35" operator="containsText" text="In Progress">
      <formula>NOT(ISERROR(SEARCH("In Progress",Y5)))</formula>
    </cfRule>
    <cfRule type="containsText" dxfId="42" priority="36" operator="containsText" text="Not Started">
      <formula>NOT(ISERROR(SEARCH("Not Started",Y5)))</formula>
    </cfRule>
    <cfRule type="containsText" dxfId="41" priority="37" operator="containsText" text="At Risk">
      <formula>NOT(ISERROR(SEARCH("At Risk",Y5)))</formula>
    </cfRule>
  </conditionalFormatting>
  <dataValidations count="5">
    <dataValidation type="list" allowBlank="1" showInputMessage="1" showErrorMessage="1" sqref="B2" xr:uid="{0185849C-0E60-4EC1-AD26-F043360FA6F1}">
      <formula1>"All,CRM,Finance,HR,IT,Legal,Logistics,Manufacturing,Security"</formula1>
    </dataValidation>
    <dataValidation type="list" allowBlank="1" showInputMessage="1" showErrorMessage="1" sqref="H2" xr:uid="{3518899D-B024-4161-8902-910C23434576}">
      <formula1>"All,Approved,Blocked,Draft,Pending CAB,Planning,Testing"</formula1>
    </dataValidation>
    <dataValidation type="list" allowBlank="1" showInputMessage="1" showErrorMessage="1" sqref="F2" xr:uid="{AFD8173B-09E2-4529-BEDF-A3FD4CF8DACD}">
      <formula1>"All Time,Today,This Week,This Month,This Year"</formula1>
    </dataValidation>
    <dataValidation type="list" allowBlank="1" showInputMessage="1" showErrorMessage="1" sqref="J2" xr:uid="{78D34591-F3D5-4065-A0B5-37C40B00CEC2}">
      <formula1>"All,Has Conflict,No Conflict"</formula1>
    </dataValidation>
    <dataValidation type="list" allowBlank="1" showInputMessage="1" showErrorMessage="1" sqref="D2" xr:uid="{AAE2B2B5-5F7B-4461-9B2B-1821D385C504}">
      <formula1>_xlfn._LONGTEXT("All,ADP Workforce Now,AVEVA MES,Agiloft CLM,Anaplan,BMC Remedy,Blue Yonder WMS,Cornerstone OnDemand,Coupa,CrowdStrike Falcon,CyberArk PAM,Datadog,DocuSign CLM,Dynatrace,HighRadius,HubSpot CRM,Ironclad,Jira Service Management,Kinaxis RapidResponse,Kyriba,M","anhattan Associates WMS,Microsoft Dynamics 365 CRM,Microsoft Sentinel,Mitratech TeamConnect,Okta Identity Cloud,Oracle HCM Cloud,Oracle Hyperion HFM,Oracle Transportation Management,Palo Alto Cortex XDR,Plex Smart Manufacturing,Rockwell FactoryTalk,SAP S/","4HANA Manufacturing,SAP SuccessFactors,Salesforce Sales Cloud,Salesforce Service Cloud,Siemens Opcenter,Splunk Enterprise,Workday HCM,Zendesk")</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85B7E-199C-4C22-A42D-4A2BDCFB0901}">
  <sheetPr>
    <tabColor theme="5"/>
  </sheetPr>
  <dimension ref="A1:J180"/>
  <sheetViews>
    <sheetView workbookViewId="0">
      <pane ySplit="14" topLeftCell="A111" activePane="bottomLeft" state="frozen"/>
      <selection activeCell="G26" sqref="G26"/>
      <selection pane="bottomLeft" activeCell="G16" sqref="G16"/>
    </sheetView>
  </sheetViews>
  <sheetFormatPr defaultRowHeight="14.4" x14ac:dyDescent="0.3"/>
  <cols>
    <col min="1" max="1" width="14.77734375" customWidth="1"/>
    <col min="2" max="2" width="9.21875" customWidth="1"/>
    <col min="3" max="3" width="16.6640625" customWidth="1"/>
    <col min="4" max="4" width="9.21875" customWidth="1"/>
    <col min="5" max="5" width="20.33203125" customWidth="1"/>
    <col min="6" max="6" width="14.77734375" customWidth="1"/>
    <col min="7" max="7" width="40.77734375" customWidth="1"/>
    <col min="8" max="8" width="18.5546875" customWidth="1"/>
    <col min="9" max="9" width="20.33203125" customWidth="1"/>
    <col min="10" max="10" width="33.33203125" customWidth="1"/>
  </cols>
  <sheetData>
    <row r="1" spans="1:10" x14ac:dyDescent="0.3">
      <c r="A1" s="369" t="s">
        <v>4173</v>
      </c>
      <c r="B1" s="339"/>
      <c r="C1" s="1" t="s">
        <v>4125</v>
      </c>
      <c r="D1" s="220" t="s">
        <v>4174</v>
      </c>
      <c r="E1" s="206" t="s">
        <v>4175</v>
      </c>
      <c r="F1" s="220" t="s">
        <v>4096</v>
      </c>
      <c r="G1" s="1" t="s">
        <v>4203</v>
      </c>
      <c r="H1" s="220" t="s">
        <v>4096</v>
      </c>
    </row>
    <row r="2" spans="1:10" x14ac:dyDescent="0.3">
      <c r="A2" s="1" t="s">
        <v>4201</v>
      </c>
      <c r="B2" t="str" cm="1">
        <f t="array" aca="1" ref="B2" ca="1">SUMPRODUCT((H15:H180&lt;&gt;"")*IF(F1="All",1,H15:H180=F1)*IF(H1="All",1,E15:E180=H1)*IF(D1="All Time",1,IF(D1="Today",C15:C180=TODAY(),IF(D1="This Week",(C15:C180&gt;=TODAY())*(C15:C180&lt;=TODAY()+7),IF(D1="This Month",(C15:C180&gt;=TODAY())*(C15:C180&lt;=TODAY()+30),(C15:C180&gt;=DATE(YEAR(TODAY()),1,1))*(C15:C180&lt;=DATE(YEAR(TODAY()),12,31)))))))&amp;" of "&amp;COUNTA(E15:E180)&amp;" events"</f>
        <v>166 of 166 events</v>
      </c>
    </row>
    <row r="4" spans="1:10" ht="21" x14ac:dyDescent="0.4">
      <c r="A4" s="367" t="s">
        <v>2044</v>
      </c>
      <c r="B4" s="368"/>
      <c r="C4" s="368"/>
      <c r="D4" s="368"/>
      <c r="E4" s="368"/>
      <c r="F4" s="368"/>
      <c r="G4" s="368"/>
      <c r="H4" s="368"/>
    </row>
    <row r="6" spans="1:10" x14ac:dyDescent="0.3">
      <c r="A6" s="1" t="s">
        <v>370</v>
      </c>
    </row>
    <row r="7" spans="1:10" x14ac:dyDescent="0.3">
      <c r="A7" s="226" t="s">
        <v>2045</v>
      </c>
      <c r="B7" s="227" t="s">
        <v>2046</v>
      </c>
    </row>
    <row r="8" spans="1:10" x14ac:dyDescent="0.3">
      <c r="A8" s="228" t="s">
        <v>2047</v>
      </c>
      <c r="B8" s="229" t="s">
        <v>2048</v>
      </c>
    </row>
    <row r="9" spans="1:10" x14ac:dyDescent="0.3">
      <c r="A9" s="230" t="s">
        <v>2049</v>
      </c>
      <c r="B9" s="231" t="s">
        <v>2050</v>
      </c>
    </row>
    <row r="10" spans="1:10" x14ac:dyDescent="0.3">
      <c r="A10" s="232" t="s">
        <v>2051</v>
      </c>
      <c r="B10" s="162" t="s">
        <v>2052</v>
      </c>
    </row>
    <row r="11" spans="1:10" x14ac:dyDescent="0.3">
      <c r="A11" s="233" t="s">
        <v>2053</v>
      </c>
      <c r="B11" s="234" t="s">
        <v>2054</v>
      </c>
    </row>
    <row r="12" spans="1:10" x14ac:dyDescent="0.3">
      <c r="A12" s="235" t="s">
        <v>2055</v>
      </c>
      <c r="B12" s="236" t="s">
        <v>2056</v>
      </c>
    </row>
    <row r="14" spans="1:10" x14ac:dyDescent="0.3">
      <c r="A14" s="2" t="s">
        <v>2057</v>
      </c>
      <c r="B14" s="2" t="s">
        <v>2058</v>
      </c>
      <c r="C14" s="2" t="s">
        <v>2059</v>
      </c>
      <c r="D14" s="2" t="s">
        <v>2060</v>
      </c>
      <c r="E14" s="2" t="s">
        <v>2061</v>
      </c>
      <c r="F14" s="2" t="s">
        <v>103</v>
      </c>
      <c r="G14" s="2" t="s">
        <v>104</v>
      </c>
      <c r="H14" s="2" t="s">
        <v>1</v>
      </c>
      <c r="I14" s="2" t="s">
        <v>2062</v>
      </c>
      <c r="J14" s="2" t="s">
        <v>114</v>
      </c>
    </row>
    <row r="15" spans="1:10" x14ac:dyDescent="0.3">
      <c r="A15" s="60" t="str">
        <f t="shared" ref="A15:A46" si="0">TEXT(C15,"mmm yyyy")</f>
        <v>Jun 2026</v>
      </c>
      <c r="B15">
        <v>4</v>
      </c>
      <c r="C15" s="3">
        <v>46201</v>
      </c>
      <c r="D15" t="s">
        <v>2063</v>
      </c>
      <c r="E15" t="s">
        <v>2064</v>
      </c>
      <c r="F15" t="s">
        <v>115</v>
      </c>
      <c r="G15" t="s">
        <v>2065</v>
      </c>
      <c r="H15" t="s">
        <v>5</v>
      </c>
      <c r="I15" t="s">
        <v>117</v>
      </c>
      <c r="J15" t="s">
        <v>2066</v>
      </c>
    </row>
    <row r="16" spans="1:10" x14ac:dyDescent="0.3">
      <c r="A16" s="60" t="str">
        <f t="shared" si="0"/>
        <v>Jun 2026</v>
      </c>
      <c r="B16">
        <v>5</v>
      </c>
      <c r="C16" s="3">
        <v>46203</v>
      </c>
      <c r="D16" t="s">
        <v>2067</v>
      </c>
      <c r="E16" t="s">
        <v>2068</v>
      </c>
      <c r="F16" t="s">
        <v>115</v>
      </c>
      <c r="G16" t="s">
        <v>116</v>
      </c>
      <c r="H16" t="s">
        <v>5</v>
      </c>
      <c r="I16" t="s">
        <v>2069</v>
      </c>
      <c r="J16" t="s">
        <v>2070</v>
      </c>
    </row>
    <row r="17" spans="1:10" x14ac:dyDescent="0.3">
      <c r="A17" s="60" t="str">
        <f t="shared" si="0"/>
        <v>Jun 2026</v>
      </c>
      <c r="B17">
        <v>5</v>
      </c>
      <c r="C17" s="3">
        <v>46203</v>
      </c>
      <c r="D17" t="s">
        <v>2067</v>
      </c>
      <c r="E17" t="s">
        <v>2064</v>
      </c>
      <c r="F17" t="s">
        <v>132</v>
      </c>
      <c r="G17" t="s">
        <v>2071</v>
      </c>
      <c r="H17" t="s">
        <v>7</v>
      </c>
      <c r="I17" t="s">
        <v>117</v>
      </c>
      <c r="J17" t="s">
        <v>2072</v>
      </c>
    </row>
    <row r="18" spans="1:10" x14ac:dyDescent="0.3">
      <c r="A18" s="60" t="str">
        <f t="shared" si="0"/>
        <v>Jul 2026</v>
      </c>
      <c r="B18">
        <v>1</v>
      </c>
      <c r="C18" s="3">
        <v>46205</v>
      </c>
      <c r="D18" t="s">
        <v>2073</v>
      </c>
      <c r="E18" t="s">
        <v>2064</v>
      </c>
      <c r="F18" t="s">
        <v>125</v>
      </c>
      <c r="G18" t="s">
        <v>2074</v>
      </c>
      <c r="H18" t="s">
        <v>6</v>
      </c>
      <c r="I18" t="s">
        <v>127</v>
      </c>
      <c r="J18" t="s">
        <v>2075</v>
      </c>
    </row>
    <row r="19" spans="1:10" x14ac:dyDescent="0.3">
      <c r="A19" s="60" t="str">
        <f t="shared" si="0"/>
        <v>Jul 2026</v>
      </c>
      <c r="B19">
        <v>1</v>
      </c>
      <c r="C19" s="3">
        <v>46205</v>
      </c>
      <c r="D19" t="s">
        <v>2073</v>
      </c>
      <c r="E19" t="s">
        <v>2068</v>
      </c>
      <c r="F19" t="s">
        <v>132</v>
      </c>
      <c r="G19" t="s">
        <v>133</v>
      </c>
      <c r="H19" t="s">
        <v>7</v>
      </c>
      <c r="I19" t="s">
        <v>2069</v>
      </c>
      <c r="J19" t="s">
        <v>2076</v>
      </c>
    </row>
    <row r="20" spans="1:10" x14ac:dyDescent="0.3">
      <c r="A20" s="60" t="str">
        <f t="shared" si="0"/>
        <v>Jul 2026</v>
      </c>
      <c r="B20">
        <v>1</v>
      </c>
      <c r="C20" s="3">
        <v>46205</v>
      </c>
      <c r="D20" t="s">
        <v>2073</v>
      </c>
      <c r="E20" t="s">
        <v>2064</v>
      </c>
      <c r="F20" t="s">
        <v>150</v>
      </c>
      <c r="G20" t="s">
        <v>2077</v>
      </c>
      <c r="H20" t="s">
        <v>11</v>
      </c>
      <c r="I20" t="s">
        <v>127</v>
      </c>
      <c r="J20" t="s">
        <v>2078</v>
      </c>
    </row>
    <row r="21" spans="1:10" x14ac:dyDescent="0.3">
      <c r="A21" s="60" t="str">
        <f t="shared" si="0"/>
        <v>Jul 2026</v>
      </c>
      <c r="B21">
        <v>1</v>
      </c>
      <c r="C21" s="3">
        <v>46207</v>
      </c>
      <c r="D21" t="s">
        <v>2079</v>
      </c>
      <c r="E21" t="s">
        <v>2068</v>
      </c>
      <c r="F21" t="s">
        <v>125</v>
      </c>
      <c r="G21" t="s">
        <v>126</v>
      </c>
      <c r="H21" t="s">
        <v>6</v>
      </c>
      <c r="I21" t="s">
        <v>2080</v>
      </c>
      <c r="J21" t="s">
        <v>2081</v>
      </c>
    </row>
    <row r="22" spans="1:10" x14ac:dyDescent="0.3">
      <c r="A22" s="60" t="str">
        <f t="shared" si="0"/>
        <v>Jul 2026</v>
      </c>
      <c r="B22">
        <v>1</v>
      </c>
      <c r="C22" s="3">
        <v>46207</v>
      </c>
      <c r="D22" t="s">
        <v>2079</v>
      </c>
      <c r="E22" t="s">
        <v>2068</v>
      </c>
      <c r="F22" t="s">
        <v>150</v>
      </c>
      <c r="G22" t="s">
        <v>151</v>
      </c>
      <c r="H22" t="s">
        <v>11</v>
      </c>
      <c r="I22" t="s">
        <v>2080</v>
      </c>
      <c r="J22" t="s">
        <v>2081</v>
      </c>
    </row>
    <row r="23" spans="1:10" x14ac:dyDescent="0.3">
      <c r="A23" s="60" t="str">
        <f t="shared" si="0"/>
        <v>Jul 2026</v>
      </c>
      <c r="B23">
        <v>1</v>
      </c>
      <c r="C23" s="3">
        <v>46207</v>
      </c>
      <c r="D23" t="s">
        <v>2079</v>
      </c>
      <c r="E23" t="s">
        <v>2064</v>
      </c>
      <c r="F23" t="s">
        <v>169</v>
      </c>
      <c r="G23" t="s">
        <v>2082</v>
      </c>
      <c r="H23" t="s">
        <v>8</v>
      </c>
      <c r="I23" t="s">
        <v>117</v>
      </c>
      <c r="J23" t="s">
        <v>2083</v>
      </c>
    </row>
    <row r="24" spans="1:10" x14ac:dyDescent="0.3">
      <c r="A24" s="60" t="str">
        <f t="shared" si="0"/>
        <v>Jul 2026</v>
      </c>
      <c r="B24">
        <v>1</v>
      </c>
      <c r="C24" s="3">
        <v>46209</v>
      </c>
      <c r="D24" t="s">
        <v>2084</v>
      </c>
      <c r="E24" t="s">
        <v>2068</v>
      </c>
      <c r="F24" t="s">
        <v>169</v>
      </c>
      <c r="G24" t="s">
        <v>170</v>
      </c>
      <c r="H24" t="s">
        <v>8</v>
      </c>
      <c r="I24" t="s">
        <v>2085</v>
      </c>
      <c r="J24" t="s">
        <v>2086</v>
      </c>
    </row>
    <row r="25" spans="1:10" x14ac:dyDescent="0.3">
      <c r="A25" s="60" t="str">
        <f t="shared" si="0"/>
        <v>Jul 2026</v>
      </c>
      <c r="B25">
        <v>2</v>
      </c>
      <c r="C25" s="3">
        <v>46213</v>
      </c>
      <c r="D25" t="s">
        <v>2087</v>
      </c>
      <c r="E25" t="s">
        <v>2064</v>
      </c>
      <c r="F25" t="s">
        <v>136</v>
      </c>
      <c r="G25" t="s">
        <v>2088</v>
      </c>
      <c r="H25" t="s">
        <v>8</v>
      </c>
      <c r="I25" t="s">
        <v>127</v>
      </c>
      <c r="J25" t="s">
        <v>2089</v>
      </c>
    </row>
    <row r="26" spans="1:10" x14ac:dyDescent="0.3">
      <c r="A26" s="60" t="str">
        <f t="shared" si="0"/>
        <v>Jul 2026</v>
      </c>
      <c r="B26">
        <v>2</v>
      </c>
      <c r="C26" s="3">
        <v>46215</v>
      </c>
      <c r="D26" t="s">
        <v>2063</v>
      </c>
      <c r="E26" t="s">
        <v>2068</v>
      </c>
      <c r="F26" t="s">
        <v>136</v>
      </c>
      <c r="G26" t="s">
        <v>137</v>
      </c>
      <c r="H26" t="s">
        <v>8</v>
      </c>
      <c r="I26" t="s">
        <v>2080</v>
      </c>
      <c r="J26" t="s">
        <v>2081</v>
      </c>
    </row>
    <row r="27" spans="1:10" x14ac:dyDescent="0.3">
      <c r="A27" s="60" t="str">
        <f t="shared" si="0"/>
        <v>Jul 2026</v>
      </c>
      <c r="B27">
        <v>2</v>
      </c>
      <c r="C27" s="3">
        <v>46217</v>
      </c>
      <c r="D27" t="s">
        <v>2067</v>
      </c>
      <c r="E27" t="s">
        <v>2064</v>
      </c>
      <c r="F27" t="s">
        <v>140</v>
      </c>
      <c r="G27" t="s">
        <v>2090</v>
      </c>
      <c r="H27" t="s">
        <v>9</v>
      </c>
      <c r="I27" t="s">
        <v>127</v>
      </c>
      <c r="J27" t="s">
        <v>2091</v>
      </c>
    </row>
    <row r="28" spans="1:10" x14ac:dyDescent="0.3">
      <c r="A28" s="60" t="str">
        <f t="shared" si="0"/>
        <v>Jul 2026</v>
      </c>
      <c r="B28">
        <v>3</v>
      </c>
      <c r="C28" s="3">
        <v>46218</v>
      </c>
      <c r="D28" t="s">
        <v>2092</v>
      </c>
      <c r="E28" t="s">
        <v>2064</v>
      </c>
      <c r="F28" t="s">
        <v>161</v>
      </c>
      <c r="G28" t="s">
        <v>2093</v>
      </c>
      <c r="H28" t="s">
        <v>6</v>
      </c>
      <c r="I28" t="s">
        <v>163</v>
      </c>
      <c r="J28" t="s">
        <v>2094</v>
      </c>
    </row>
    <row r="29" spans="1:10" x14ac:dyDescent="0.3">
      <c r="A29" s="60" t="str">
        <f t="shared" si="0"/>
        <v>Jul 2026</v>
      </c>
      <c r="B29">
        <v>3</v>
      </c>
      <c r="C29" s="3">
        <v>46219</v>
      </c>
      <c r="D29" t="s">
        <v>2073</v>
      </c>
      <c r="E29" t="s">
        <v>2068</v>
      </c>
      <c r="F29" t="s">
        <v>140</v>
      </c>
      <c r="G29" t="s">
        <v>141</v>
      </c>
      <c r="H29" t="s">
        <v>9</v>
      </c>
      <c r="I29" t="s">
        <v>2080</v>
      </c>
      <c r="J29" t="s">
        <v>2081</v>
      </c>
    </row>
    <row r="30" spans="1:10" x14ac:dyDescent="0.3">
      <c r="A30" s="60" t="str">
        <f t="shared" si="0"/>
        <v>Jul 2026</v>
      </c>
      <c r="B30">
        <v>3</v>
      </c>
      <c r="C30" s="3">
        <v>46221</v>
      </c>
      <c r="D30" t="s">
        <v>2079</v>
      </c>
      <c r="E30" t="s">
        <v>2064</v>
      </c>
      <c r="F30" t="s">
        <v>146</v>
      </c>
      <c r="G30" t="s">
        <v>2095</v>
      </c>
      <c r="H30" t="s">
        <v>10</v>
      </c>
      <c r="I30" t="s">
        <v>117</v>
      </c>
      <c r="J30" t="s">
        <v>2096</v>
      </c>
    </row>
    <row r="31" spans="1:10" x14ac:dyDescent="0.3">
      <c r="A31" s="60" t="str">
        <f t="shared" si="0"/>
        <v>Jul 2026</v>
      </c>
      <c r="B31">
        <v>3</v>
      </c>
      <c r="C31" s="3">
        <v>46221</v>
      </c>
      <c r="D31" t="s">
        <v>2079</v>
      </c>
      <c r="E31" t="s">
        <v>2068</v>
      </c>
      <c r="F31" t="s">
        <v>161</v>
      </c>
      <c r="G31" t="s">
        <v>162</v>
      </c>
      <c r="H31" t="s">
        <v>6</v>
      </c>
      <c r="I31" t="s">
        <v>2097</v>
      </c>
      <c r="J31" t="s">
        <v>2086</v>
      </c>
    </row>
    <row r="32" spans="1:10" x14ac:dyDescent="0.3">
      <c r="A32" s="60" t="str">
        <f t="shared" si="0"/>
        <v>Jul 2026</v>
      </c>
      <c r="B32">
        <v>3</v>
      </c>
      <c r="C32" s="3">
        <v>46223</v>
      </c>
      <c r="D32" t="s">
        <v>2084</v>
      </c>
      <c r="E32" t="s">
        <v>2068</v>
      </c>
      <c r="F32" t="s">
        <v>146</v>
      </c>
      <c r="G32" t="s">
        <v>147</v>
      </c>
      <c r="H32" t="s">
        <v>10</v>
      </c>
      <c r="I32" t="s">
        <v>2085</v>
      </c>
      <c r="J32" t="s">
        <v>2086</v>
      </c>
    </row>
    <row r="33" spans="1:10" x14ac:dyDescent="0.3">
      <c r="A33" s="60" t="str">
        <f t="shared" si="0"/>
        <v>Jul 2026</v>
      </c>
      <c r="B33">
        <v>5</v>
      </c>
      <c r="C33" s="3">
        <v>46232</v>
      </c>
      <c r="D33" t="s">
        <v>2092</v>
      </c>
      <c r="E33" t="s">
        <v>2064</v>
      </c>
      <c r="F33" t="s">
        <v>153</v>
      </c>
      <c r="G33" t="s">
        <v>2098</v>
      </c>
      <c r="H33" t="s">
        <v>12</v>
      </c>
      <c r="I33" t="s">
        <v>117</v>
      </c>
      <c r="J33" t="s">
        <v>2099</v>
      </c>
    </row>
    <row r="34" spans="1:10" x14ac:dyDescent="0.3">
      <c r="A34" s="60" t="str">
        <f t="shared" si="0"/>
        <v>Jul 2026</v>
      </c>
      <c r="B34">
        <v>5</v>
      </c>
      <c r="C34" s="3">
        <v>46234</v>
      </c>
      <c r="D34" t="s">
        <v>2087</v>
      </c>
      <c r="E34" t="s">
        <v>2068</v>
      </c>
      <c r="F34" t="s">
        <v>153</v>
      </c>
      <c r="G34" t="s">
        <v>154</v>
      </c>
      <c r="H34" t="s">
        <v>12</v>
      </c>
      <c r="I34" t="s">
        <v>2069</v>
      </c>
      <c r="J34" t="s">
        <v>2076</v>
      </c>
    </row>
    <row r="35" spans="1:10" x14ac:dyDescent="0.3">
      <c r="A35" s="60" t="str">
        <f t="shared" si="0"/>
        <v>Aug 2026</v>
      </c>
      <c r="B35">
        <v>1</v>
      </c>
      <c r="C35" s="3">
        <v>46236</v>
      </c>
      <c r="D35" t="s">
        <v>2063</v>
      </c>
      <c r="E35" t="s">
        <v>2064</v>
      </c>
      <c r="F35" t="s">
        <v>157</v>
      </c>
      <c r="G35" t="s">
        <v>2100</v>
      </c>
      <c r="H35" t="s">
        <v>5</v>
      </c>
      <c r="I35" t="s">
        <v>117</v>
      </c>
      <c r="J35" t="s">
        <v>2101</v>
      </c>
    </row>
    <row r="36" spans="1:10" x14ac:dyDescent="0.3">
      <c r="A36" s="60" t="str">
        <f t="shared" si="0"/>
        <v>Aug 2026</v>
      </c>
      <c r="B36">
        <v>1</v>
      </c>
      <c r="C36" s="3">
        <v>46238</v>
      </c>
      <c r="D36" t="s">
        <v>2067</v>
      </c>
      <c r="E36" t="s">
        <v>2068</v>
      </c>
      <c r="F36" t="s">
        <v>157</v>
      </c>
      <c r="G36" t="s">
        <v>158</v>
      </c>
      <c r="H36" t="s">
        <v>5</v>
      </c>
      <c r="I36" t="s">
        <v>2085</v>
      </c>
      <c r="J36" t="s">
        <v>2086</v>
      </c>
    </row>
    <row r="37" spans="1:10" x14ac:dyDescent="0.3">
      <c r="A37" s="60" t="str">
        <f t="shared" si="0"/>
        <v>Aug 2026</v>
      </c>
      <c r="B37">
        <v>2</v>
      </c>
      <c r="C37" s="3">
        <v>46244</v>
      </c>
      <c r="D37" t="s">
        <v>2084</v>
      </c>
      <c r="E37" t="s">
        <v>2064</v>
      </c>
      <c r="F37" t="s">
        <v>165</v>
      </c>
      <c r="G37" t="s">
        <v>2102</v>
      </c>
      <c r="H37" t="s">
        <v>7</v>
      </c>
      <c r="I37" t="s">
        <v>117</v>
      </c>
      <c r="J37" t="s">
        <v>2103</v>
      </c>
    </row>
    <row r="38" spans="1:10" x14ac:dyDescent="0.3">
      <c r="A38" s="60" t="str">
        <f t="shared" si="0"/>
        <v>Aug 2026</v>
      </c>
      <c r="B38">
        <v>2</v>
      </c>
      <c r="C38" s="3">
        <v>46245</v>
      </c>
      <c r="D38" t="s">
        <v>2067</v>
      </c>
      <c r="E38" t="s">
        <v>2064</v>
      </c>
      <c r="F38" t="s">
        <v>175</v>
      </c>
      <c r="G38" t="s">
        <v>2104</v>
      </c>
      <c r="H38" t="s">
        <v>10</v>
      </c>
      <c r="I38" t="s">
        <v>163</v>
      </c>
      <c r="J38" t="s">
        <v>2105</v>
      </c>
    </row>
    <row r="39" spans="1:10" x14ac:dyDescent="0.3">
      <c r="A39" s="60" t="str">
        <f t="shared" si="0"/>
        <v>Aug 2026</v>
      </c>
      <c r="B39">
        <v>2</v>
      </c>
      <c r="C39" s="3">
        <v>46246</v>
      </c>
      <c r="D39" t="s">
        <v>2092</v>
      </c>
      <c r="E39" t="s">
        <v>2068</v>
      </c>
      <c r="F39" t="s">
        <v>165</v>
      </c>
      <c r="G39" t="s">
        <v>166</v>
      </c>
      <c r="H39" t="s">
        <v>7</v>
      </c>
      <c r="I39" t="s">
        <v>2069</v>
      </c>
      <c r="J39" t="s">
        <v>2076</v>
      </c>
    </row>
    <row r="40" spans="1:10" x14ac:dyDescent="0.3">
      <c r="A40" s="60" t="str">
        <f t="shared" si="0"/>
        <v>Aug 2026</v>
      </c>
      <c r="B40">
        <v>2</v>
      </c>
      <c r="C40" s="3">
        <v>46248</v>
      </c>
      <c r="D40" t="s">
        <v>2087</v>
      </c>
      <c r="E40" t="s">
        <v>2068</v>
      </c>
      <c r="F40" t="s">
        <v>175</v>
      </c>
      <c r="G40" t="s">
        <v>176</v>
      </c>
      <c r="H40" t="s">
        <v>10</v>
      </c>
      <c r="I40" t="s">
        <v>2106</v>
      </c>
      <c r="J40" t="s">
        <v>2081</v>
      </c>
    </row>
    <row r="41" spans="1:10" x14ac:dyDescent="0.3">
      <c r="A41" s="60" t="str">
        <f t="shared" si="0"/>
        <v>Aug 2026</v>
      </c>
      <c r="B41">
        <v>3</v>
      </c>
      <c r="C41" s="3">
        <v>46252</v>
      </c>
      <c r="D41" t="s">
        <v>2067</v>
      </c>
      <c r="E41" t="s">
        <v>2064</v>
      </c>
      <c r="F41" t="s">
        <v>171</v>
      </c>
      <c r="G41" t="s">
        <v>2107</v>
      </c>
      <c r="H41" t="s">
        <v>9</v>
      </c>
      <c r="I41" t="s">
        <v>117</v>
      </c>
      <c r="J41" t="s">
        <v>2108</v>
      </c>
    </row>
    <row r="42" spans="1:10" x14ac:dyDescent="0.3">
      <c r="A42" s="60" t="str">
        <f t="shared" si="0"/>
        <v>Aug 2026</v>
      </c>
      <c r="B42">
        <v>3</v>
      </c>
      <c r="C42" s="3">
        <v>46253</v>
      </c>
      <c r="D42" t="s">
        <v>2092</v>
      </c>
      <c r="E42" t="s">
        <v>2064</v>
      </c>
      <c r="F42" t="s">
        <v>178</v>
      </c>
      <c r="G42" t="s">
        <v>2109</v>
      </c>
      <c r="H42" t="s">
        <v>11</v>
      </c>
      <c r="I42" t="s">
        <v>163</v>
      </c>
      <c r="J42" t="s">
        <v>2110</v>
      </c>
    </row>
    <row r="43" spans="1:10" x14ac:dyDescent="0.3">
      <c r="A43" s="60" t="str">
        <f t="shared" si="0"/>
        <v>Aug 2026</v>
      </c>
      <c r="B43">
        <v>3</v>
      </c>
      <c r="C43" s="3">
        <v>46254</v>
      </c>
      <c r="D43" t="s">
        <v>2073</v>
      </c>
      <c r="E43" t="s">
        <v>2068</v>
      </c>
      <c r="F43" t="s">
        <v>171</v>
      </c>
      <c r="G43" t="s">
        <v>172</v>
      </c>
      <c r="H43" t="s">
        <v>9</v>
      </c>
      <c r="I43" t="s">
        <v>2069</v>
      </c>
      <c r="J43" t="s">
        <v>2076</v>
      </c>
    </row>
    <row r="44" spans="1:10" x14ac:dyDescent="0.3">
      <c r="A44" s="60" t="str">
        <f t="shared" si="0"/>
        <v>Aug 2026</v>
      </c>
      <c r="B44">
        <v>4</v>
      </c>
      <c r="C44" s="3">
        <v>46256</v>
      </c>
      <c r="D44" t="s">
        <v>2079</v>
      </c>
      <c r="E44" t="s">
        <v>2068</v>
      </c>
      <c r="F44" t="s">
        <v>178</v>
      </c>
      <c r="G44" t="s">
        <v>179</v>
      </c>
      <c r="H44" t="s">
        <v>11</v>
      </c>
      <c r="I44" t="s">
        <v>2106</v>
      </c>
      <c r="J44" t="s">
        <v>2081</v>
      </c>
    </row>
    <row r="45" spans="1:10" x14ac:dyDescent="0.3">
      <c r="A45" s="60" t="str">
        <f t="shared" si="0"/>
        <v>Aug 2026</v>
      </c>
      <c r="B45">
        <v>4</v>
      </c>
      <c r="C45" s="3">
        <v>46256</v>
      </c>
      <c r="D45" t="s">
        <v>2079</v>
      </c>
      <c r="E45" t="s">
        <v>2064</v>
      </c>
      <c r="F45" t="s">
        <v>183</v>
      </c>
      <c r="G45" t="s">
        <v>2111</v>
      </c>
      <c r="H45" t="s">
        <v>5</v>
      </c>
      <c r="I45" t="s">
        <v>117</v>
      </c>
      <c r="J45" t="s">
        <v>2112</v>
      </c>
    </row>
    <row r="46" spans="1:10" x14ac:dyDescent="0.3">
      <c r="A46" s="60" t="str">
        <f t="shared" si="0"/>
        <v>Aug 2026</v>
      </c>
      <c r="B46">
        <v>4</v>
      </c>
      <c r="C46" s="3">
        <v>46258</v>
      </c>
      <c r="D46" t="s">
        <v>2084</v>
      </c>
      <c r="E46" t="s">
        <v>2068</v>
      </c>
      <c r="F46" t="s">
        <v>183</v>
      </c>
      <c r="G46" t="s">
        <v>184</v>
      </c>
      <c r="H46" t="s">
        <v>5</v>
      </c>
      <c r="I46" t="s">
        <v>2069</v>
      </c>
      <c r="J46" t="s">
        <v>2076</v>
      </c>
    </row>
    <row r="47" spans="1:10" x14ac:dyDescent="0.3">
      <c r="A47" s="60" t="str">
        <f t="shared" ref="A47:A78" si="1">TEXT(C47,"mmm yyyy")</f>
        <v>Aug 2026</v>
      </c>
      <c r="B47">
        <v>4</v>
      </c>
      <c r="C47" s="3">
        <v>46258</v>
      </c>
      <c r="D47" t="s">
        <v>2084</v>
      </c>
      <c r="E47" t="s">
        <v>2064</v>
      </c>
      <c r="F47" t="s">
        <v>200</v>
      </c>
      <c r="G47" t="s">
        <v>2113</v>
      </c>
      <c r="H47" t="s">
        <v>10</v>
      </c>
      <c r="I47" t="s">
        <v>127</v>
      </c>
      <c r="J47" t="s">
        <v>2114</v>
      </c>
    </row>
    <row r="48" spans="1:10" x14ac:dyDescent="0.3">
      <c r="A48" s="60" t="str">
        <f t="shared" si="1"/>
        <v>Aug 2026</v>
      </c>
      <c r="B48">
        <v>4</v>
      </c>
      <c r="C48" s="3">
        <v>46260</v>
      </c>
      <c r="D48" t="s">
        <v>2092</v>
      </c>
      <c r="E48" t="s">
        <v>2068</v>
      </c>
      <c r="F48" t="s">
        <v>200</v>
      </c>
      <c r="G48" t="s">
        <v>201</v>
      </c>
      <c r="H48" t="s">
        <v>10</v>
      </c>
      <c r="I48" t="s">
        <v>2115</v>
      </c>
      <c r="J48" t="s">
        <v>2076</v>
      </c>
    </row>
    <row r="49" spans="1:10" x14ac:dyDescent="0.3">
      <c r="A49" s="60" t="str">
        <f t="shared" si="1"/>
        <v>Sep 2026</v>
      </c>
      <c r="B49">
        <v>1</v>
      </c>
      <c r="C49" s="3">
        <v>46266</v>
      </c>
      <c r="D49" t="s">
        <v>2067</v>
      </c>
      <c r="E49" t="s">
        <v>2064</v>
      </c>
      <c r="F49" t="s">
        <v>181</v>
      </c>
      <c r="G49" t="s">
        <v>2116</v>
      </c>
      <c r="H49" t="s">
        <v>12</v>
      </c>
      <c r="I49" t="s">
        <v>163</v>
      </c>
      <c r="J49" t="s">
        <v>2117</v>
      </c>
    </row>
    <row r="50" spans="1:10" x14ac:dyDescent="0.3">
      <c r="A50" s="60" t="str">
        <f t="shared" si="1"/>
        <v>Sep 2026</v>
      </c>
      <c r="B50">
        <v>1</v>
      </c>
      <c r="C50" s="3">
        <v>46269</v>
      </c>
      <c r="D50" t="s">
        <v>2087</v>
      </c>
      <c r="E50" t="s">
        <v>2118</v>
      </c>
      <c r="F50" t="s">
        <v>181</v>
      </c>
      <c r="G50" t="s">
        <v>182</v>
      </c>
      <c r="H50" t="s">
        <v>12</v>
      </c>
      <c r="I50" t="s">
        <v>2106</v>
      </c>
      <c r="J50" t="s">
        <v>1935</v>
      </c>
    </row>
    <row r="51" spans="1:10" x14ac:dyDescent="0.3">
      <c r="A51" s="60" t="str">
        <f t="shared" si="1"/>
        <v>Sep 2026</v>
      </c>
      <c r="B51">
        <v>2</v>
      </c>
      <c r="C51" s="3">
        <v>46275</v>
      </c>
      <c r="D51" t="s">
        <v>2073</v>
      </c>
      <c r="E51" t="s">
        <v>2064</v>
      </c>
      <c r="F51" t="s">
        <v>186</v>
      </c>
      <c r="G51" t="s">
        <v>2119</v>
      </c>
      <c r="H51" t="s">
        <v>6</v>
      </c>
      <c r="I51" t="s">
        <v>117</v>
      </c>
      <c r="J51" t="s">
        <v>2120</v>
      </c>
    </row>
    <row r="52" spans="1:10" x14ac:dyDescent="0.3">
      <c r="A52" s="60" t="str">
        <f t="shared" si="1"/>
        <v>Sep 2026</v>
      </c>
      <c r="B52">
        <v>2</v>
      </c>
      <c r="C52" s="3">
        <v>46277</v>
      </c>
      <c r="D52" t="s">
        <v>2079</v>
      </c>
      <c r="E52" t="s">
        <v>2068</v>
      </c>
      <c r="F52" t="s">
        <v>186</v>
      </c>
      <c r="G52" t="s">
        <v>187</v>
      </c>
      <c r="H52" t="s">
        <v>6</v>
      </c>
      <c r="I52" t="s">
        <v>2069</v>
      </c>
      <c r="J52" t="s">
        <v>2076</v>
      </c>
    </row>
    <row r="53" spans="1:10" x14ac:dyDescent="0.3">
      <c r="A53" s="60" t="str">
        <f t="shared" si="1"/>
        <v>Sep 2026</v>
      </c>
      <c r="B53">
        <v>2</v>
      </c>
      <c r="C53" s="3">
        <v>46279</v>
      </c>
      <c r="D53" t="s">
        <v>2084</v>
      </c>
      <c r="E53" t="s">
        <v>2064</v>
      </c>
      <c r="F53" t="s">
        <v>190</v>
      </c>
      <c r="G53" t="s">
        <v>2121</v>
      </c>
      <c r="H53" t="s">
        <v>7</v>
      </c>
      <c r="I53" t="s">
        <v>117</v>
      </c>
      <c r="J53" t="s">
        <v>2122</v>
      </c>
    </row>
    <row r="54" spans="1:10" x14ac:dyDescent="0.3">
      <c r="A54" s="60" t="str">
        <f t="shared" si="1"/>
        <v>Sep 2026</v>
      </c>
      <c r="B54">
        <v>3</v>
      </c>
      <c r="C54" s="3">
        <v>46281</v>
      </c>
      <c r="D54" t="s">
        <v>2092</v>
      </c>
      <c r="E54" t="s">
        <v>2068</v>
      </c>
      <c r="F54" t="s">
        <v>190</v>
      </c>
      <c r="G54" t="s">
        <v>191</v>
      </c>
      <c r="H54" t="s">
        <v>7</v>
      </c>
      <c r="I54" t="s">
        <v>2069</v>
      </c>
      <c r="J54" t="s">
        <v>2076</v>
      </c>
    </row>
    <row r="55" spans="1:10" x14ac:dyDescent="0.3">
      <c r="A55" s="60" t="str">
        <f t="shared" si="1"/>
        <v>Sep 2026</v>
      </c>
      <c r="B55">
        <v>3</v>
      </c>
      <c r="C55" s="3">
        <v>46281</v>
      </c>
      <c r="D55" t="s">
        <v>2092</v>
      </c>
      <c r="E55" t="s">
        <v>2064</v>
      </c>
      <c r="F55" t="s">
        <v>197</v>
      </c>
      <c r="G55" t="s">
        <v>2123</v>
      </c>
      <c r="H55" t="s">
        <v>9</v>
      </c>
      <c r="I55" t="s">
        <v>117</v>
      </c>
      <c r="J55" t="s">
        <v>2124</v>
      </c>
    </row>
    <row r="56" spans="1:10" x14ac:dyDescent="0.3">
      <c r="A56" s="60" t="str">
        <f t="shared" si="1"/>
        <v>Sep 2026</v>
      </c>
      <c r="B56">
        <v>3</v>
      </c>
      <c r="C56" s="3">
        <v>46283</v>
      </c>
      <c r="D56" t="s">
        <v>2087</v>
      </c>
      <c r="E56" t="s">
        <v>2064</v>
      </c>
      <c r="F56" t="s">
        <v>195</v>
      </c>
      <c r="G56" t="s">
        <v>2125</v>
      </c>
      <c r="H56" t="s">
        <v>8</v>
      </c>
      <c r="I56" t="s">
        <v>117</v>
      </c>
      <c r="J56" t="s">
        <v>2126</v>
      </c>
    </row>
    <row r="57" spans="1:10" x14ac:dyDescent="0.3">
      <c r="A57" s="60" t="str">
        <f t="shared" si="1"/>
        <v>Sep 2026</v>
      </c>
      <c r="B57">
        <v>3</v>
      </c>
      <c r="C57" s="3">
        <v>46283</v>
      </c>
      <c r="D57" t="s">
        <v>2087</v>
      </c>
      <c r="E57" t="s">
        <v>2068</v>
      </c>
      <c r="F57" t="s">
        <v>197</v>
      </c>
      <c r="G57" t="s">
        <v>198</v>
      </c>
      <c r="H57" t="s">
        <v>9</v>
      </c>
      <c r="I57" t="s">
        <v>2069</v>
      </c>
      <c r="J57" t="s">
        <v>2076</v>
      </c>
    </row>
    <row r="58" spans="1:10" x14ac:dyDescent="0.3">
      <c r="A58" s="60" t="str">
        <f t="shared" si="1"/>
        <v>Sep 2026</v>
      </c>
      <c r="B58">
        <v>3</v>
      </c>
      <c r="C58" s="3">
        <v>46283</v>
      </c>
      <c r="D58" t="s">
        <v>2087</v>
      </c>
      <c r="E58" t="s">
        <v>2064</v>
      </c>
      <c r="F58" t="s">
        <v>212</v>
      </c>
      <c r="G58" t="s">
        <v>2127</v>
      </c>
      <c r="H58" t="s">
        <v>6</v>
      </c>
      <c r="I58" t="s">
        <v>127</v>
      </c>
      <c r="J58" t="s">
        <v>2128</v>
      </c>
    </row>
    <row r="59" spans="1:10" x14ac:dyDescent="0.3">
      <c r="A59" s="60" t="str">
        <f t="shared" si="1"/>
        <v>Sep 2026</v>
      </c>
      <c r="B59">
        <v>3</v>
      </c>
      <c r="C59" s="3">
        <v>46285</v>
      </c>
      <c r="D59" t="s">
        <v>2063</v>
      </c>
      <c r="E59" t="s">
        <v>2068</v>
      </c>
      <c r="F59" t="s">
        <v>195</v>
      </c>
      <c r="G59" t="s">
        <v>196</v>
      </c>
      <c r="H59" t="s">
        <v>8</v>
      </c>
      <c r="I59" t="s">
        <v>2069</v>
      </c>
      <c r="J59" t="s">
        <v>2076</v>
      </c>
    </row>
    <row r="60" spans="1:10" x14ac:dyDescent="0.3">
      <c r="A60" s="60" t="str">
        <f t="shared" si="1"/>
        <v>Sep 2026</v>
      </c>
      <c r="B60">
        <v>3</v>
      </c>
      <c r="C60" s="3">
        <v>46285</v>
      </c>
      <c r="D60" t="s">
        <v>2063</v>
      </c>
      <c r="E60" t="s">
        <v>2068</v>
      </c>
      <c r="F60" t="s">
        <v>212</v>
      </c>
      <c r="G60" t="s">
        <v>213</v>
      </c>
      <c r="H60" t="s">
        <v>6</v>
      </c>
      <c r="I60" t="s">
        <v>2115</v>
      </c>
      <c r="J60" t="s">
        <v>2076</v>
      </c>
    </row>
    <row r="61" spans="1:10" x14ac:dyDescent="0.3">
      <c r="A61" s="60" t="str">
        <f t="shared" si="1"/>
        <v>Oct 2026</v>
      </c>
      <c r="B61">
        <v>1</v>
      </c>
      <c r="C61" s="3">
        <v>46297</v>
      </c>
      <c r="D61" t="s">
        <v>2087</v>
      </c>
      <c r="E61" t="s">
        <v>2064</v>
      </c>
      <c r="F61" t="s">
        <v>202</v>
      </c>
      <c r="G61" t="s">
        <v>2129</v>
      </c>
      <c r="H61" t="s">
        <v>11</v>
      </c>
      <c r="I61" t="s">
        <v>127</v>
      </c>
      <c r="J61" t="s">
        <v>2130</v>
      </c>
    </row>
    <row r="62" spans="1:10" x14ac:dyDescent="0.3">
      <c r="A62" s="60" t="str">
        <f t="shared" si="1"/>
        <v>Oct 2026</v>
      </c>
      <c r="B62">
        <v>1</v>
      </c>
      <c r="C62" s="3">
        <v>46299</v>
      </c>
      <c r="D62" t="s">
        <v>2063</v>
      </c>
      <c r="E62" t="s">
        <v>2068</v>
      </c>
      <c r="F62" t="s">
        <v>202</v>
      </c>
      <c r="G62" t="s">
        <v>203</v>
      </c>
      <c r="H62" t="s">
        <v>11</v>
      </c>
      <c r="I62" t="s">
        <v>2080</v>
      </c>
      <c r="J62" t="s">
        <v>2081</v>
      </c>
    </row>
    <row r="63" spans="1:10" x14ac:dyDescent="0.3">
      <c r="A63" s="60" t="str">
        <f t="shared" si="1"/>
        <v>Oct 2026</v>
      </c>
      <c r="B63">
        <v>1</v>
      </c>
      <c r="C63" s="3">
        <v>46299</v>
      </c>
      <c r="D63" t="s">
        <v>2063</v>
      </c>
      <c r="E63" t="s">
        <v>2064</v>
      </c>
      <c r="F63" t="s">
        <v>214</v>
      </c>
      <c r="G63" t="s">
        <v>2131</v>
      </c>
      <c r="H63" t="s">
        <v>7</v>
      </c>
      <c r="I63" t="s">
        <v>117</v>
      </c>
      <c r="J63" t="s">
        <v>2132</v>
      </c>
    </row>
    <row r="64" spans="1:10" x14ac:dyDescent="0.3">
      <c r="A64" s="60" t="str">
        <f t="shared" si="1"/>
        <v>Oct 2026</v>
      </c>
      <c r="B64">
        <v>1</v>
      </c>
      <c r="C64" s="3">
        <v>46301</v>
      </c>
      <c r="D64" t="s">
        <v>2067</v>
      </c>
      <c r="E64" t="s">
        <v>2064</v>
      </c>
      <c r="F64" t="s">
        <v>207</v>
      </c>
      <c r="G64" t="s">
        <v>2133</v>
      </c>
      <c r="H64" t="s">
        <v>12</v>
      </c>
      <c r="I64" t="s">
        <v>117</v>
      </c>
      <c r="J64" t="s">
        <v>2134</v>
      </c>
    </row>
    <row r="65" spans="1:10" x14ac:dyDescent="0.3">
      <c r="A65" s="60" t="str">
        <f t="shared" si="1"/>
        <v>Oct 2026</v>
      </c>
      <c r="B65">
        <v>1</v>
      </c>
      <c r="C65" s="3">
        <v>46301</v>
      </c>
      <c r="D65" t="s">
        <v>2067</v>
      </c>
      <c r="E65" t="s">
        <v>2068</v>
      </c>
      <c r="F65" t="s">
        <v>214</v>
      </c>
      <c r="G65" t="s">
        <v>215</v>
      </c>
      <c r="H65" t="s">
        <v>7</v>
      </c>
      <c r="I65" t="s">
        <v>2069</v>
      </c>
      <c r="J65" t="s">
        <v>2076</v>
      </c>
    </row>
    <row r="66" spans="1:10" x14ac:dyDescent="0.3">
      <c r="A66" s="60" t="str">
        <f t="shared" si="1"/>
        <v>Oct 2026</v>
      </c>
      <c r="B66">
        <v>2</v>
      </c>
      <c r="C66" s="3">
        <v>46303</v>
      </c>
      <c r="D66" t="s">
        <v>2073</v>
      </c>
      <c r="E66" t="s">
        <v>2068</v>
      </c>
      <c r="F66" t="s">
        <v>207</v>
      </c>
      <c r="G66" t="s">
        <v>208</v>
      </c>
      <c r="H66" t="s">
        <v>12</v>
      </c>
      <c r="I66" t="s">
        <v>2069</v>
      </c>
      <c r="J66" t="s">
        <v>2076</v>
      </c>
    </row>
    <row r="67" spans="1:10" x14ac:dyDescent="0.3">
      <c r="A67" s="60" t="str">
        <f t="shared" si="1"/>
        <v>Oct 2026</v>
      </c>
      <c r="B67">
        <v>2</v>
      </c>
      <c r="C67" s="3">
        <v>46305</v>
      </c>
      <c r="D67" t="s">
        <v>2079</v>
      </c>
      <c r="E67" t="s">
        <v>2064</v>
      </c>
      <c r="F67" t="s">
        <v>209</v>
      </c>
      <c r="G67" t="s">
        <v>2135</v>
      </c>
      <c r="H67" t="s">
        <v>5</v>
      </c>
      <c r="I67" t="s">
        <v>127</v>
      </c>
      <c r="J67" t="s">
        <v>2136</v>
      </c>
    </row>
    <row r="68" spans="1:10" x14ac:dyDescent="0.3">
      <c r="A68" s="60" t="str">
        <f t="shared" si="1"/>
        <v>Oct 2026</v>
      </c>
      <c r="B68">
        <v>2</v>
      </c>
      <c r="C68" s="3">
        <v>46307</v>
      </c>
      <c r="D68" t="s">
        <v>2084</v>
      </c>
      <c r="E68" t="s">
        <v>2118</v>
      </c>
      <c r="F68" t="s">
        <v>209</v>
      </c>
      <c r="G68" t="s">
        <v>210</v>
      </c>
      <c r="H68" t="s">
        <v>5</v>
      </c>
      <c r="I68" t="s">
        <v>2137</v>
      </c>
      <c r="J68" t="s">
        <v>1936</v>
      </c>
    </row>
    <row r="69" spans="1:10" x14ac:dyDescent="0.3">
      <c r="A69" s="60" t="str">
        <f t="shared" si="1"/>
        <v>Oct 2026</v>
      </c>
      <c r="B69">
        <v>3</v>
      </c>
      <c r="C69" s="3">
        <v>46316</v>
      </c>
      <c r="D69" t="s">
        <v>2092</v>
      </c>
      <c r="E69" t="s">
        <v>2064</v>
      </c>
      <c r="F69" t="s">
        <v>217</v>
      </c>
      <c r="G69" t="s">
        <v>2138</v>
      </c>
      <c r="H69" t="s">
        <v>8</v>
      </c>
      <c r="I69" t="s">
        <v>163</v>
      </c>
      <c r="J69" t="s">
        <v>2139</v>
      </c>
    </row>
    <row r="70" spans="1:10" x14ac:dyDescent="0.3">
      <c r="A70" s="60" t="str">
        <f t="shared" si="1"/>
        <v>Oct 2026</v>
      </c>
      <c r="B70">
        <v>4</v>
      </c>
      <c r="C70" s="3">
        <v>46319</v>
      </c>
      <c r="D70" t="s">
        <v>2079</v>
      </c>
      <c r="E70" t="s">
        <v>2068</v>
      </c>
      <c r="F70" t="s">
        <v>217</v>
      </c>
      <c r="G70" t="s">
        <v>218</v>
      </c>
      <c r="H70" t="s">
        <v>8</v>
      </c>
      <c r="I70" t="s">
        <v>2106</v>
      </c>
      <c r="J70" t="s">
        <v>2081</v>
      </c>
    </row>
    <row r="71" spans="1:10" x14ac:dyDescent="0.3">
      <c r="A71" s="60" t="str">
        <f t="shared" si="1"/>
        <v>Oct 2026</v>
      </c>
      <c r="B71">
        <v>5</v>
      </c>
      <c r="C71" s="3">
        <v>46324</v>
      </c>
      <c r="D71" t="s">
        <v>2073</v>
      </c>
      <c r="E71" t="s">
        <v>2064</v>
      </c>
      <c r="F71" t="s">
        <v>219</v>
      </c>
      <c r="G71" t="s">
        <v>2140</v>
      </c>
      <c r="H71" t="s">
        <v>9</v>
      </c>
      <c r="I71" t="s">
        <v>127</v>
      </c>
      <c r="J71" t="s">
        <v>2141</v>
      </c>
    </row>
    <row r="72" spans="1:10" x14ac:dyDescent="0.3">
      <c r="A72" s="60" t="str">
        <f t="shared" si="1"/>
        <v>Oct 2026</v>
      </c>
      <c r="B72">
        <v>5</v>
      </c>
      <c r="C72" s="3">
        <v>46326</v>
      </c>
      <c r="D72" t="s">
        <v>2079</v>
      </c>
      <c r="E72" t="s">
        <v>2068</v>
      </c>
      <c r="F72" t="s">
        <v>219</v>
      </c>
      <c r="G72" t="s">
        <v>220</v>
      </c>
      <c r="H72" t="s">
        <v>9</v>
      </c>
      <c r="I72" t="s">
        <v>2137</v>
      </c>
      <c r="J72" t="s">
        <v>2086</v>
      </c>
    </row>
    <row r="73" spans="1:10" x14ac:dyDescent="0.3">
      <c r="A73" s="60" t="str">
        <f t="shared" si="1"/>
        <v>Nov 2026</v>
      </c>
      <c r="B73">
        <v>1</v>
      </c>
      <c r="C73" s="3">
        <v>46328</v>
      </c>
      <c r="D73" t="s">
        <v>2084</v>
      </c>
      <c r="E73" t="s">
        <v>2064</v>
      </c>
      <c r="F73" t="s">
        <v>221</v>
      </c>
      <c r="G73" t="s">
        <v>2142</v>
      </c>
      <c r="H73" t="s">
        <v>10</v>
      </c>
      <c r="I73" t="s">
        <v>127</v>
      </c>
      <c r="J73" t="s">
        <v>2143</v>
      </c>
    </row>
    <row r="74" spans="1:10" x14ac:dyDescent="0.3">
      <c r="A74" s="60" t="str">
        <f t="shared" si="1"/>
        <v>Nov 2026</v>
      </c>
      <c r="B74">
        <v>1</v>
      </c>
      <c r="C74" s="3">
        <v>46330</v>
      </c>
      <c r="D74" t="s">
        <v>2092</v>
      </c>
      <c r="E74" t="s">
        <v>2068</v>
      </c>
      <c r="F74" t="s">
        <v>221</v>
      </c>
      <c r="G74" t="s">
        <v>222</v>
      </c>
      <c r="H74" t="s">
        <v>10</v>
      </c>
      <c r="I74" t="s">
        <v>2080</v>
      </c>
      <c r="J74" t="s">
        <v>2081</v>
      </c>
    </row>
    <row r="75" spans="1:10" x14ac:dyDescent="0.3">
      <c r="A75" s="60" t="str">
        <f t="shared" si="1"/>
        <v>Nov 2026</v>
      </c>
      <c r="B75">
        <v>1</v>
      </c>
      <c r="C75" s="3">
        <v>46332</v>
      </c>
      <c r="D75" t="s">
        <v>2087</v>
      </c>
      <c r="E75" t="s">
        <v>2064</v>
      </c>
      <c r="F75" t="s">
        <v>224</v>
      </c>
      <c r="G75" t="s">
        <v>2144</v>
      </c>
      <c r="H75" t="s">
        <v>11</v>
      </c>
      <c r="I75" t="s">
        <v>117</v>
      </c>
      <c r="J75" t="s">
        <v>2145</v>
      </c>
    </row>
    <row r="76" spans="1:10" x14ac:dyDescent="0.3">
      <c r="A76" s="60" t="str">
        <f t="shared" si="1"/>
        <v>Nov 2026</v>
      </c>
      <c r="B76">
        <v>2</v>
      </c>
      <c r="C76" s="3">
        <v>46334</v>
      </c>
      <c r="D76" t="s">
        <v>2063</v>
      </c>
      <c r="E76" t="s">
        <v>2118</v>
      </c>
      <c r="F76" t="s">
        <v>224</v>
      </c>
      <c r="G76" t="s">
        <v>225</v>
      </c>
      <c r="H76" t="s">
        <v>11</v>
      </c>
      <c r="I76" t="s">
        <v>2069</v>
      </c>
      <c r="J76" t="s">
        <v>1937</v>
      </c>
    </row>
    <row r="77" spans="1:10" x14ac:dyDescent="0.3">
      <c r="A77" s="60" t="str">
        <f t="shared" si="1"/>
        <v>Nov 2026</v>
      </c>
      <c r="B77">
        <v>2</v>
      </c>
      <c r="C77" s="3">
        <v>46336</v>
      </c>
      <c r="D77" t="s">
        <v>2067</v>
      </c>
      <c r="E77" t="s">
        <v>2064</v>
      </c>
      <c r="F77" t="s">
        <v>226</v>
      </c>
      <c r="G77" t="s">
        <v>2146</v>
      </c>
      <c r="H77" t="s">
        <v>12</v>
      </c>
      <c r="I77" t="s">
        <v>117</v>
      </c>
      <c r="J77" t="s">
        <v>2147</v>
      </c>
    </row>
    <row r="78" spans="1:10" x14ac:dyDescent="0.3">
      <c r="A78" s="60" t="str">
        <f t="shared" si="1"/>
        <v>Nov 2026</v>
      </c>
      <c r="B78">
        <v>2</v>
      </c>
      <c r="C78" s="3">
        <v>46338</v>
      </c>
      <c r="D78" t="s">
        <v>2073</v>
      </c>
      <c r="E78" t="s">
        <v>2068</v>
      </c>
      <c r="F78" t="s">
        <v>226</v>
      </c>
      <c r="G78" t="s">
        <v>227</v>
      </c>
      <c r="H78" t="s">
        <v>12</v>
      </c>
      <c r="I78" t="s">
        <v>2069</v>
      </c>
      <c r="J78" t="s">
        <v>2076</v>
      </c>
    </row>
    <row r="79" spans="1:10" x14ac:dyDescent="0.3">
      <c r="A79" s="60" t="str">
        <f t="shared" ref="A79:A110" si="2">TEXT(C79,"mmm yyyy")</f>
        <v>Nov 2026</v>
      </c>
      <c r="B79">
        <v>2</v>
      </c>
      <c r="C79" s="3">
        <v>46339</v>
      </c>
      <c r="D79" t="s">
        <v>2087</v>
      </c>
      <c r="E79" t="s">
        <v>2064</v>
      </c>
      <c r="F79" t="s">
        <v>228</v>
      </c>
      <c r="G79" t="s">
        <v>2148</v>
      </c>
      <c r="H79" t="s">
        <v>5</v>
      </c>
      <c r="I79" t="s">
        <v>163</v>
      </c>
      <c r="J79" t="s">
        <v>2149</v>
      </c>
    </row>
    <row r="80" spans="1:10" x14ac:dyDescent="0.3">
      <c r="A80" s="60" t="str">
        <f t="shared" si="2"/>
        <v>Nov 2026</v>
      </c>
      <c r="B80">
        <v>3</v>
      </c>
      <c r="C80" s="3">
        <v>46342</v>
      </c>
      <c r="D80" t="s">
        <v>2084</v>
      </c>
      <c r="E80" t="s">
        <v>2068</v>
      </c>
      <c r="F80" t="s">
        <v>228</v>
      </c>
      <c r="G80" t="s">
        <v>229</v>
      </c>
      <c r="H80" t="s">
        <v>5</v>
      </c>
      <c r="I80" t="s">
        <v>2097</v>
      </c>
      <c r="J80" t="s">
        <v>2086</v>
      </c>
    </row>
    <row r="81" spans="1:10" x14ac:dyDescent="0.3">
      <c r="A81" s="60" t="str">
        <f t="shared" si="2"/>
        <v>Nov 2026</v>
      </c>
      <c r="B81">
        <v>3</v>
      </c>
      <c r="C81" s="3">
        <v>46344</v>
      </c>
      <c r="D81" t="s">
        <v>2092</v>
      </c>
      <c r="E81" t="s">
        <v>2064</v>
      </c>
      <c r="F81" t="s">
        <v>230</v>
      </c>
      <c r="G81" t="s">
        <v>2150</v>
      </c>
      <c r="H81" t="s">
        <v>6</v>
      </c>
      <c r="I81" t="s">
        <v>127</v>
      </c>
      <c r="J81" t="s">
        <v>2151</v>
      </c>
    </row>
    <row r="82" spans="1:10" x14ac:dyDescent="0.3">
      <c r="A82" s="60" t="str">
        <f t="shared" si="2"/>
        <v>Nov 2026</v>
      </c>
      <c r="B82">
        <v>3</v>
      </c>
      <c r="C82" s="3">
        <v>46346</v>
      </c>
      <c r="D82" t="s">
        <v>2087</v>
      </c>
      <c r="E82" t="s">
        <v>2068</v>
      </c>
      <c r="F82" t="s">
        <v>230</v>
      </c>
      <c r="G82" t="s">
        <v>231</v>
      </c>
      <c r="H82" t="s">
        <v>6</v>
      </c>
      <c r="I82" t="s">
        <v>2115</v>
      </c>
      <c r="J82" t="s">
        <v>2076</v>
      </c>
    </row>
    <row r="83" spans="1:10" x14ac:dyDescent="0.3">
      <c r="A83" s="60" t="str">
        <f t="shared" si="2"/>
        <v>Nov 2026</v>
      </c>
      <c r="B83">
        <v>4</v>
      </c>
      <c r="C83" s="3">
        <v>46348</v>
      </c>
      <c r="D83" t="s">
        <v>2063</v>
      </c>
      <c r="E83" t="s">
        <v>2064</v>
      </c>
      <c r="F83" t="s">
        <v>232</v>
      </c>
      <c r="G83" t="s">
        <v>2152</v>
      </c>
      <c r="H83" t="s">
        <v>7</v>
      </c>
      <c r="I83" t="s">
        <v>117</v>
      </c>
      <c r="J83" t="s">
        <v>2153</v>
      </c>
    </row>
    <row r="84" spans="1:10" x14ac:dyDescent="0.3">
      <c r="A84" s="60" t="str">
        <f t="shared" si="2"/>
        <v>Nov 2026</v>
      </c>
      <c r="B84">
        <v>4</v>
      </c>
      <c r="C84" s="3">
        <v>46350</v>
      </c>
      <c r="D84" t="s">
        <v>2067</v>
      </c>
      <c r="E84" t="s">
        <v>2068</v>
      </c>
      <c r="F84" t="s">
        <v>232</v>
      </c>
      <c r="G84" t="s">
        <v>233</v>
      </c>
      <c r="H84" t="s">
        <v>7</v>
      </c>
      <c r="I84" t="s">
        <v>2085</v>
      </c>
      <c r="J84" t="s">
        <v>2086</v>
      </c>
    </row>
    <row r="85" spans="1:10" x14ac:dyDescent="0.3">
      <c r="A85" s="60" t="str">
        <f t="shared" si="2"/>
        <v>Nov 2026</v>
      </c>
      <c r="B85">
        <v>4</v>
      </c>
      <c r="C85" s="3">
        <v>46354</v>
      </c>
      <c r="D85" t="s">
        <v>2079</v>
      </c>
      <c r="E85" t="s">
        <v>2064</v>
      </c>
      <c r="F85" t="s">
        <v>234</v>
      </c>
      <c r="G85" t="s">
        <v>2154</v>
      </c>
      <c r="H85" t="s">
        <v>8</v>
      </c>
      <c r="I85" t="s">
        <v>117</v>
      </c>
      <c r="J85" t="s">
        <v>2155</v>
      </c>
    </row>
    <row r="86" spans="1:10" x14ac:dyDescent="0.3">
      <c r="A86" s="60" t="str">
        <f t="shared" si="2"/>
        <v>Nov 2026</v>
      </c>
      <c r="B86">
        <v>5</v>
      </c>
      <c r="C86" s="3">
        <v>46356</v>
      </c>
      <c r="D86" t="s">
        <v>2084</v>
      </c>
      <c r="E86" t="s">
        <v>2068</v>
      </c>
      <c r="F86" t="s">
        <v>234</v>
      </c>
      <c r="G86" t="s">
        <v>235</v>
      </c>
      <c r="H86" t="s">
        <v>8</v>
      </c>
      <c r="I86" t="s">
        <v>2069</v>
      </c>
      <c r="J86" t="s">
        <v>2076</v>
      </c>
    </row>
    <row r="87" spans="1:10" x14ac:dyDescent="0.3">
      <c r="A87" s="60" t="str">
        <f t="shared" si="2"/>
        <v>Dec 2026</v>
      </c>
      <c r="B87">
        <v>1</v>
      </c>
      <c r="C87" s="3">
        <v>46357</v>
      </c>
      <c r="D87" t="s">
        <v>2067</v>
      </c>
      <c r="E87" t="s">
        <v>2064</v>
      </c>
      <c r="F87" t="s">
        <v>236</v>
      </c>
      <c r="G87" t="s">
        <v>2156</v>
      </c>
      <c r="H87" t="s">
        <v>9</v>
      </c>
      <c r="I87" t="s">
        <v>163</v>
      </c>
      <c r="J87" t="s">
        <v>2157</v>
      </c>
    </row>
    <row r="88" spans="1:10" x14ac:dyDescent="0.3">
      <c r="A88" s="60" t="str">
        <f t="shared" si="2"/>
        <v>Dec 2026</v>
      </c>
      <c r="B88">
        <v>1</v>
      </c>
      <c r="C88" s="3">
        <v>46360</v>
      </c>
      <c r="D88" t="s">
        <v>2087</v>
      </c>
      <c r="E88" t="s">
        <v>2068</v>
      </c>
      <c r="F88" t="s">
        <v>236</v>
      </c>
      <c r="G88" t="s">
        <v>237</v>
      </c>
      <c r="H88" t="s">
        <v>9</v>
      </c>
      <c r="I88" t="s">
        <v>2106</v>
      </c>
      <c r="J88" t="s">
        <v>2081</v>
      </c>
    </row>
    <row r="89" spans="1:10" x14ac:dyDescent="0.3">
      <c r="A89" s="60" t="str">
        <f t="shared" si="2"/>
        <v>Dec 2026</v>
      </c>
      <c r="B89">
        <v>1</v>
      </c>
      <c r="C89" s="3">
        <v>46362</v>
      </c>
      <c r="D89" t="s">
        <v>2063</v>
      </c>
      <c r="E89" t="s">
        <v>2064</v>
      </c>
      <c r="F89" t="s">
        <v>239</v>
      </c>
      <c r="G89" t="s">
        <v>2158</v>
      </c>
      <c r="H89" t="s">
        <v>10</v>
      </c>
      <c r="I89" t="s">
        <v>117</v>
      </c>
      <c r="J89" t="s">
        <v>2159</v>
      </c>
    </row>
    <row r="90" spans="1:10" x14ac:dyDescent="0.3">
      <c r="A90" s="60" t="str">
        <f t="shared" si="2"/>
        <v>Dec 2026</v>
      </c>
      <c r="B90">
        <v>2</v>
      </c>
      <c r="C90" s="3">
        <v>46364</v>
      </c>
      <c r="D90" t="s">
        <v>2067</v>
      </c>
      <c r="E90" t="s">
        <v>2068</v>
      </c>
      <c r="F90" t="s">
        <v>239</v>
      </c>
      <c r="G90" t="s">
        <v>240</v>
      </c>
      <c r="H90" t="s">
        <v>10</v>
      </c>
      <c r="I90" t="s">
        <v>2069</v>
      </c>
      <c r="J90" t="s">
        <v>2076</v>
      </c>
    </row>
    <row r="91" spans="1:10" x14ac:dyDescent="0.3">
      <c r="A91" s="60" t="str">
        <f t="shared" si="2"/>
        <v>Dec 2026</v>
      </c>
      <c r="B91">
        <v>2</v>
      </c>
      <c r="C91" s="3">
        <v>46365</v>
      </c>
      <c r="D91" t="s">
        <v>2092</v>
      </c>
      <c r="E91" t="s">
        <v>2064</v>
      </c>
      <c r="F91" t="s">
        <v>242</v>
      </c>
      <c r="G91" t="s">
        <v>2160</v>
      </c>
      <c r="H91" t="s">
        <v>11</v>
      </c>
      <c r="I91" t="s">
        <v>163</v>
      </c>
      <c r="J91" t="s">
        <v>2161</v>
      </c>
    </row>
    <row r="92" spans="1:10" x14ac:dyDescent="0.3">
      <c r="A92" s="60" t="str">
        <f t="shared" si="2"/>
        <v>Dec 2026</v>
      </c>
      <c r="B92">
        <v>2</v>
      </c>
      <c r="C92" s="3">
        <v>46368</v>
      </c>
      <c r="D92" t="s">
        <v>2079</v>
      </c>
      <c r="E92" t="s">
        <v>2068</v>
      </c>
      <c r="F92" t="s">
        <v>242</v>
      </c>
      <c r="G92" t="s">
        <v>243</v>
      </c>
      <c r="H92" t="s">
        <v>11</v>
      </c>
      <c r="I92" t="s">
        <v>2106</v>
      </c>
      <c r="J92" t="s">
        <v>2081</v>
      </c>
    </row>
    <row r="93" spans="1:10" x14ac:dyDescent="0.3">
      <c r="A93" s="60" t="str">
        <f t="shared" si="2"/>
        <v>Dec 2026</v>
      </c>
      <c r="B93">
        <v>2</v>
      </c>
      <c r="C93" s="3">
        <v>46369</v>
      </c>
      <c r="D93" t="s">
        <v>2063</v>
      </c>
      <c r="E93" t="s">
        <v>2162</v>
      </c>
      <c r="F93" t="s">
        <v>2163</v>
      </c>
      <c r="G93" t="s">
        <v>2164</v>
      </c>
      <c r="H93" t="s">
        <v>2165</v>
      </c>
      <c r="I93" t="s">
        <v>2166</v>
      </c>
      <c r="J93" t="s">
        <v>2167</v>
      </c>
    </row>
    <row r="94" spans="1:10" x14ac:dyDescent="0.3">
      <c r="A94" s="60" t="str">
        <f t="shared" si="2"/>
        <v>Dec 2026</v>
      </c>
      <c r="B94">
        <v>2</v>
      </c>
      <c r="C94" s="3">
        <v>46370</v>
      </c>
      <c r="D94" t="s">
        <v>2084</v>
      </c>
      <c r="E94" t="s">
        <v>2064</v>
      </c>
      <c r="F94" t="s">
        <v>246</v>
      </c>
      <c r="G94" t="s">
        <v>2168</v>
      </c>
      <c r="H94" t="s">
        <v>12</v>
      </c>
      <c r="I94" t="s">
        <v>117</v>
      </c>
      <c r="J94" t="s">
        <v>2169</v>
      </c>
    </row>
    <row r="95" spans="1:10" x14ac:dyDescent="0.3">
      <c r="A95" s="60" t="str">
        <f t="shared" si="2"/>
        <v>Dec 2026</v>
      </c>
      <c r="B95">
        <v>3</v>
      </c>
      <c r="C95" s="3">
        <v>46372</v>
      </c>
      <c r="D95" t="s">
        <v>2092</v>
      </c>
      <c r="E95" t="s">
        <v>2118</v>
      </c>
      <c r="F95" t="s">
        <v>246</v>
      </c>
      <c r="G95" t="s">
        <v>247</v>
      </c>
      <c r="H95" t="s">
        <v>12</v>
      </c>
      <c r="I95" t="s">
        <v>2069</v>
      </c>
      <c r="J95" t="s">
        <v>1935</v>
      </c>
    </row>
    <row r="96" spans="1:10" x14ac:dyDescent="0.3">
      <c r="A96" s="60" t="str">
        <f t="shared" si="2"/>
        <v>Dec 2026</v>
      </c>
      <c r="B96">
        <v>3</v>
      </c>
      <c r="C96" s="3">
        <v>46374</v>
      </c>
      <c r="D96" t="s">
        <v>2087</v>
      </c>
      <c r="E96" t="s">
        <v>2064</v>
      </c>
      <c r="F96" t="s">
        <v>249</v>
      </c>
      <c r="G96" t="s">
        <v>2170</v>
      </c>
      <c r="H96" t="s">
        <v>5</v>
      </c>
      <c r="I96" t="s">
        <v>117</v>
      </c>
      <c r="J96" t="s">
        <v>2171</v>
      </c>
    </row>
    <row r="97" spans="1:10" x14ac:dyDescent="0.3">
      <c r="A97" s="60" t="str">
        <f t="shared" si="2"/>
        <v>Dec 2026</v>
      </c>
      <c r="B97">
        <v>3</v>
      </c>
      <c r="C97" s="3">
        <v>46376</v>
      </c>
      <c r="D97" t="s">
        <v>2063</v>
      </c>
      <c r="E97" t="s">
        <v>2068</v>
      </c>
      <c r="F97" t="s">
        <v>249</v>
      </c>
      <c r="G97" t="s">
        <v>250</v>
      </c>
      <c r="H97" t="s">
        <v>5</v>
      </c>
      <c r="I97" t="s">
        <v>2069</v>
      </c>
      <c r="J97" t="s">
        <v>2172</v>
      </c>
    </row>
    <row r="98" spans="1:10" x14ac:dyDescent="0.3">
      <c r="A98" s="60" t="str">
        <f t="shared" si="2"/>
        <v>Dec 2026</v>
      </c>
      <c r="B98">
        <v>3</v>
      </c>
      <c r="C98" s="3">
        <v>46377</v>
      </c>
      <c r="D98" t="s">
        <v>2084</v>
      </c>
      <c r="E98" t="s">
        <v>2064</v>
      </c>
      <c r="F98" t="s">
        <v>253</v>
      </c>
      <c r="G98" t="s">
        <v>2173</v>
      </c>
      <c r="H98" t="s">
        <v>7</v>
      </c>
      <c r="I98" t="s">
        <v>127</v>
      </c>
      <c r="J98" t="s">
        <v>2174</v>
      </c>
    </row>
    <row r="99" spans="1:10" x14ac:dyDescent="0.3">
      <c r="A99" s="60" t="str">
        <f t="shared" si="2"/>
        <v>Dec 2026</v>
      </c>
      <c r="B99">
        <v>4</v>
      </c>
      <c r="C99" s="3">
        <v>46378</v>
      </c>
      <c r="D99" t="s">
        <v>2067</v>
      </c>
      <c r="E99" t="s">
        <v>2064</v>
      </c>
      <c r="F99" t="s">
        <v>251</v>
      </c>
      <c r="G99" t="s">
        <v>2175</v>
      </c>
      <c r="H99" t="s">
        <v>6</v>
      </c>
      <c r="I99" t="s">
        <v>127</v>
      </c>
      <c r="J99" t="s">
        <v>2176</v>
      </c>
    </row>
    <row r="100" spans="1:10" x14ac:dyDescent="0.3">
      <c r="A100" s="60" t="str">
        <f t="shared" si="2"/>
        <v>Dec 2026</v>
      </c>
      <c r="B100">
        <v>4</v>
      </c>
      <c r="C100" s="3">
        <v>46379</v>
      </c>
      <c r="D100" t="s">
        <v>2092</v>
      </c>
      <c r="E100" t="s">
        <v>2068</v>
      </c>
      <c r="F100" t="s">
        <v>253</v>
      </c>
      <c r="G100" t="s">
        <v>254</v>
      </c>
      <c r="H100" t="s">
        <v>7</v>
      </c>
      <c r="I100" t="s">
        <v>2137</v>
      </c>
      <c r="J100" t="s">
        <v>2177</v>
      </c>
    </row>
    <row r="101" spans="1:10" x14ac:dyDescent="0.3">
      <c r="A101" s="60" t="str">
        <f t="shared" si="2"/>
        <v>Dec 2026</v>
      </c>
      <c r="B101">
        <v>4</v>
      </c>
      <c r="C101" s="3">
        <v>46380</v>
      </c>
      <c r="D101" t="s">
        <v>2073</v>
      </c>
      <c r="E101" t="s">
        <v>2178</v>
      </c>
      <c r="F101" t="s">
        <v>251</v>
      </c>
      <c r="G101" t="s">
        <v>252</v>
      </c>
      <c r="H101" t="s">
        <v>6</v>
      </c>
      <c r="I101" t="s">
        <v>2137</v>
      </c>
      <c r="J101" t="s">
        <v>1932</v>
      </c>
    </row>
    <row r="102" spans="1:10" x14ac:dyDescent="0.3">
      <c r="A102" s="60" t="str">
        <f t="shared" si="2"/>
        <v>Dec 2026</v>
      </c>
      <c r="B102">
        <v>5</v>
      </c>
      <c r="C102" s="3">
        <v>46387</v>
      </c>
      <c r="D102" t="s">
        <v>2073</v>
      </c>
      <c r="E102" t="s">
        <v>2162</v>
      </c>
      <c r="F102" t="s">
        <v>2163</v>
      </c>
      <c r="G102" t="s">
        <v>2179</v>
      </c>
      <c r="H102" t="s">
        <v>2165</v>
      </c>
      <c r="I102" t="s">
        <v>2166</v>
      </c>
      <c r="J102" t="s">
        <v>2167</v>
      </c>
    </row>
    <row r="103" spans="1:10" x14ac:dyDescent="0.3">
      <c r="A103" s="60" t="str">
        <f t="shared" si="2"/>
        <v>Jan 2027</v>
      </c>
      <c r="B103">
        <v>1</v>
      </c>
      <c r="C103" s="3">
        <v>46389</v>
      </c>
      <c r="D103" t="s">
        <v>2079</v>
      </c>
      <c r="E103" t="s">
        <v>2064</v>
      </c>
      <c r="F103" t="s">
        <v>255</v>
      </c>
      <c r="G103" t="s">
        <v>2180</v>
      </c>
      <c r="H103" t="s">
        <v>8</v>
      </c>
      <c r="I103" t="s">
        <v>127</v>
      </c>
      <c r="J103" t="s">
        <v>2181</v>
      </c>
    </row>
    <row r="104" spans="1:10" x14ac:dyDescent="0.3">
      <c r="A104" s="60" t="str">
        <f t="shared" si="2"/>
        <v>Jan 2027</v>
      </c>
      <c r="B104">
        <v>1</v>
      </c>
      <c r="C104" s="3">
        <v>46391</v>
      </c>
      <c r="D104" t="s">
        <v>2084</v>
      </c>
      <c r="E104" t="s">
        <v>2068</v>
      </c>
      <c r="F104" t="s">
        <v>255</v>
      </c>
      <c r="G104" t="s">
        <v>256</v>
      </c>
      <c r="H104" t="s">
        <v>8</v>
      </c>
      <c r="I104" t="s">
        <v>2080</v>
      </c>
      <c r="J104" t="s">
        <v>2182</v>
      </c>
    </row>
    <row r="105" spans="1:10" x14ac:dyDescent="0.3">
      <c r="A105" s="60" t="str">
        <f t="shared" si="2"/>
        <v>Jan 2027</v>
      </c>
      <c r="B105">
        <v>1</v>
      </c>
      <c r="C105" s="3">
        <v>46392</v>
      </c>
      <c r="D105" t="s">
        <v>2067</v>
      </c>
      <c r="E105" t="s">
        <v>2064</v>
      </c>
      <c r="F105" t="s">
        <v>258</v>
      </c>
      <c r="G105" t="s">
        <v>2183</v>
      </c>
      <c r="H105" t="s">
        <v>9</v>
      </c>
      <c r="I105" t="s">
        <v>163</v>
      </c>
      <c r="J105" t="s">
        <v>2184</v>
      </c>
    </row>
    <row r="106" spans="1:10" x14ac:dyDescent="0.3">
      <c r="A106" s="60" t="str">
        <f t="shared" si="2"/>
        <v>Jan 2027</v>
      </c>
      <c r="B106">
        <v>2</v>
      </c>
      <c r="C106" s="3">
        <v>46395</v>
      </c>
      <c r="D106" t="s">
        <v>2087</v>
      </c>
      <c r="E106" t="s">
        <v>2068</v>
      </c>
      <c r="F106" t="s">
        <v>258</v>
      </c>
      <c r="G106" t="s">
        <v>259</v>
      </c>
      <c r="H106" t="s">
        <v>9</v>
      </c>
      <c r="I106" t="s">
        <v>2106</v>
      </c>
      <c r="J106" t="s">
        <v>2081</v>
      </c>
    </row>
    <row r="107" spans="1:10" x14ac:dyDescent="0.3">
      <c r="A107" s="60" t="str">
        <f t="shared" si="2"/>
        <v>Jan 2027</v>
      </c>
      <c r="B107">
        <v>2</v>
      </c>
      <c r="C107" s="3">
        <v>46397</v>
      </c>
      <c r="D107" t="s">
        <v>2063</v>
      </c>
      <c r="E107" t="s">
        <v>2064</v>
      </c>
      <c r="F107" t="s">
        <v>260</v>
      </c>
      <c r="G107" t="s">
        <v>2185</v>
      </c>
      <c r="H107" t="s">
        <v>10</v>
      </c>
      <c r="I107" t="s">
        <v>117</v>
      </c>
      <c r="J107" t="s">
        <v>2186</v>
      </c>
    </row>
    <row r="108" spans="1:10" x14ac:dyDescent="0.3">
      <c r="A108" s="60" t="str">
        <f t="shared" si="2"/>
        <v>Jan 2027</v>
      </c>
      <c r="B108">
        <v>2</v>
      </c>
      <c r="C108" s="3">
        <v>46399</v>
      </c>
      <c r="D108" t="s">
        <v>2067</v>
      </c>
      <c r="E108" t="s">
        <v>2068</v>
      </c>
      <c r="F108" t="s">
        <v>260</v>
      </c>
      <c r="G108" t="s">
        <v>261</v>
      </c>
      <c r="H108" t="s">
        <v>10</v>
      </c>
      <c r="I108" t="s">
        <v>2069</v>
      </c>
      <c r="J108" t="s">
        <v>2076</v>
      </c>
    </row>
    <row r="109" spans="1:10" x14ac:dyDescent="0.3">
      <c r="A109" s="60" t="str">
        <f t="shared" si="2"/>
        <v>Jan 2027</v>
      </c>
      <c r="B109">
        <v>2</v>
      </c>
      <c r="C109" s="3">
        <v>46401</v>
      </c>
      <c r="D109" t="s">
        <v>2073</v>
      </c>
      <c r="E109" t="s">
        <v>2064</v>
      </c>
      <c r="F109" t="s">
        <v>263</v>
      </c>
      <c r="G109" t="s">
        <v>2187</v>
      </c>
      <c r="H109" t="s">
        <v>11</v>
      </c>
      <c r="I109" t="s">
        <v>127</v>
      </c>
      <c r="J109" t="s">
        <v>2188</v>
      </c>
    </row>
    <row r="110" spans="1:10" x14ac:dyDescent="0.3">
      <c r="A110" s="60" t="str">
        <f t="shared" si="2"/>
        <v>Jan 2027</v>
      </c>
      <c r="B110">
        <v>3</v>
      </c>
      <c r="C110" s="3">
        <v>46403</v>
      </c>
      <c r="D110" t="s">
        <v>2079</v>
      </c>
      <c r="E110" t="s">
        <v>2068</v>
      </c>
      <c r="F110" t="s">
        <v>263</v>
      </c>
      <c r="G110" t="s">
        <v>264</v>
      </c>
      <c r="H110" t="s">
        <v>11</v>
      </c>
      <c r="I110" t="s">
        <v>2137</v>
      </c>
      <c r="J110" t="s">
        <v>2086</v>
      </c>
    </row>
    <row r="111" spans="1:10" x14ac:dyDescent="0.3">
      <c r="A111" s="60" t="str">
        <f t="shared" ref="A111:A142" si="3">TEXT(C111,"mmm yyyy")</f>
        <v>Jan 2027</v>
      </c>
      <c r="B111">
        <v>3</v>
      </c>
      <c r="C111" s="3">
        <v>46405</v>
      </c>
      <c r="D111" t="s">
        <v>2084</v>
      </c>
      <c r="E111" t="s">
        <v>2064</v>
      </c>
      <c r="F111" t="s">
        <v>265</v>
      </c>
      <c r="G111" t="s">
        <v>2189</v>
      </c>
      <c r="H111" t="s">
        <v>12</v>
      </c>
      <c r="I111" t="s">
        <v>117</v>
      </c>
      <c r="J111" t="s">
        <v>2190</v>
      </c>
    </row>
    <row r="112" spans="1:10" x14ac:dyDescent="0.3">
      <c r="A112" s="60" t="str">
        <f t="shared" si="3"/>
        <v>Jan 2027</v>
      </c>
      <c r="B112">
        <v>3</v>
      </c>
      <c r="C112" s="3">
        <v>46407</v>
      </c>
      <c r="D112" t="s">
        <v>2092</v>
      </c>
      <c r="E112" t="s">
        <v>2068</v>
      </c>
      <c r="F112" t="s">
        <v>265</v>
      </c>
      <c r="G112" t="s">
        <v>266</v>
      </c>
      <c r="H112" t="s">
        <v>12</v>
      </c>
      <c r="I112" t="s">
        <v>2069</v>
      </c>
      <c r="J112" t="s">
        <v>2076</v>
      </c>
    </row>
    <row r="113" spans="1:10" x14ac:dyDescent="0.3">
      <c r="A113" s="60" t="str">
        <f t="shared" si="3"/>
        <v>Jan 2027</v>
      </c>
      <c r="B113">
        <v>4</v>
      </c>
      <c r="C113" s="3">
        <v>46409</v>
      </c>
      <c r="D113" t="s">
        <v>2087</v>
      </c>
      <c r="E113" t="s">
        <v>2064</v>
      </c>
      <c r="F113" t="s">
        <v>268</v>
      </c>
      <c r="G113" t="s">
        <v>2191</v>
      </c>
      <c r="H113" t="s">
        <v>5</v>
      </c>
      <c r="I113" t="s">
        <v>117</v>
      </c>
      <c r="J113" t="s">
        <v>2192</v>
      </c>
    </row>
    <row r="114" spans="1:10" x14ac:dyDescent="0.3">
      <c r="A114" s="60" t="str">
        <f t="shared" si="3"/>
        <v>Jan 2027</v>
      </c>
      <c r="B114">
        <v>4</v>
      </c>
      <c r="C114" s="3">
        <v>46411</v>
      </c>
      <c r="D114" t="s">
        <v>2063</v>
      </c>
      <c r="E114" t="s">
        <v>2118</v>
      </c>
      <c r="F114" t="s">
        <v>268</v>
      </c>
      <c r="G114" t="s">
        <v>269</v>
      </c>
      <c r="H114" t="s">
        <v>5</v>
      </c>
      <c r="I114" t="s">
        <v>2069</v>
      </c>
      <c r="J114" t="s">
        <v>1936</v>
      </c>
    </row>
    <row r="115" spans="1:10" x14ac:dyDescent="0.3">
      <c r="A115" s="60" t="str">
        <f t="shared" si="3"/>
        <v>Jan 2027</v>
      </c>
      <c r="B115">
        <v>5</v>
      </c>
      <c r="C115" s="3">
        <v>46416</v>
      </c>
      <c r="D115" t="s">
        <v>2087</v>
      </c>
      <c r="E115" t="s">
        <v>2064</v>
      </c>
      <c r="F115" t="s">
        <v>271</v>
      </c>
      <c r="G115" t="s">
        <v>2193</v>
      </c>
      <c r="H115" t="s">
        <v>6</v>
      </c>
      <c r="I115" t="s">
        <v>117</v>
      </c>
      <c r="J115" t="s">
        <v>2194</v>
      </c>
    </row>
    <row r="116" spans="1:10" x14ac:dyDescent="0.3">
      <c r="A116" s="60" t="str">
        <f t="shared" si="3"/>
        <v>Jan 2027</v>
      </c>
      <c r="B116">
        <v>5</v>
      </c>
      <c r="C116" s="3">
        <v>46418</v>
      </c>
      <c r="D116" t="s">
        <v>2063</v>
      </c>
      <c r="E116" t="s">
        <v>2068</v>
      </c>
      <c r="F116" t="s">
        <v>271</v>
      </c>
      <c r="G116" t="s">
        <v>272</v>
      </c>
      <c r="H116" t="s">
        <v>6</v>
      </c>
      <c r="I116" t="s">
        <v>2069</v>
      </c>
      <c r="J116" t="s">
        <v>2076</v>
      </c>
    </row>
    <row r="117" spans="1:10" x14ac:dyDescent="0.3">
      <c r="A117" s="60" t="str">
        <f t="shared" si="3"/>
        <v>Feb 2027</v>
      </c>
      <c r="B117">
        <v>1</v>
      </c>
      <c r="C117" s="3">
        <v>46420</v>
      </c>
      <c r="D117" t="s">
        <v>2067</v>
      </c>
      <c r="E117" t="s">
        <v>2064</v>
      </c>
      <c r="F117" t="s">
        <v>273</v>
      </c>
      <c r="G117" t="s">
        <v>2195</v>
      </c>
      <c r="H117" t="s">
        <v>7</v>
      </c>
      <c r="I117" t="s">
        <v>127</v>
      </c>
      <c r="J117" t="s">
        <v>2196</v>
      </c>
    </row>
    <row r="118" spans="1:10" x14ac:dyDescent="0.3">
      <c r="A118" s="60" t="str">
        <f t="shared" si="3"/>
        <v>Feb 2027</v>
      </c>
      <c r="B118">
        <v>1</v>
      </c>
      <c r="C118" s="3">
        <v>46422</v>
      </c>
      <c r="D118" t="s">
        <v>2073</v>
      </c>
      <c r="E118" t="s">
        <v>2068</v>
      </c>
      <c r="F118" t="s">
        <v>273</v>
      </c>
      <c r="G118" t="s">
        <v>274</v>
      </c>
      <c r="H118" t="s">
        <v>7</v>
      </c>
      <c r="I118" t="s">
        <v>2137</v>
      </c>
      <c r="J118" t="s">
        <v>2086</v>
      </c>
    </row>
    <row r="119" spans="1:10" x14ac:dyDescent="0.3">
      <c r="A119" s="60" t="str">
        <f t="shared" si="3"/>
        <v>Feb 2027</v>
      </c>
      <c r="B119">
        <v>1</v>
      </c>
      <c r="C119" s="3">
        <v>46424</v>
      </c>
      <c r="D119" t="s">
        <v>2079</v>
      </c>
      <c r="E119" t="s">
        <v>2064</v>
      </c>
      <c r="F119" t="s">
        <v>276</v>
      </c>
      <c r="G119" t="s">
        <v>2197</v>
      </c>
      <c r="H119" t="s">
        <v>8</v>
      </c>
      <c r="I119" t="s">
        <v>117</v>
      </c>
      <c r="J119" t="s">
        <v>2198</v>
      </c>
    </row>
    <row r="120" spans="1:10" x14ac:dyDescent="0.3">
      <c r="A120" s="60" t="str">
        <f t="shared" si="3"/>
        <v>Feb 2027</v>
      </c>
      <c r="B120">
        <v>2</v>
      </c>
      <c r="C120" s="3">
        <v>46426</v>
      </c>
      <c r="D120" t="s">
        <v>2084</v>
      </c>
      <c r="E120" t="s">
        <v>2068</v>
      </c>
      <c r="F120" t="s">
        <v>276</v>
      </c>
      <c r="G120" t="s">
        <v>277</v>
      </c>
      <c r="H120" t="s">
        <v>8</v>
      </c>
      <c r="I120" t="s">
        <v>2069</v>
      </c>
      <c r="J120" t="s">
        <v>2076</v>
      </c>
    </row>
    <row r="121" spans="1:10" x14ac:dyDescent="0.3">
      <c r="A121" s="60" t="str">
        <f t="shared" si="3"/>
        <v>Feb 2027</v>
      </c>
      <c r="B121">
        <v>2</v>
      </c>
      <c r="C121" s="3">
        <v>46427</v>
      </c>
      <c r="D121" t="s">
        <v>2067</v>
      </c>
      <c r="E121" t="s">
        <v>2064</v>
      </c>
      <c r="F121" t="s">
        <v>278</v>
      </c>
      <c r="G121" t="s">
        <v>2199</v>
      </c>
      <c r="H121" t="s">
        <v>9</v>
      </c>
      <c r="I121" t="s">
        <v>163</v>
      </c>
      <c r="J121" t="s">
        <v>2200</v>
      </c>
    </row>
    <row r="122" spans="1:10" x14ac:dyDescent="0.3">
      <c r="A122" s="60" t="str">
        <f t="shared" si="3"/>
        <v>Feb 2027</v>
      </c>
      <c r="B122">
        <v>2</v>
      </c>
      <c r="C122" s="3">
        <v>46430</v>
      </c>
      <c r="D122" t="s">
        <v>2087</v>
      </c>
      <c r="E122" t="s">
        <v>2068</v>
      </c>
      <c r="F122" t="s">
        <v>278</v>
      </c>
      <c r="G122" t="s">
        <v>279</v>
      </c>
      <c r="H122" t="s">
        <v>9</v>
      </c>
      <c r="I122" t="s">
        <v>2106</v>
      </c>
      <c r="J122" t="s">
        <v>2081</v>
      </c>
    </row>
    <row r="123" spans="1:10" x14ac:dyDescent="0.3">
      <c r="A123" s="60" t="str">
        <f t="shared" si="3"/>
        <v>Feb 2027</v>
      </c>
      <c r="B123">
        <v>2</v>
      </c>
      <c r="C123" s="3">
        <v>46431</v>
      </c>
      <c r="D123" t="s">
        <v>2079</v>
      </c>
      <c r="E123" t="s">
        <v>2064</v>
      </c>
      <c r="F123" t="s">
        <v>280</v>
      </c>
      <c r="G123" t="s">
        <v>2201</v>
      </c>
      <c r="H123" t="s">
        <v>10</v>
      </c>
      <c r="I123" t="s">
        <v>163</v>
      </c>
      <c r="J123" t="s">
        <v>2202</v>
      </c>
    </row>
    <row r="124" spans="1:10" x14ac:dyDescent="0.3">
      <c r="A124" s="60" t="str">
        <f t="shared" si="3"/>
        <v>Feb 2027</v>
      </c>
      <c r="B124">
        <v>3</v>
      </c>
      <c r="C124" s="3">
        <v>46434</v>
      </c>
      <c r="D124" t="s">
        <v>2067</v>
      </c>
      <c r="E124" t="s">
        <v>2068</v>
      </c>
      <c r="F124" t="s">
        <v>280</v>
      </c>
      <c r="G124" t="s">
        <v>281</v>
      </c>
      <c r="H124" t="s">
        <v>10</v>
      </c>
      <c r="I124" t="s">
        <v>2106</v>
      </c>
      <c r="J124" t="s">
        <v>2081</v>
      </c>
    </row>
    <row r="125" spans="1:10" x14ac:dyDescent="0.3">
      <c r="A125" s="60" t="str">
        <f t="shared" si="3"/>
        <v>Feb 2027</v>
      </c>
      <c r="B125">
        <v>3</v>
      </c>
      <c r="C125" s="3">
        <v>46435</v>
      </c>
      <c r="D125" t="s">
        <v>2092</v>
      </c>
      <c r="E125" t="s">
        <v>2064</v>
      </c>
      <c r="F125" t="s">
        <v>282</v>
      </c>
      <c r="G125" t="s">
        <v>2203</v>
      </c>
      <c r="H125" t="s">
        <v>11</v>
      </c>
      <c r="I125" t="s">
        <v>163</v>
      </c>
      <c r="J125" t="s">
        <v>2204</v>
      </c>
    </row>
    <row r="126" spans="1:10" x14ac:dyDescent="0.3">
      <c r="A126" s="60" t="str">
        <f t="shared" si="3"/>
        <v>Feb 2027</v>
      </c>
      <c r="B126">
        <v>3</v>
      </c>
      <c r="C126" s="3">
        <v>46438</v>
      </c>
      <c r="D126" t="s">
        <v>2079</v>
      </c>
      <c r="E126" t="s">
        <v>2118</v>
      </c>
      <c r="F126" t="s">
        <v>282</v>
      </c>
      <c r="G126" t="s">
        <v>283</v>
      </c>
      <c r="H126" t="s">
        <v>11</v>
      </c>
      <c r="I126" t="s">
        <v>2106</v>
      </c>
      <c r="J126" t="s">
        <v>1937</v>
      </c>
    </row>
    <row r="127" spans="1:10" x14ac:dyDescent="0.3">
      <c r="A127" s="60" t="str">
        <f t="shared" si="3"/>
        <v>Feb 2027</v>
      </c>
      <c r="B127">
        <v>4</v>
      </c>
      <c r="C127" s="3">
        <v>46440</v>
      </c>
      <c r="D127" t="s">
        <v>2084</v>
      </c>
      <c r="E127" t="s">
        <v>2064</v>
      </c>
      <c r="F127" t="s">
        <v>284</v>
      </c>
      <c r="G127" t="s">
        <v>2205</v>
      </c>
      <c r="H127" t="s">
        <v>12</v>
      </c>
      <c r="I127" t="s">
        <v>127</v>
      </c>
      <c r="J127" t="s">
        <v>2206</v>
      </c>
    </row>
    <row r="128" spans="1:10" x14ac:dyDescent="0.3">
      <c r="A128" s="60" t="str">
        <f t="shared" si="3"/>
        <v>Feb 2027</v>
      </c>
      <c r="B128">
        <v>4</v>
      </c>
      <c r="C128" s="3">
        <v>46442</v>
      </c>
      <c r="D128" t="s">
        <v>2092</v>
      </c>
      <c r="E128" t="s">
        <v>2068</v>
      </c>
      <c r="F128" t="s">
        <v>284</v>
      </c>
      <c r="G128" t="s">
        <v>285</v>
      </c>
      <c r="H128" t="s">
        <v>12</v>
      </c>
      <c r="I128" t="s">
        <v>2137</v>
      </c>
      <c r="J128" t="s">
        <v>2086</v>
      </c>
    </row>
    <row r="129" spans="1:10" x14ac:dyDescent="0.3">
      <c r="A129" s="60" t="str">
        <f t="shared" si="3"/>
        <v>Feb 2027</v>
      </c>
      <c r="B129">
        <v>4</v>
      </c>
      <c r="C129" s="3">
        <v>46443</v>
      </c>
      <c r="D129" t="s">
        <v>2073</v>
      </c>
      <c r="E129" t="s">
        <v>2064</v>
      </c>
      <c r="F129" t="s">
        <v>288</v>
      </c>
      <c r="G129" t="s">
        <v>2207</v>
      </c>
      <c r="H129" t="s">
        <v>6</v>
      </c>
      <c r="I129" t="s">
        <v>127</v>
      </c>
      <c r="J129" t="s">
        <v>2208</v>
      </c>
    </row>
    <row r="130" spans="1:10" x14ac:dyDescent="0.3">
      <c r="A130" s="60" t="str">
        <f t="shared" si="3"/>
        <v>Feb 2027</v>
      </c>
      <c r="B130">
        <v>4</v>
      </c>
      <c r="C130" s="3">
        <v>46444</v>
      </c>
      <c r="D130" t="s">
        <v>2087</v>
      </c>
      <c r="E130" t="s">
        <v>2064</v>
      </c>
      <c r="F130" t="s">
        <v>286</v>
      </c>
      <c r="G130" t="s">
        <v>2209</v>
      </c>
      <c r="H130" t="s">
        <v>5</v>
      </c>
      <c r="I130" t="s">
        <v>127</v>
      </c>
      <c r="J130" t="s">
        <v>2210</v>
      </c>
    </row>
    <row r="131" spans="1:10" x14ac:dyDescent="0.3">
      <c r="A131" s="60" t="str">
        <f t="shared" si="3"/>
        <v>Feb 2027</v>
      </c>
      <c r="B131">
        <v>4</v>
      </c>
      <c r="C131" s="3">
        <v>46445</v>
      </c>
      <c r="D131" t="s">
        <v>2079</v>
      </c>
      <c r="E131" t="s">
        <v>2068</v>
      </c>
      <c r="F131" t="s">
        <v>288</v>
      </c>
      <c r="G131" t="s">
        <v>289</v>
      </c>
      <c r="H131" t="s">
        <v>6</v>
      </c>
      <c r="I131" t="s">
        <v>2115</v>
      </c>
      <c r="J131" t="s">
        <v>2076</v>
      </c>
    </row>
    <row r="132" spans="1:10" x14ac:dyDescent="0.3">
      <c r="A132" s="60" t="str">
        <f t="shared" si="3"/>
        <v>Feb 2027</v>
      </c>
      <c r="B132">
        <v>4</v>
      </c>
      <c r="C132" s="3">
        <v>46446</v>
      </c>
      <c r="D132" t="s">
        <v>2063</v>
      </c>
      <c r="E132" t="s">
        <v>2068</v>
      </c>
      <c r="F132" t="s">
        <v>286</v>
      </c>
      <c r="G132" t="s">
        <v>287</v>
      </c>
      <c r="H132" t="s">
        <v>5</v>
      </c>
      <c r="I132" t="s">
        <v>2137</v>
      </c>
      <c r="J132" t="s">
        <v>2086</v>
      </c>
    </row>
    <row r="133" spans="1:10" x14ac:dyDescent="0.3">
      <c r="A133" s="60" t="str">
        <f t="shared" si="3"/>
        <v>Mar 2027</v>
      </c>
      <c r="B133">
        <v>1</v>
      </c>
      <c r="C133" s="3">
        <v>46452</v>
      </c>
      <c r="D133" t="s">
        <v>2079</v>
      </c>
      <c r="E133" t="s">
        <v>2064</v>
      </c>
      <c r="F133" t="s">
        <v>290</v>
      </c>
      <c r="G133" t="s">
        <v>2211</v>
      </c>
      <c r="H133" t="s">
        <v>7</v>
      </c>
      <c r="I133" t="s">
        <v>127</v>
      </c>
      <c r="J133" t="s">
        <v>2212</v>
      </c>
    </row>
    <row r="134" spans="1:10" x14ac:dyDescent="0.3">
      <c r="A134" s="60" t="str">
        <f t="shared" si="3"/>
        <v>Mar 2027</v>
      </c>
      <c r="B134">
        <v>2</v>
      </c>
      <c r="C134" s="3">
        <v>46454</v>
      </c>
      <c r="D134" t="s">
        <v>2084</v>
      </c>
      <c r="E134" t="s">
        <v>2068</v>
      </c>
      <c r="F134" t="s">
        <v>290</v>
      </c>
      <c r="G134" t="s">
        <v>291</v>
      </c>
      <c r="H134" t="s">
        <v>7</v>
      </c>
      <c r="I134" t="s">
        <v>2137</v>
      </c>
      <c r="J134" t="s">
        <v>2086</v>
      </c>
    </row>
    <row r="135" spans="1:10" x14ac:dyDescent="0.3">
      <c r="A135" s="60" t="str">
        <f t="shared" si="3"/>
        <v>Mar 2027</v>
      </c>
      <c r="B135">
        <v>2</v>
      </c>
      <c r="C135" s="3">
        <v>46456</v>
      </c>
      <c r="D135" t="s">
        <v>2092</v>
      </c>
      <c r="E135" t="s">
        <v>2064</v>
      </c>
      <c r="F135" t="s">
        <v>292</v>
      </c>
      <c r="G135" t="s">
        <v>2213</v>
      </c>
      <c r="H135" t="s">
        <v>8</v>
      </c>
      <c r="I135" t="s">
        <v>117</v>
      </c>
      <c r="J135" t="s">
        <v>2214</v>
      </c>
    </row>
    <row r="136" spans="1:10" x14ac:dyDescent="0.3">
      <c r="A136" s="60" t="str">
        <f t="shared" si="3"/>
        <v>Mar 2027</v>
      </c>
      <c r="B136">
        <v>2</v>
      </c>
      <c r="C136" s="3">
        <v>46458</v>
      </c>
      <c r="D136" t="s">
        <v>2087</v>
      </c>
      <c r="E136" t="s">
        <v>2068</v>
      </c>
      <c r="F136" t="s">
        <v>292</v>
      </c>
      <c r="G136" t="s">
        <v>293</v>
      </c>
      <c r="H136" t="s">
        <v>8</v>
      </c>
      <c r="I136" t="s">
        <v>2069</v>
      </c>
      <c r="J136" t="s">
        <v>2076</v>
      </c>
    </row>
    <row r="137" spans="1:10" x14ac:dyDescent="0.3">
      <c r="A137" s="60" t="str">
        <f t="shared" si="3"/>
        <v>Mar 2027</v>
      </c>
      <c r="B137">
        <v>2</v>
      </c>
      <c r="C137" s="3">
        <v>46460</v>
      </c>
      <c r="D137" t="s">
        <v>2063</v>
      </c>
      <c r="E137" t="s">
        <v>2064</v>
      </c>
      <c r="F137" t="s">
        <v>296</v>
      </c>
      <c r="G137" t="s">
        <v>2215</v>
      </c>
      <c r="H137" t="s">
        <v>9</v>
      </c>
      <c r="I137" t="s">
        <v>127</v>
      </c>
      <c r="J137" t="s">
        <v>2216</v>
      </c>
    </row>
    <row r="138" spans="1:10" x14ac:dyDescent="0.3">
      <c r="A138" s="60" t="str">
        <f t="shared" si="3"/>
        <v>Mar 2027</v>
      </c>
      <c r="B138">
        <v>3</v>
      </c>
      <c r="C138" s="3">
        <v>46462</v>
      </c>
      <c r="D138" t="s">
        <v>2067</v>
      </c>
      <c r="E138" t="s">
        <v>2068</v>
      </c>
      <c r="F138" t="s">
        <v>296</v>
      </c>
      <c r="G138" t="s">
        <v>297</v>
      </c>
      <c r="H138" t="s">
        <v>9</v>
      </c>
      <c r="I138" t="s">
        <v>2115</v>
      </c>
      <c r="J138" t="s">
        <v>2076</v>
      </c>
    </row>
    <row r="139" spans="1:10" x14ac:dyDescent="0.3">
      <c r="A139" s="60" t="str">
        <f t="shared" si="3"/>
        <v>Mar 2027</v>
      </c>
      <c r="B139">
        <v>3</v>
      </c>
      <c r="C139" s="3">
        <v>46464</v>
      </c>
      <c r="D139" t="s">
        <v>2073</v>
      </c>
      <c r="E139" t="s">
        <v>2064</v>
      </c>
      <c r="F139" t="s">
        <v>299</v>
      </c>
      <c r="G139" t="s">
        <v>2217</v>
      </c>
      <c r="H139" t="s">
        <v>10</v>
      </c>
      <c r="I139" t="s">
        <v>117</v>
      </c>
      <c r="J139" t="s">
        <v>2218</v>
      </c>
    </row>
    <row r="140" spans="1:10" x14ac:dyDescent="0.3">
      <c r="A140" s="60" t="str">
        <f t="shared" si="3"/>
        <v>Mar 2027</v>
      </c>
      <c r="B140">
        <v>3</v>
      </c>
      <c r="C140" s="3">
        <v>46466</v>
      </c>
      <c r="D140" t="s">
        <v>2079</v>
      </c>
      <c r="E140" t="s">
        <v>2068</v>
      </c>
      <c r="F140" t="s">
        <v>299</v>
      </c>
      <c r="G140" t="s">
        <v>300</v>
      </c>
      <c r="H140" t="s">
        <v>10</v>
      </c>
      <c r="I140" t="s">
        <v>2085</v>
      </c>
      <c r="J140" t="s">
        <v>2086</v>
      </c>
    </row>
    <row r="141" spans="1:10" x14ac:dyDescent="0.3">
      <c r="A141" s="60" t="str">
        <f t="shared" si="3"/>
        <v>Mar 2027</v>
      </c>
      <c r="B141">
        <v>4</v>
      </c>
      <c r="C141" s="3">
        <v>46468</v>
      </c>
      <c r="D141" t="s">
        <v>2084</v>
      </c>
      <c r="E141" t="s">
        <v>2064</v>
      </c>
      <c r="F141" t="s">
        <v>301</v>
      </c>
      <c r="G141" t="s">
        <v>2219</v>
      </c>
      <c r="H141" t="s">
        <v>11</v>
      </c>
      <c r="I141" t="s">
        <v>127</v>
      </c>
      <c r="J141" t="s">
        <v>2220</v>
      </c>
    </row>
    <row r="142" spans="1:10" x14ac:dyDescent="0.3">
      <c r="A142" s="60" t="str">
        <f t="shared" si="3"/>
        <v>Mar 2027</v>
      </c>
      <c r="B142">
        <v>4</v>
      </c>
      <c r="C142" s="3">
        <v>46470</v>
      </c>
      <c r="D142" t="s">
        <v>2092</v>
      </c>
      <c r="E142" t="s">
        <v>2068</v>
      </c>
      <c r="F142" t="s">
        <v>301</v>
      </c>
      <c r="G142" t="s">
        <v>302</v>
      </c>
      <c r="H142" t="s">
        <v>11</v>
      </c>
      <c r="I142" t="s">
        <v>2115</v>
      </c>
      <c r="J142" t="s">
        <v>2076</v>
      </c>
    </row>
    <row r="143" spans="1:10" x14ac:dyDescent="0.3">
      <c r="A143" s="60" t="str">
        <f t="shared" ref="A143:A174" si="4">TEXT(C143,"mmm yyyy")</f>
        <v>Mar 2027</v>
      </c>
      <c r="B143">
        <v>4</v>
      </c>
      <c r="C143" s="3">
        <v>46472</v>
      </c>
      <c r="D143" t="s">
        <v>2087</v>
      </c>
      <c r="E143" t="s">
        <v>2162</v>
      </c>
      <c r="F143" t="s">
        <v>2163</v>
      </c>
      <c r="G143" t="s">
        <v>2221</v>
      </c>
      <c r="H143" t="s">
        <v>2165</v>
      </c>
      <c r="I143" t="s">
        <v>2166</v>
      </c>
      <c r="J143" t="s">
        <v>2167</v>
      </c>
    </row>
    <row r="144" spans="1:10" x14ac:dyDescent="0.3">
      <c r="A144" s="60" t="str">
        <f t="shared" si="4"/>
        <v>Mar 2027</v>
      </c>
      <c r="B144">
        <v>4</v>
      </c>
      <c r="C144" s="3">
        <v>46474</v>
      </c>
      <c r="D144" t="s">
        <v>2063</v>
      </c>
      <c r="E144" t="s">
        <v>2162</v>
      </c>
      <c r="F144" t="s">
        <v>2163</v>
      </c>
      <c r="G144" t="s">
        <v>2222</v>
      </c>
      <c r="H144" t="s">
        <v>2165</v>
      </c>
      <c r="I144" t="s">
        <v>2166</v>
      </c>
      <c r="J144" t="s">
        <v>2167</v>
      </c>
    </row>
    <row r="145" spans="1:10" x14ac:dyDescent="0.3">
      <c r="A145" s="60" t="str">
        <f t="shared" si="4"/>
        <v>Mar 2027</v>
      </c>
      <c r="B145">
        <v>5</v>
      </c>
      <c r="C145" s="3">
        <v>46475</v>
      </c>
      <c r="D145" t="s">
        <v>2084</v>
      </c>
      <c r="E145" t="s">
        <v>2064</v>
      </c>
      <c r="F145" t="s">
        <v>304</v>
      </c>
      <c r="G145" t="s">
        <v>2173</v>
      </c>
      <c r="H145" t="s">
        <v>12</v>
      </c>
      <c r="I145" t="s">
        <v>127</v>
      </c>
      <c r="J145" t="s">
        <v>2223</v>
      </c>
    </row>
    <row r="146" spans="1:10" x14ac:dyDescent="0.3">
      <c r="A146" s="60" t="str">
        <f t="shared" si="4"/>
        <v>Mar 2027</v>
      </c>
      <c r="B146">
        <v>5</v>
      </c>
      <c r="C146" s="3">
        <v>46477</v>
      </c>
      <c r="D146" t="s">
        <v>2092</v>
      </c>
      <c r="E146" t="s">
        <v>2118</v>
      </c>
      <c r="F146" t="s">
        <v>304</v>
      </c>
      <c r="G146" t="s">
        <v>305</v>
      </c>
      <c r="H146" t="s">
        <v>12</v>
      </c>
      <c r="I146" t="s">
        <v>2115</v>
      </c>
      <c r="J146" t="s">
        <v>1935</v>
      </c>
    </row>
    <row r="147" spans="1:10" x14ac:dyDescent="0.3">
      <c r="A147" s="60" t="str">
        <f t="shared" si="4"/>
        <v>Apr 2027</v>
      </c>
      <c r="B147">
        <v>1</v>
      </c>
      <c r="C147" s="3">
        <v>46478</v>
      </c>
      <c r="D147" t="s">
        <v>2073</v>
      </c>
      <c r="E147" t="s">
        <v>2064</v>
      </c>
      <c r="F147" t="s">
        <v>306</v>
      </c>
      <c r="G147" t="s">
        <v>2224</v>
      </c>
      <c r="H147" t="s">
        <v>5</v>
      </c>
      <c r="I147" t="s">
        <v>163</v>
      </c>
      <c r="J147" t="s">
        <v>2225</v>
      </c>
    </row>
    <row r="148" spans="1:10" x14ac:dyDescent="0.3">
      <c r="A148" s="60" t="str">
        <f t="shared" si="4"/>
        <v>Apr 2027</v>
      </c>
      <c r="B148">
        <v>1</v>
      </c>
      <c r="C148" s="3">
        <v>46481</v>
      </c>
      <c r="D148" t="s">
        <v>2063</v>
      </c>
      <c r="E148" t="s">
        <v>2068</v>
      </c>
      <c r="F148" t="s">
        <v>306</v>
      </c>
      <c r="G148" t="s">
        <v>307</v>
      </c>
      <c r="H148" t="s">
        <v>5</v>
      </c>
      <c r="I148" t="s">
        <v>2106</v>
      </c>
      <c r="J148" t="s">
        <v>2081</v>
      </c>
    </row>
    <row r="149" spans="1:10" x14ac:dyDescent="0.3">
      <c r="A149" s="60" t="str">
        <f t="shared" si="4"/>
        <v>Apr 2027</v>
      </c>
      <c r="B149">
        <v>1</v>
      </c>
      <c r="C149" s="3">
        <v>46483</v>
      </c>
      <c r="D149" t="s">
        <v>2067</v>
      </c>
      <c r="E149" t="s">
        <v>2064</v>
      </c>
      <c r="F149" t="s">
        <v>308</v>
      </c>
      <c r="G149" t="s">
        <v>2226</v>
      </c>
      <c r="H149" t="s">
        <v>6</v>
      </c>
      <c r="I149" t="s">
        <v>127</v>
      </c>
      <c r="J149" t="s">
        <v>2227</v>
      </c>
    </row>
    <row r="150" spans="1:10" x14ac:dyDescent="0.3">
      <c r="A150" s="60" t="str">
        <f t="shared" si="4"/>
        <v>Apr 2027</v>
      </c>
      <c r="B150">
        <v>2</v>
      </c>
      <c r="C150" s="3">
        <v>46485</v>
      </c>
      <c r="D150" t="s">
        <v>2073</v>
      </c>
      <c r="E150" t="s">
        <v>2068</v>
      </c>
      <c r="F150" t="s">
        <v>308</v>
      </c>
      <c r="G150" t="s">
        <v>309</v>
      </c>
      <c r="H150" t="s">
        <v>6</v>
      </c>
      <c r="I150" t="s">
        <v>2137</v>
      </c>
      <c r="J150" t="s">
        <v>2086</v>
      </c>
    </row>
    <row r="151" spans="1:10" x14ac:dyDescent="0.3">
      <c r="A151" s="60" t="str">
        <f t="shared" si="4"/>
        <v>Apr 2027</v>
      </c>
      <c r="B151">
        <v>2</v>
      </c>
      <c r="C151" s="3">
        <v>46486</v>
      </c>
      <c r="D151" t="s">
        <v>2087</v>
      </c>
      <c r="E151" t="s">
        <v>2064</v>
      </c>
      <c r="F151" t="s">
        <v>311</v>
      </c>
      <c r="G151" t="s">
        <v>2228</v>
      </c>
      <c r="H151" t="s">
        <v>7</v>
      </c>
      <c r="I151" t="s">
        <v>163</v>
      </c>
      <c r="J151" t="s">
        <v>2229</v>
      </c>
    </row>
    <row r="152" spans="1:10" x14ac:dyDescent="0.3">
      <c r="A152" s="60" t="str">
        <f t="shared" si="4"/>
        <v>Apr 2027</v>
      </c>
      <c r="B152">
        <v>2</v>
      </c>
      <c r="C152" s="3">
        <v>46486</v>
      </c>
      <c r="D152" t="s">
        <v>2087</v>
      </c>
      <c r="E152" t="s">
        <v>2064</v>
      </c>
      <c r="F152" t="s">
        <v>313</v>
      </c>
      <c r="G152" t="s">
        <v>2230</v>
      </c>
      <c r="H152" t="s">
        <v>8</v>
      </c>
      <c r="I152" t="s">
        <v>117</v>
      </c>
      <c r="J152" t="s">
        <v>2231</v>
      </c>
    </row>
    <row r="153" spans="1:10" x14ac:dyDescent="0.3">
      <c r="A153" s="60" t="str">
        <f t="shared" si="4"/>
        <v>Apr 2027</v>
      </c>
      <c r="B153">
        <v>2</v>
      </c>
      <c r="C153" s="3">
        <v>46488</v>
      </c>
      <c r="D153" t="s">
        <v>2063</v>
      </c>
      <c r="E153" t="s">
        <v>2068</v>
      </c>
      <c r="F153" t="s">
        <v>313</v>
      </c>
      <c r="G153" t="s">
        <v>314</v>
      </c>
      <c r="H153" t="s">
        <v>8</v>
      </c>
      <c r="I153" t="s">
        <v>2069</v>
      </c>
      <c r="J153" t="s">
        <v>2076</v>
      </c>
    </row>
    <row r="154" spans="1:10" x14ac:dyDescent="0.3">
      <c r="A154" s="60" t="str">
        <f t="shared" si="4"/>
        <v>Apr 2027</v>
      </c>
      <c r="B154">
        <v>2</v>
      </c>
      <c r="C154" s="3">
        <v>46489</v>
      </c>
      <c r="D154" t="s">
        <v>2084</v>
      </c>
      <c r="E154" t="s">
        <v>2068</v>
      </c>
      <c r="F154" t="s">
        <v>311</v>
      </c>
      <c r="G154" t="s">
        <v>312</v>
      </c>
      <c r="H154" t="s">
        <v>7</v>
      </c>
      <c r="I154" t="s">
        <v>2106</v>
      </c>
      <c r="J154" t="s">
        <v>2081</v>
      </c>
    </row>
    <row r="155" spans="1:10" x14ac:dyDescent="0.3">
      <c r="A155" s="60" t="str">
        <f t="shared" si="4"/>
        <v>Apr 2027</v>
      </c>
      <c r="B155">
        <v>3</v>
      </c>
      <c r="C155" s="3">
        <v>46495</v>
      </c>
      <c r="D155" t="s">
        <v>2063</v>
      </c>
      <c r="E155" t="s">
        <v>2064</v>
      </c>
      <c r="F155" t="s">
        <v>315</v>
      </c>
      <c r="G155" t="s">
        <v>2232</v>
      </c>
      <c r="H155" t="s">
        <v>9</v>
      </c>
      <c r="I155" t="s">
        <v>117</v>
      </c>
      <c r="J155" t="s">
        <v>2233</v>
      </c>
    </row>
    <row r="156" spans="1:10" x14ac:dyDescent="0.3">
      <c r="A156" s="60" t="str">
        <f t="shared" si="4"/>
        <v>Apr 2027</v>
      </c>
      <c r="B156">
        <v>3</v>
      </c>
      <c r="C156" s="3">
        <v>46497</v>
      </c>
      <c r="D156" t="s">
        <v>2067</v>
      </c>
      <c r="E156" t="s">
        <v>2068</v>
      </c>
      <c r="F156" t="s">
        <v>315</v>
      </c>
      <c r="G156" t="s">
        <v>316</v>
      </c>
      <c r="H156" t="s">
        <v>9</v>
      </c>
      <c r="I156" t="s">
        <v>2085</v>
      </c>
      <c r="J156" t="s">
        <v>2086</v>
      </c>
    </row>
    <row r="157" spans="1:10" x14ac:dyDescent="0.3">
      <c r="A157" s="60" t="str">
        <f t="shared" si="4"/>
        <v>Apr 2027</v>
      </c>
      <c r="B157">
        <v>4</v>
      </c>
      <c r="C157" s="3">
        <v>46499</v>
      </c>
      <c r="D157" t="s">
        <v>2073</v>
      </c>
      <c r="E157" t="s">
        <v>2064</v>
      </c>
      <c r="F157" t="s">
        <v>317</v>
      </c>
      <c r="G157" t="s">
        <v>2234</v>
      </c>
      <c r="H157" t="s">
        <v>10</v>
      </c>
      <c r="I157" t="s">
        <v>127</v>
      </c>
      <c r="J157" t="s">
        <v>2235</v>
      </c>
    </row>
    <row r="158" spans="1:10" x14ac:dyDescent="0.3">
      <c r="A158" s="60" t="str">
        <f t="shared" si="4"/>
        <v>Apr 2027</v>
      </c>
      <c r="B158">
        <v>4</v>
      </c>
      <c r="C158" s="3">
        <v>46501</v>
      </c>
      <c r="D158" t="s">
        <v>2079</v>
      </c>
      <c r="E158" t="s">
        <v>2178</v>
      </c>
      <c r="F158" t="s">
        <v>317</v>
      </c>
      <c r="G158" t="s">
        <v>318</v>
      </c>
      <c r="H158" t="s">
        <v>10</v>
      </c>
      <c r="I158" t="s">
        <v>2137</v>
      </c>
      <c r="J158" t="s">
        <v>1932</v>
      </c>
    </row>
    <row r="159" spans="1:10" x14ac:dyDescent="0.3">
      <c r="A159" s="60" t="str">
        <f t="shared" si="4"/>
        <v>Apr 2027</v>
      </c>
      <c r="B159">
        <v>4</v>
      </c>
      <c r="C159" s="3">
        <v>46505</v>
      </c>
      <c r="D159" t="s">
        <v>2092</v>
      </c>
      <c r="E159" t="s">
        <v>2064</v>
      </c>
      <c r="F159" t="s">
        <v>319</v>
      </c>
      <c r="G159" t="s">
        <v>2236</v>
      </c>
      <c r="H159" t="s">
        <v>11</v>
      </c>
      <c r="I159" t="s">
        <v>117</v>
      </c>
      <c r="J159" t="s">
        <v>2237</v>
      </c>
    </row>
    <row r="160" spans="1:10" x14ac:dyDescent="0.3">
      <c r="A160" s="60" t="str">
        <f t="shared" si="4"/>
        <v>Apr 2027</v>
      </c>
      <c r="B160">
        <v>5</v>
      </c>
      <c r="C160" s="3">
        <v>46507</v>
      </c>
      <c r="D160" t="s">
        <v>2087</v>
      </c>
      <c r="E160" t="s">
        <v>2068</v>
      </c>
      <c r="F160" t="s">
        <v>319</v>
      </c>
      <c r="G160" t="s">
        <v>320</v>
      </c>
      <c r="H160" t="s">
        <v>11</v>
      </c>
      <c r="I160" t="s">
        <v>2069</v>
      </c>
      <c r="J160" t="s">
        <v>2076</v>
      </c>
    </row>
    <row r="161" spans="1:10" x14ac:dyDescent="0.3">
      <c r="A161" s="60" t="str">
        <f t="shared" si="4"/>
        <v>May 2027</v>
      </c>
      <c r="B161">
        <v>1</v>
      </c>
      <c r="C161" s="3">
        <v>46508</v>
      </c>
      <c r="D161" t="s">
        <v>2079</v>
      </c>
      <c r="E161" t="s">
        <v>2064</v>
      </c>
      <c r="F161" t="s">
        <v>323</v>
      </c>
      <c r="G161" t="s">
        <v>2238</v>
      </c>
      <c r="H161" t="s">
        <v>5</v>
      </c>
      <c r="I161" t="s">
        <v>127</v>
      </c>
      <c r="J161" t="s">
        <v>2239</v>
      </c>
    </row>
    <row r="162" spans="1:10" x14ac:dyDescent="0.3">
      <c r="A162" s="60" t="str">
        <f t="shared" si="4"/>
        <v>May 2027</v>
      </c>
      <c r="B162">
        <v>1</v>
      </c>
      <c r="C162" s="3">
        <v>46509</v>
      </c>
      <c r="D162" t="s">
        <v>2063</v>
      </c>
      <c r="E162" t="s">
        <v>2064</v>
      </c>
      <c r="F162" t="s">
        <v>321</v>
      </c>
      <c r="G162" t="s">
        <v>2240</v>
      </c>
      <c r="H162" t="s">
        <v>12</v>
      </c>
      <c r="I162" t="s">
        <v>117</v>
      </c>
      <c r="J162" t="s">
        <v>2241</v>
      </c>
    </row>
    <row r="163" spans="1:10" x14ac:dyDescent="0.3">
      <c r="A163" s="60" t="str">
        <f t="shared" si="4"/>
        <v>May 2027</v>
      </c>
      <c r="B163">
        <v>1</v>
      </c>
      <c r="C163" s="3">
        <v>46510</v>
      </c>
      <c r="D163" t="s">
        <v>2084</v>
      </c>
      <c r="E163" t="s">
        <v>2068</v>
      </c>
      <c r="F163" t="s">
        <v>323</v>
      </c>
      <c r="G163" t="s">
        <v>324</v>
      </c>
      <c r="H163" t="s">
        <v>5</v>
      </c>
      <c r="I163" t="s">
        <v>2137</v>
      </c>
      <c r="J163" t="s">
        <v>2086</v>
      </c>
    </row>
    <row r="164" spans="1:10" x14ac:dyDescent="0.3">
      <c r="A164" s="60" t="str">
        <f t="shared" si="4"/>
        <v>May 2027</v>
      </c>
      <c r="B164">
        <v>1</v>
      </c>
      <c r="C164" s="3">
        <v>46511</v>
      </c>
      <c r="D164" t="s">
        <v>2067</v>
      </c>
      <c r="E164" t="s">
        <v>2068</v>
      </c>
      <c r="F164" t="s">
        <v>321</v>
      </c>
      <c r="G164" t="s">
        <v>322</v>
      </c>
      <c r="H164" t="s">
        <v>12</v>
      </c>
      <c r="I164" t="s">
        <v>2069</v>
      </c>
      <c r="J164" t="s">
        <v>2076</v>
      </c>
    </row>
    <row r="165" spans="1:10" x14ac:dyDescent="0.3">
      <c r="A165" s="60" t="str">
        <f t="shared" si="4"/>
        <v>May 2027</v>
      </c>
      <c r="B165">
        <v>2</v>
      </c>
      <c r="C165" s="3">
        <v>46517</v>
      </c>
      <c r="D165" t="s">
        <v>2084</v>
      </c>
      <c r="E165" t="s">
        <v>2064</v>
      </c>
      <c r="F165" t="s">
        <v>325</v>
      </c>
      <c r="G165" t="s">
        <v>2242</v>
      </c>
      <c r="H165" t="s">
        <v>6</v>
      </c>
      <c r="I165" t="s">
        <v>117</v>
      </c>
      <c r="J165" t="s">
        <v>2243</v>
      </c>
    </row>
    <row r="166" spans="1:10" x14ac:dyDescent="0.3">
      <c r="A166" s="60" t="str">
        <f t="shared" si="4"/>
        <v>May 2027</v>
      </c>
      <c r="B166">
        <v>2</v>
      </c>
      <c r="C166" s="3">
        <v>46519</v>
      </c>
      <c r="D166" t="s">
        <v>2092</v>
      </c>
      <c r="E166" t="s">
        <v>2068</v>
      </c>
      <c r="F166" t="s">
        <v>325</v>
      </c>
      <c r="G166" t="s">
        <v>326</v>
      </c>
      <c r="H166" t="s">
        <v>6</v>
      </c>
      <c r="I166" t="s">
        <v>2069</v>
      </c>
      <c r="J166" t="s">
        <v>2076</v>
      </c>
    </row>
    <row r="167" spans="1:10" x14ac:dyDescent="0.3">
      <c r="A167" s="60" t="str">
        <f t="shared" si="4"/>
        <v>May 2027</v>
      </c>
      <c r="B167">
        <v>2</v>
      </c>
      <c r="C167" s="3">
        <v>46521</v>
      </c>
      <c r="D167" t="s">
        <v>2087</v>
      </c>
      <c r="E167" t="s">
        <v>2064</v>
      </c>
      <c r="F167" t="s">
        <v>327</v>
      </c>
      <c r="G167" t="s">
        <v>2244</v>
      </c>
      <c r="H167" t="s">
        <v>7</v>
      </c>
      <c r="I167" t="s">
        <v>127</v>
      </c>
      <c r="J167" t="s">
        <v>2245</v>
      </c>
    </row>
    <row r="168" spans="1:10" x14ac:dyDescent="0.3">
      <c r="A168" s="60" t="str">
        <f t="shared" si="4"/>
        <v>May 2027</v>
      </c>
      <c r="B168">
        <v>3</v>
      </c>
      <c r="C168" s="3">
        <v>46523</v>
      </c>
      <c r="D168" t="s">
        <v>2063</v>
      </c>
      <c r="E168" t="s">
        <v>2068</v>
      </c>
      <c r="F168" t="s">
        <v>327</v>
      </c>
      <c r="G168" t="s">
        <v>328</v>
      </c>
      <c r="H168" t="s">
        <v>7</v>
      </c>
      <c r="I168" t="s">
        <v>2137</v>
      </c>
      <c r="J168" t="s">
        <v>2086</v>
      </c>
    </row>
    <row r="169" spans="1:10" x14ac:dyDescent="0.3">
      <c r="A169" s="60" t="str">
        <f t="shared" si="4"/>
        <v>May 2027</v>
      </c>
      <c r="B169">
        <v>3</v>
      </c>
      <c r="C169" s="3">
        <v>46525</v>
      </c>
      <c r="D169" t="s">
        <v>2067</v>
      </c>
      <c r="E169" t="s">
        <v>2064</v>
      </c>
      <c r="F169" t="s">
        <v>329</v>
      </c>
      <c r="G169" t="s">
        <v>2246</v>
      </c>
      <c r="H169" t="s">
        <v>8</v>
      </c>
      <c r="I169" t="s">
        <v>117</v>
      </c>
      <c r="J169" t="s">
        <v>2247</v>
      </c>
    </row>
    <row r="170" spans="1:10" x14ac:dyDescent="0.3">
      <c r="A170" s="60" t="str">
        <f t="shared" si="4"/>
        <v>May 2027</v>
      </c>
      <c r="B170">
        <v>3</v>
      </c>
      <c r="C170" s="3">
        <v>46527</v>
      </c>
      <c r="D170" t="s">
        <v>2073</v>
      </c>
      <c r="E170" t="s">
        <v>2068</v>
      </c>
      <c r="F170" t="s">
        <v>329</v>
      </c>
      <c r="G170" t="s">
        <v>330</v>
      </c>
      <c r="H170" t="s">
        <v>8</v>
      </c>
      <c r="I170" t="s">
        <v>2069</v>
      </c>
      <c r="J170" t="s">
        <v>2076</v>
      </c>
    </row>
    <row r="171" spans="1:10" x14ac:dyDescent="0.3">
      <c r="A171" s="60" t="str">
        <f t="shared" si="4"/>
        <v>May 2027</v>
      </c>
      <c r="B171">
        <v>3</v>
      </c>
      <c r="C171" s="3">
        <v>46528</v>
      </c>
      <c r="D171" t="s">
        <v>2087</v>
      </c>
      <c r="E171" t="s">
        <v>2064</v>
      </c>
      <c r="F171" t="s">
        <v>331</v>
      </c>
      <c r="G171" t="s">
        <v>2248</v>
      </c>
      <c r="H171" t="s">
        <v>9</v>
      </c>
      <c r="I171" t="s">
        <v>163</v>
      </c>
      <c r="J171" t="s">
        <v>2249</v>
      </c>
    </row>
    <row r="172" spans="1:10" x14ac:dyDescent="0.3">
      <c r="A172" s="60" t="str">
        <f t="shared" si="4"/>
        <v>May 2027</v>
      </c>
      <c r="B172">
        <v>4</v>
      </c>
      <c r="C172" s="3">
        <v>46531</v>
      </c>
      <c r="D172" t="s">
        <v>2084</v>
      </c>
      <c r="E172" t="s">
        <v>2068</v>
      </c>
      <c r="F172" t="s">
        <v>331</v>
      </c>
      <c r="G172" t="s">
        <v>332</v>
      </c>
      <c r="H172" t="s">
        <v>9</v>
      </c>
      <c r="I172" t="s">
        <v>2106</v>
      </c>
      <c r="J172" t="s">
        <v>2081</v>
      </c>
    </row>
    <row r="173" spans="1:10" x14ac:dyDescent="0.3">
      <c r="A173" s="60" t="str">
        <f t="shared" si="4"/>
        <v>May 2027</v>
      </c>
      <c r="B173">
        <v>5</v>
      </c>
      <c r="C173" s="3">
        <v>46536</v>
      </c>
      <c r="D173" t="s">
        <v>2079</v>
      </c>
      <c r="E173" t="s">
        <v>2064</v>
      </c>
      <c r="F173" t="s">
        <v>333</v>
      </c>
      <c r="G173" t="s">
        <v>2250</v>
      </c>
      <c r="H173" t="s">
        <v>10</v>
      </c>
      <c r="I173" t="s">
        <v>127</v>
      </c>
      <c r="J173" t="s">
        <v>2251</v>
      </c>
    </row>
    <row r="174" spans="1:10" x14ac:dyDescent="0.3">
      <c r="A174" s="60" t="str">
        <f t="shared" si="4"/>
        <v>May 2027</v>
      </c>
      <c r="B174">
        <v>5</v>
      </c>
      <c r="C174" s="3">
        <v>46538</v>
      </c>
      <c r="D174" t="s">
        <v>2084</v>
      </c>
      <c r="E174" t="s">
        <v>2068</v>
      </c>
      <c r="F174" t="s">
        <v>333</v>
      </c>
      <c r="G174" t="s">
        <v>334</v>
      </c>
      <c r="H174" t="s">
        <v>10</v>
      </c>
      <c r="I174" t="s">
        <v>2080</v>
      </c>
      <c r="J174" t="s">
        <v>2081</v>
      </c>
    </row>
    <row r="175" spans="1:10" x14ac:dyDescent="0.3">
      <c r="A175" s="60" t="str">
        <f t="shared" ref="A175:A180" si="5">TEXT(C175,"mmm yyyy")</f>
        <v>Jun 2027</v>
      </c>
      <c r="B175">
        <v>1</v>
      </c>
      <c r="C175" s="3">
        <v>46540</v>
      </c>
      <c r="D175" t="s">
        <v>2092</v>
      </c>
      <c r="E175" t="s">
        <v>2064</v>
      </c>
      <c r="F175" t="s">
        <v>335</v>
      </c>
      <c r="G175" t="s">
        <v>2252</v>
      </c>
      <c r="H175" t="s">
        <v>11</v>
      </c>
      <c r="I175" t="s">
        <v>127</v>
      </c>
      <c r="J175" t="s">
        <v>2253</v>
      </c>
    </row>
    <row r="176" spans="1:10" x14ac:dyDescent="0.3">
      <c r="A176" s="60" t="str">
        <f t="shared" si="5"/>
        <v>Jun 2027</v>
      </c>
      <c r="B176">
        <v>1</v>
      </c>
      <c r="C176" s="3">
        <v>46542</v>
      </c>
      <c r="D176" t="s">
        <v>2087</v>
      </c>
      <c r="E176" t="s">
        <v>2118</v>
      </c>
      <c r="F176" t="s">
        <v>335</v>
      </c>
      <c r="G176" t="s">
        <v>336</v>
      </c>
      <c r="H176" t="s">
        <v>11</v>
      </c>
      <c r="I176" t="s">
        <v>2080</v>
      </c>
      <c r="J176" t="s">
        <v>1937</v>
      </c>
    </row>
    <row r="177" spans="1:10" x14ac:dyDescent="0.3">
      <c r="A177" s="60" t="str">
        <f t="shared" si="5"/>
        <v>Jun 2027</v>
      </c>
      <c r="B177">
        <v>1</v>
      </c>
      <c r="C177" s="3">
        <v>46544</v>
      </c>
      <c r="D177" t="s">
        <v>2063</v>
      </c>
      <c r="E177" t="s">
        <v>2064</v>
      </c>
      <c r="F177" t="s">
        <v>337</v>
      </c>
      <c r="G177" t="s">
        <v>2254</v>
      </c>
      <c r="H177" t="s">
        <v>12</v>
      </c>
      <c r="I177" t="s">
        <v>127</v>
      </c>
      <c r="J177" t="s">
        <v>2255</v>
      </c>
    </row>
    <row r="178" spans="1:10" x14ac:dyDescent="0.3">
      <c r="A178" s="60" t="str">
        <f t="shared" si="5"/>
        <v>Jun 2027</v>
      </c>
      <c r="B178">
        <v>2</v>
      </c>
      <c r="C178" s="3">
        <v>46546</v>
      </c>
      <c r="D178" t="s">
        <v>2067</v>
      </c>
      <c r="E178" t="s">
        <v>2068</v>
      </c>
      <c r="F178" t="s">
        <v>337</v>
      </c>
      <c r="G178" t="s">
        <v>338</v>
      </c>
      <c r="H178" t="s">
        <v>12</v>
      </c>
      <c r="I178" t="s">
        <v>2080</v>
      </c>
      <c r="J178" t="s">
        <v>2081</v>
      </c>
    </row>
    <row r="179" spans="1:10" x14ac:dyDescent="0.3">
      <c r="A179" s="60" t="str">
        <f t="shared" si="5"/>
        <v>Jun 2027</v>
      </c>
      <c r="B179">
        <v>4</v>
      </c>
      <c r="C179" s="3">
        <v>46563</v>
      </c>
      <c r="D179" t="s">
        <v>2087</v>
      </c>
      <c r="E179" t="s">
        <v>2162</v>
      </c>
      <c r="F179" t="s">
        <v>2163</v>
      </c>
      <c r="G179" t="s">
        <v>2256</v>
      </c>
      <c r="H179" t="s">
        <v>2165</v>
      </c>
      <c r="I179" t="s">
        <v>2166</v>
      </c>
      <c r="J179" t="s">
        <v>2167</v>
      </c>
    </row>
    <row r="180" spans="1:10" x14ac:dyDescent="0.3">
      <c r="A180" s="60" t="str">
        <f t="shared" si="5"/>
        <v>Jun 2027</v>
      </c>
      <c r="B180">
        <v>4</v>
      </c>
      <c r="C180" s="3">
        <v>46565</v>
      </c>
      <c r="D180" t="s">
        <v>2063</v>
      </c>
      <c r="E180" t="s">
        <v>2162</v>
      </c>
      <c r="F180" t="s">
        <v>2163</v>
      </c>
      <c r="G180" t="s">
        <v>2257</v>
      </c>
      <c r="H180" t="s">
        <v>2165</v>
      </c>
      <c r="I180" t="s">
        <v>2166</v>
      </c>
      <c r="J180" t="s">
        <v>2167</v>
      </c>
    </row>
  </sheetData>
  <mergeCells count="2">
    <mergeCell ref="A4:H4"/>
    <mergeCell ref="A1:B1"/>
  </mergeCells>
  <conditionalFormatting sqref="A15:J180">
    <cfRule type="expression" dxfId="40" priority="42">
      <formula>OR(AND($D$1&lt;&gt;"All Time",IF($D$1="Today",$C15&lt;&gt;TODAY(),IF($D$1="This Week",OR($C15&lt;TODAY(),$C15&gt;TODAY()+7),IF($D$1="This Month",OR($C15&lt;TODAY(),$C15&gt;TODAY()+30),OR($C15&lt;DATE(YEAR(TODAY()),1,1),$C15&gt;DATE(YEAR(TODAY()),12,31)))))),AND($F$1&lt;&gt;"All",$H15&lt;&gt;$F$1),AND($H$1&lt;&gt;"All",$E15&lt;&gt;$H$1))</formula>
    </cfRule>
    <cfRule type="expression" dxfId="39" priority="44">
      <formula>$E15="CHANGE FREEZE"</formula>
    </cfRule>
    <cfRule type="expression" dxfId="38" priority="46">
      <formula>$E15="REGULATORY"</formula>
    </cfRule>
    <cfRule type="expression" dxfId="37" priority="48">
      <formula>$E15="VENDOR MAINT"</formula>
    </cfRule>
    <cfRule type="expression" dxfId="36" priority="50">
      <formula>AND($E15="RELEASE",LEFT($I15,5)="Large")</formula>
    </cfRule>
    <cfRule type="expression" dxfId="35" priority="52">
      <formula>AND($E15="RELEASE",LEFT($I15,6)="Medium")</formula>
    </cfRule>
    <cfRule type="expression" dxfId="34" priority="54">
      <formula>AND($E15="RELEASE",LEFT($I15,5)="Small")</formula>
    </cfRule>
  </conditionalFormatting>
  <dataValidations count="3">
    <dataValidation type="list" allowBlank="1" showInputMessage="1" showErrorMessage="1" sqref="D1" xr:uid="{3EB4BC18-565F-40DF-B96F-2014A1504B49}">
      <formula1>"All Time,Today,This Week,This Month,This Year"</formula1>
    </dataValidation>
    <dataValidation type="list" allowBlank="1" showInputMessage="1" showErrorMessage="1" sqref="F1" xr:uid="{0A100338-9837-4A16-87AA-7450D11F61A4}">
      <formula1>"All,Finance,Logistics,CRM,Manufacturing,IT,HR,Legal,Security"</formula1>
    </dataValidation>
    <dataValidation type="list" allowBlank="1" showInputMessage="1" showErrorMessage="1" sqref="H1" xr:uid="{B22CC3C7-F76F-4A1C-90D8-E24E47B45DFB}">
      <formula1>"All,CAB MEETING,RELEASE START,RELEASE END,VENDOR MAINT,CHANGE FREEZE START,CHANGE FREEZE END,REGULATORY"</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922A5-4C7B-454D-9534-DDA078A4AD44}">
  <sheetPr>
    <tabColor theme="5"/>
  </sheetPr>
  <dimension ref="A1:V115"/>
  <sheetViews>
    <sheetView workbookViewId="0">
      <pane ySplit="4" topLeftCell="A5" activePane="bottomLeft" state="frozen"/>
      <selection activeCell="G26" sqref="G26"/>
      <selection pane="bottomLeft" activeCell="G35" sqref="G35"/>
    </sheetView>
  </sheetViews>
  <sheetFormatPr defaultRowHeight="14.4" x14ac:dyDescent="0.3"/>
  <cols>
    <col min="1" max="1" width="29.6640625" customWidth="1"/>
    <col min="2" max="2" width="15.77734375" customWidth="1"/>
    <col min="3" max="3" width="27.77734375" customWidth="1"/>
    <col min="4" max="4" width="16.6640625" customWidth="1"/>
    <col min="5" max="5" width="22.5546875" style="165" customWidth="1"/>
    <col min="6" max="6" width="55.5546875" customWidth="1"/>
    <col min="7" max="8" width="16.6640625" customWidth="1"/>
    <col min="9" max="9" width="17.5546875" customWidth="1"/>
    <col min="10" max="11" width="16.6640625" customWidth="1"/>
    <col min="12" max="12" width="13" customWidth="1"/>
    <col min="13" max="13" width="17.5546875" customWidth="1"/>
    <col min="14" max="15" width="16.6640625" customWidth="1"/>
    <col min="16" max="16" width="13" customWidth="1"/>
    <col min="17" max="17" width="20.33203125" customWidth="1"/>
    <col min="18" max="19" width="16.6640625" customWidth="1"/>
    <col min="20" max="20" width="13" customWidth="1"/>
    <col min="21" max="21" width="18.5546875" customWidth="1"/>
    <col min="22" max="22" width="37" customWidth="1"/>
  </cols>
  <sheetData>
    <row r="1" spans="1:22" ht="33" customHeight="1" x14ac:dyDescent="0.3">
      <c r="A1" s="369" t="s">
        <v>4173</v>
      </c>
      <c r="B1" s="339"/>
      <c r="C1" s="1" t="s">
        <v>4125</v>
      </c>
      <c r="D1" s="220" t="s">
        <v>4174</v>
      </c>
      <c r="E1" s="206" t="s">
        <v>4175</v>
      </c>
      <c r="F1" s="220" t="s">
        <v>4096</v>
      </c>
      <c r="G1" s="1" t="s">
        <v>4176</v>
      </c>
      <c r="H1" s="220" t="s">
        <v>4096</v>
      </c>
      <c r="I1" s="1" t="s">
        <v>4199</v>
      </c>
      <c r="J1" s="220" t="s">
        <v>4096</v>
      </c>
      <c r="L1" s="221" t="s">
        <v>4204</v>
      </c>
    </row>
    <row r="2" spans="1:22" x14ac:dyDescent="0.3">
      <c r="A2" s="1" t="s">
        <v>4201</v>
      </c>
      <c r="B2" t="str" cm="1">
        <f t="array" aca="1" ref="B2" ca="1">SUMPRODUCT((A5:A115&lt;&gt;"")*IF(F1="All",1,D5:D115=F1)*IF(H1="All",1,C5:C115=H1)*IF(J1="All",1,IF(J1="Conflict Only",U5:U115&lt;&gt;"",U5:U115=""))*IF(D1="All Time",1,IF(D1="Today",G5:G115=TODAY(),IF(D1="This Week",(G5:G115&gt;=TODAY())*(G5:G115&lt;=TODAY()+7),IF(D1="This Month",(G5:G115&gt;=TODAY())*(G5:G115&lt;=TODAY()+30),(G5:G115&gt;=DATE(YEAR(TODAY()),1,1))*(G5:G115&lt;=DATE(YEAR(TODAY()),12,31)))))))&amp;" of "&amp;COUNTA(A5:A115)&amp;" bookings"</f>
        <v>101 of 101 bookings</v>
      </c>
    </row>
    <row r="4" spans="1:22" ht="30" customHeight="1" x14ac:dyDescent="0.3">
      <c r="A4" s="33" t="s">
        <v>1781</v>
      </c>
      <c r="B4" s="32" t="s">
        <v>103</v>
      </c>
      <c r="C4" s="32" t="s">
        <v>2</v>
      </c>
      <c r="D4" s="32" t="s">
        <v>1</v>
      </c>
      <c r="E4" s="163" t="s">
        <v>2696</v>
      </c>
      <c r="F4" s="32" t="s">
        <v>105</v>
      </c>
      <c r="G4" s="32" t="s">
        <v>1782</v>
      </c>
      <c r="H4" s="32" t="s">
        <v>1812</v>
      </c>
      <c r="I4" s="32" t="s">
        <v>1783</v>
      </c>
      <c r="J4" s="32" t="s">
        <v>1784</v>
      </c>
      <c r="K4" s="32" t="s">
        <v>1785</v>
      </c>
      <c r="L4" s="32" t="s">
        <v>1786</v>
      </c>
      <c r="M4" s="32" t="s">
        <v>1787</v>
      </c>
      <c r="N4" s="32" t="s">
        <v>1788</v>
      </c>
      <c r="O4" s="32" t="s">
        <v>1789</v>
      </c>
      <c r="P4" s="32" t="s">
        <v>1790</v>
      </c>
      <c r="Q4" s="32" t="s">
        <v>1791</v>
      </c>
      <c r="R4" s="32" t="s">
        <v>1792</v>
      </c>
      <c r="S4" s="32" t="s">
        <v>1793</v>
      </c>
      <c r="T4" s="32" t="s">
        <v>1794</v>
      </c>
      <c r="U4" s="32" t="s">
        <v>113</v>
      </c>
      <c r="V4" s="34" t="s">
        <v>114</v>
      </c>
    </row>
    <row r="5" spans="1:22" x14ac:dyDescent="0.3">
      <c r="A5" s="24" t="s">
        <v>1813</v>
      </c>
      <c r="B5" s="18" t="s">
        <v>115</v>
      </c>
      <c r="C5" s="18" t="s">
        <v>16</v>
      </c>
      <c r="D5" s="18" t="s">
        <v>5</v>
      </c>
      <c r="E5" s="164" t="s">
        <v>3915</v>
      </c>
      <c r="F5" s="18" t="s">
        <v>117</v>
      </c>
      <c r="G5" s="43">
        <v>46203</v>
      </c>
      <c r="H5" s="54">
        <v>46201</v>
      </c>
      <c r="I5" s="35" t="s">
        <v>120</v>
      </c>
      <c r="J5" s="36">
        <v>46196</v>
      </c>
      <c r="K5" s="36">
        <v>46198</v>
      </c>
      <c r="L5" s="35">
        <v>3</v>
      </c>
      <c r="M5" s="39" t="s">
        <v>121</v>
      </c>
      <c r="N5" s="40">
        <v>46199</v>
      </c>
      <c r="O5" s="40">
        <v>46200</v>
      </c>
      <c r="P5" s="39">
        <v>2</v>
      </c>
      <c r="Q5" s="50" t="s">
        <v>1814</v>
      </c>
      <c r="R5" s="51">
        <v>46201</v>
      </c>
      <c r="S5" s="51">
        <v>46201</v>
      </c>
      <c r="T5" s="50">
        <v>1</v>
      </c>
      <c r="U5" s="18" t="s">
        <v>123</v>
      </c>
      <c r="V5" s="27" t="s">
        <v>124</v>
      </c>
    </row>
    <row r="6" spans="1:22" x14ac:dyDescent="0.3">
      <c r="A6" s="24" t="s">
        <v>1815</v>
      </c>
      <c r="B6" s="18" t="s">
        <v>125</v>
      </c>
      <c r="C6" s="18" t="s">
        <v>35</v>
      </c>
      <c r="D6" s="18" t="s">
        <v>6</v>
      </c>
      <c r="E6" s="164" t="s">
        <v>3915</v>
      </c>
      <c r="F6" s="18" t="s">
        <v>127</v>
      </c>
      <c r="G6" s="43">
        <v>46207</v>
      </c>
      <c r="H6" s="54">
        <v>46205</v>
      </c>
      <c r="I6" s="35" t="s">
        <v>130</v>
      </c>
      <c r="J6" s="36">
        <v>46194</v>
      </c>
      <c r="K6" s="36">
        <v>46198</v>
      </c>
      <c r="L6" s="35">
        <v>5</v>
      </c>
      <c r="M6" s="39" t="s">
        <v>131</v>
      </c>
      <c r="N6" s="40">
        <v>46199</v>
      </c>
      <c r="O6" s="40">
        <v>46201</v>
      </c>
      <c r="P6" s="39">
        <v>3</v>
      </c>
      <c r="Q6" s="50" t="s">
        <v>1816</v>
      </c>
      <c r="R6" s="51">
        <v>46202</v>
      </c>
      <c r="S6" s="51">
        <v>46203</v>
      </c>
      <c r="T6" s="50">
        <v>2</v>
      </c>
      <c r="U6" s="18"/>
      <c r="V6" s="27" t="s">
        <v>339</v>
      </c>
    </row>
    <row r="7" spans="1:22" x14ac:dyDescent="0.3">
      <c r="A7" s="24" t="s">
        <v>1817</v>
      </c>
      <c r="B7" s="18" t="s">
        <v>132</v>
      </c>
      <c r="C7" s="18" t="s">
        <v>51</v>
      </c>
      <c r="D7" s="18" t="s">
        <v>7</v>
      </c>
      <c r="E7" s="164" t="s">
        <v>3915</v>
      </c>
      <c r="F7" s="18" t="s">
        <v>117</v>
      </c>
      <c r="G7" s="43">
        <v>46205</v>
      </c>
      <c r="H7" s="54">
        <v>46203</v>
      </c>
      <c r="I7" s="35" t="s">
        <v>120</v>
      </c>
      <c r="J7" s="36">
        <v>46198</v>
      </c>
      <c r="K7" s="36">
        <v>46200</v>
      </c>
      <c r="L7" s="35">
        <v>3</v>
      </c>
      <c r="M7" s="39" t="s">
        <v>121</v>
      </c>
      <c r="N7" s="40">
        <v>46201</v>
      </c>
      <c r="O7" s="40">
        <v>46202</v>
      </c>
      <c r="P7" s="39">
        <v>2</v>
      </c>
      <c r="Q7" s="50" t="s">
        <v>1818</v>
      </c>
      <c r="R7" s="51">
        <v>46203</v>
      </c>
      <c r="S7" s="51">
        <v>46203</v>
      </c>
      <c r="T7" s="50">
        <v>1</v>
      </c>
      <c r="U7" s="18" t="s">
        <v>123</v>
      </c>
      <c r="V7" s="27" t="s">
        <v>135</v>
      </c>
    </row>
    <row r="8" spans="1:22" x14ac:dyDescent="0.3">
      <c r="A8" s="24" t="s">
        <v>1819</v>
      </c>
      <c r="B8" s="18" t="s">
        <v>136</v>
      </c>
      <c r="C8" s="18" t="s">
        <v>56</v>
      </c>
      <c r="D8" s="18" t="s">
        <v>8</v>
      </c>
      <c r="E8" s="164" t="s">
        <v>3915</v>
      </c>
      <c r="F8" s="18" t="s">
        <v>127</v>
      </c>
      <c r="G8" s="43">
        <v>46215</v>
      </c>
      <c r="H8" s="54">
        <v>46213</v>
      </c>
      <c r="I8" s="35" t="s">
        <v>138</v>
      </c>
      <c r="J8" s="36">
        <v>46202</v>
      </c>
      <c r="K8" s="36">
        <v>46206</v>
      </c>
      <c r="L8" s="35">
        <v>5</v>
      </c>
      <c r="M8" s="39" t="s">
        <v>139</v>
      </c>
      <c r="N8" s="40">
        <v>46207</v>
      </c>
      <c r="O8" s="40">
        <v>46209</v>
      </c>
      <c r="P8" s="39">
        <v>3</v>
      </c>
      <c r="Q8" s="50" t="s">
        <v>1820</v>
      </c>
      <c r="R8" s="51">
        <v>46210</v>
      </c>
      <c r="S8" s="51">
        <v>46211</v>
      </c>
      <c r="T8" s="50">
        <v>2</v>
      </c>
      <c r="U8" s="18"/>
      <c r="V8" s="27" t="s">
        <v>340</v>
      </c>
    </row>
    <row r="9" spans="1:22" x14ac:dyDescent="0.3">
      <c r="A9" s="24" t="s">
        <v>1821</v>
      </c>
      <c r="B9" s="18" t="s">
        <v>140</v>
      </c>
      <c r="C9" s="18" t="s">
        <v>70</v>
      </c>
      <c r="D9" s="18" t="s">
        <v>9</v>
      </c>
      <c r="E9" s="164" t="s">
        <v>3915</v>
      </c>
      <c r="F9" s="18" t="s">
        <v>127</v>
      </c>
      <c r="G9" s="43">
        <v>46219</v>
      </c>
      <c r="H9" s="54">
        <v>46217</v>
      </c>
      <c r="I9" s="35" t="s">
        <v>143</v>
      </c>
      <c r="J9" s="36">
        <v>46206</v>
      </c>
      <c r="K9" s="36">
        <v>46210</v>
      </c>
      <c r="L9" s="35">
        <v>5</v>
      </c>
      <c r="M9" s="39" t="s">
        <v>144</v>
      </c>
      <c r="N9" s="40">
        <v>46211</v>
      </c>
      <c r="O9" s="40">
        <v>46213</v>
      </c>
      <c r="P9" s="39">
        <v>3</v>
      </c>
      <c r="Q9" s="50" t="s">
        <v>1822</v>
      </c>
      <c r="R9" s="51">
        <v>46214</v>
      </c>
      <c r="S9" s="51">
        <v>46215</v>
      </c>
      <c r="T9" s="50">
        <v>2</v>
      </c>
      <c r="U9" s="18" t="s">
        <v>123</v>
      </c>
      <c r="V9" s="27" t="s">
        <v>145</v>
      </c>
    </row>
    <row r="10" spans="1:22" x14ac:dyDescent="0.3">
      <c r="A10" s="24" t="s">
        <v>1823</v>
      </c>
      <c r="B10" s="18" t="s">
        <v>146</v>
      </c>
      <c r="C10" s="18" t="s">
        <v>74</v>
      </c>
      <c r="D10" s="18" t="s">
        <v>10</v>
      </c>
      <c r="E10" s="164" t="s">
        <v>3915</v>
      </c>
      <c r="F10" s="18" t="s">
        <v>117</v>
      </c>
      <c r="G10" s="43">
        <v>46223</v>
      </c>
      <c r="H10" s="54">
        <v>46221</v>
      </c>
      <c r="I10" s="35" t="s">
        <v>148</v>
      </c>
      <c r="J10" s="36">
        <v>46216</v>
      </c>
      <c r="K10" s="36">
        <v>46218</v>
      </c>
      <c r="L10" s="35">
        <v>3</v>
      </c>
      <c r="M10" s="39" t="s">
        <v>149</v>
      </c>
      <c r="N10" s="40">
        <v>46219</v>
      </c>
      <c r="O10" s="40">
        <v>46220</v>
      </c>
      <c r="P10" s="39">
        <v>2</v>
      </c>
      <c r="Q10" s="50" t="s">
        <v>1824</v>
      </c>
      <c r="R10" s="51">
        <v>46221</v>
      </c>
      <c r="S10" s="51">
        <v>46221</v>
      </c>
      <c r="T10" s="50">
        <v>1</v>
      </c>
      <c r="U10" s="18"/>
      <c r="V10" s="27" t="s">
        <v>341</v>
      </c>
    </row>
    <row r="11" spans="1:22" x14ac:dyDescent="0.3">
      <c r="A11" s="24" t="s">
        <v>1825</v>
      </c>
      <c r="B11" s="18" t="s">
        <v>150</v>
      </c>
      <c r="C11" s="18" t="s">
        <v>84</v>
      </c>
      <c r="D11" s="18" t="s">
        <v>11</v>
      </c>
      <c r="E11" s="164" t="s">
        <v>3915</v>
      </c>
      <c r="F11" s="18" t="s">
        <v>127</v>
      </c>
      <c r="G11" s="43">
        <v>46207</v>
      </c>
      <c r="H11" s="54">
        <v>46205</v>
      </c>
      <c r="I11" s="35" t="s">
        <v>120</v>
      </c>
      <c r="J11" s="36">
        <v>46194</v>
      </c>
      <c r="K11" s="36">
        <v>46198</v>
      </c>
      <c r="L11" s="35">
        <v>5</v>
      </c>
      <c r="M11" s="39" t="s">
        <v>121</v>
      </c>
      <c r="N11" s="40">
        <v>46199</v>
      </c>
      <c r="O11" s="40">
        <v>46201</v>
      </c>
      <c r="P11" s="39">
        <v>3</v>
      </c>
      <c r="Q11" s="50" t="s">
        <v>1826</v>
      </c>
      <c r="R11" s="51">
        <v>46202</v>
      </c>
      <c r="S11" s="51">
        <v>46203</v>
      </c>
      <c r="T11" s="50">
        <v>2</v>
      </c>
      <c r="U11" s="18" t="s">
        <v>123</v>
      </c>
      <c r="V11" s="27" t="s">
        <v>152</v>
      </c>
    </row>
    <row r="12" spans="1:22" x14ac:dyDescent="0.3">
      <c r="A12" s="24" t="s">
        <v>1827</v>
      </c>
      <c r="B12" s="18" t="s">
        <v>153</v>
      </c>
      <c r="C12" s="18" t="s">
        <v>93</v>
      </c>
      <c r="D12" s="18" t="s">
        <v>12</v>
      </c>
      <c r="E12" s="164" t="s">
        <v>3915</v>
      </c>
      <c r="F12" s="18" t="s">
        <v>117</v>
      </c>
      <c r="G12" s="43">
        <v>46234</v>
      </c>
      <c r="H12" s="54">
        <v>46232</v>
      </c>
      <c r="I12" s="35" t="s">
        <v>155</v>
      </c>
      <c r="J12" s="36">
        <v>46227</v>
      </c>
      <c r="K12" s="36">
        <v>46229</v>
      </c>
      <c r="L12" s="35">
        <v>3</v>
      </c>
      <c r="M12" s="39" t="s">
        <v>156</v>
      </c>
      <c r="N12" s="40">
        <v>46230</v>
      </c>
      <c r="O12" s="40">
        <v>46231</v>
      </c>
      <c r="P12" s="39">
        <v>2</v>
      </c>
      <c r="Q12" s="50" t="s">
        <v>1828</v>
      </c>
      <c r="R12" s="51">
        <v>46232</v>
      </c>
      <c r="S12" s="51">
        <v>46232</v>
      </c>
      <c r="T12" s="50">
        <v>1</v>
      </c>
      <c r="U12" s="18"/>
      <c r="V12" s="27" t="s">
        <v>342</v>
      </c>
    </row>
    <row r="13" spans="1:22" x14ac:dyDescent="0.3">
      <c r="A13" s="24" t="s">
        <v>1829</v>
      </c>
      <c r="B13" s="18" t="s">
        <v>157</v>
      </c>
      <c r="C13" s="18" t="s">
        <v>15</v>
      </c>
      <c r="D13" s="18" t="s">
        <v>5</v>
      </c>
      <c r="E13" s="164" t="str" cm="1">
        <f t="array" ref="E13">IFERROR(_xlfn.TEXTJOIN(CHAR(10),TRUE,_xlfn._xlws.FILTER(#REF!&amp;": "&amp;#REF!,#REF!=$A13,"")),"")</f>
        <v/>
      </c>
      <c r="F13" s="18" t="s">
        <v>117</v>
      </c>
      <c r="G13" s="43">
        <v>46238</v>
      </c>
      <c r="H13" s="54">
        <v>46236</v>
      </c>
      <c r="I13" s="35" t="s">
        <v>159</v>
      </c>
      <c r="J13" s="36">
        <v>46231</v>
      </c>
      <c r="K13" s="36">
        <v>46233</v>
      </c>
      <c r="L13" s="35">
        <v>3</v>
      </c>
      <c r="M13" s="39" t="s">
        <v>121</v>
      </c>
      <c r="N13" s="40">
        <v>46234</v>
      </c>
      <c r="O13" s="40">
        <v>46235</v>
      </c>
      <c r="P13" s="39">
        <v>2</v>
      </c>
      <c r="Q13" s="50" t="s">
        <v>1814</v>
      </c>
      <c r="R13" s="51">
        <v>46236</v>
      </c>
      <c r="S13" s="51">
        <v>46236</v>
      </c>
      <c r="T13" s="50">
        <v>1</v>
      </c>
      <c r="U13" s="18" t="s">
        <v>123</v>
      </c>
      <c r="V13" s="27" t="s">
        <v>160</v>
      </c>
    </row>
    <row r="14" spans="1:22" x14ac:dyDescent="0.3">
      <c r="A14" s="24" t="s">
        <v>1830</v>
      </c>
      <c r="B14" s="18" t="s">
        <v>161</v>
      </c>
      <c r="C14" s="18" t="s">
        <v>36</v>
      </c>
      <c r="D14" s="18" t="s">
        <v>6</v>
      </c>
      <c r="E14" s="164" t="s">
        <v>3915</v>
      </c>
      <c r="F14" s="18" t="s">
        <v>163</v>
      </c>
      <c r="G14" s="43">
        <v>46221</v>
      </c>
      <c r="H14" s="54">
        <v>46218</v>
      </c>
      <c r="I14" s="35" t="s">
        <v>143</v>
      </c>
      <c r="J14" s="36">
        <v>46195</v>
      </c>
      <c r="K14" s="36">
        <v>46204</v>
      </c>
      <c r="L14" s="35">
        <v>10</v>
      </c>
      <c r="M14" s="39" t="s">
        <v>144</v>
      </c>
      <c r="N14" s="40">
        <v>46205</v>
      </c>
      <c r="O14" s="40">
        <v>46209</v>
      </c>
      <c r="P14" s="39">
        <v>5</v>
      </c>
      <c r="Q14" s="50" t="s">
        <v>1816</v>
      </c>
      <c r="R14" s="51">
        <v>46211</v>
      </c>
      <c r="S14" s="51">
        <v>46214</v>
      </c>
      <c r="T14" s="50">
        <v>4</v>
      </c>
      <c r="U14" s="18" t="s">
        <v>123</v>
      </c>
      <c r="V14" s="27" t="s">
        <v>164</v>
      </c>
    </row>
    <row r="15" spans="1:22" x14ac:dyDescent="0.3">
      <c r="A15" s="24" t="s">
        <v>1831</v>
      </c>
      <c r="B15" s="18" t="s">
        <v>165</v>
      </c>
      <c r="C15" s="18" t="s">
        <v>47</v>
      </c>
      <c r="D15" s="18" t="s">
        <v>7</v>
      </c>
      <c r="E15" s="164" t="s">
        <v>3915</v>
      </c>
      <c r="F15" s="18" t="s">
        <v>117</v>
      </c>
      <c r="G15" s="43">
        <v>46246</v>
      </c>
      <c r="H15" s="54">
        <v>46244</v>
      </c>
      <c r="I15" s="35" t="s">
        <v>167</v>
      </c>
      <c r="J15" s="36">
        <v>46239</v>
      </c>
      <c r="K15" s="36">
        <v>46241</v>
      </c>
      <c r="L15" s="35">
        <v>3</v>
      </c>
      <c r="M15" s="39" t="s">
        <v>168</v>
      </c>
      <c r="N15" s="40">
        <v>46242</v>
      </c>
      <c r="O15" s="40">
        <v>46243</v>
      </c>
      <c r="P15" s="39">
        <v>2</v>
      </c>
      <c r="Q15" s="50" t="s">
        <v>1818</v>
      </c>
      <c r="R15" s="51">
        <v>46244</v>
      </c>
      <c r="S15" s="51">
        <v>46244</v>
      </c>
      <c r="T15" s="50">
        <v>1</v>
      </c>
      <c r="U15" s="18" t="s">
        <v>123</v>
      </c>
      <c r="V15" s="27" t="s">
        <v>160</v>
      </c>
    </row>
    <row r="16" spans="1:22" x14ac:dyDescent="0.3">
      <c r="A16" s="24" t="s">
        <v>1832</v>
      </c>
      <c r="B16" s="18" t="s">
        <v>169</v>
      </c>
      <c r="C16" s="18" t="s">
        <v>59</v>
      </c>
      <c r="D16" s="18" t="s">
        <v>8</v>
      </c>
      <c r="E16" s="164" t="s">
        <v>3915</v>
      </c>
      <c r="F16" s="18" t="s">
        <v>117</v>
      </c>
      <c r="G16" s="43">
        <v>46209</v>
      </c>
      <c r="H16" s="54">
        <v>46207</v>
      </c>
      <c r="I16" s="35" t="s">
        <v>120</v>
      </c>
      <c r="J16" s="36">
        <v>46202</v>
      </c>
      <c r="K16" s="36">
        <v>46204</v>
      </c>
      <c r="L16" s="35">
        <v>3</v>
      </c>
      <c r="M16" s="39" t="s">
        <v>121</v>
      </c>
      <c r="N16" s="40">
        <v>46205</v>
      </c>
      <c r="O16" s="40">
        <v>46206</v>
      </c>
      <c r="P16" s="39">
        <v>2</v>
      </c>
      <c r="Q16" s="50" t="s">
        <v>1820</v>
      </c>
      <c r="R16" s="51">
        <v>46207</v>
      </c>
      <c r="S16" s="51">
        <v>46207</v>
      </c>
      <c r="T16" s="50">
        <v>1</v>
      </c>
      <c r="U16" s="18" t="s">
        <v>123</v>
      </c>
      <c r="V16" s="27" t="s">
        <v>135</v>
      </c>
    </row>
    <row r="17" spans="1:22" x14ac:dyDescent="0.3">
      <c r="A17" s="24" t="s">
        <v>1833</v>
      </c>
      <c r="B17" s="18" t="s">
        <v>171</v>
      </c>
      <c r="C17" s="18" t="s">
        <v>67</v>
      </c>
      <c r="D17" s="18" t="s">
        <v>9</v>
      </c>
      <c r="E17" s="164" t="str" cm="1">
        <f t="array" ref="E17">IFERROR(_xlfn.TEXTJOIN(CHAR(10),TRUE,_xlfn._xlws.FILTER(#REF!&amp;": "&amp;#REF!,#REF!=$A17,"")),"")</f>
        <v/>
      </c>
      <c r="F17" s="18" t="s">
        <v>117</v>
      </c>
      <c r="G17" s="43">
        <v>46254</v>
      </c>
      <c r="H17" s="54">
        <v>46252</v>
      </c>
      <c r="I17" s="35" t="s">
        <v>173</v>
      </c>
      <c r="J17" s="36">
        <v>46247</v>
      </c>
      <c r="K17" s="36">
        <v>46249</v>
      </c>
      <c r="L17" s="35">
        <v>3</v>
      </c>
      <c r="M17" s="39" t="s">
        <v>144</v>
      </c>
      <c r="N17" s="40">
        <v>46250</v>
      </c>
      <c r="O17" s="40">
        <v>46251</v>
      </c>
      <c r="P17" s="39">
        <v>2</v>
      </c>
      <c r="Q17" s="50" t="s">
        <v>1822</v>
      </c>
      <c r="R17" s="51">
        <v>46252</v>
      </c>
      <c r="S17" s="51">
        <v>46252</v>
      </c>
      <c r="T17" s="50">
        <v>1</v>
      </c>
      <c r="U17" s="18" t="s">
        <v>123</v>
      </c>
      <c r="V17" s="27" t="s">
        <v>174</v>
      </c>
    </row>
    <row r="18" spans="1:22" x14ac:dyDescent="0.3">
      <c r="A18" s="24" t="s">
        <v>1834</v>
      </c>
      <c r="B18" s="18" t="s">
        <v>175</v>
      </c>
      <c r="C18" s="18" t="s">
        <v>75</v>
      </c>
      <c r="D18" s="18" t="s">
        <v>10</v>
      </c>
      <c r="E18" s="164" t="s">
        <v>3915</v>
      </c>
      <c r="F18" s="18" t="s">
        <v>163</v>
      </c>
      <c r="G18" s="43">
        <v>46248</v>
      </c>
      <c r="H18" s="54">
        <v>46245</v>
      </c>
      <c r="I18" s="35" t="s">
        <v>167</v>
      </c>
      <c r="J18" s="36">
        <v>46222</v>
      </c>
      <c r="K18" s="36">
        <v>46231</v>
      </c>
      <c r="L18" s="35">
        <v>10</v>
      </c>
      <c r="M18" s="39" t="s">
        <v>168</v>
      </c>
      <c r="N18" s="40">
        <v>46232</v>
      </c>
      <c r="O18" s="40">
        <v>46236</v>
      </c>
      <c r="P18" s="39">
        <v>5</v>
      </c>
      <c r="Q18" s="50" t="s">
        <v>1824</v>
      </c>
      <c r="R18" s="51">
        <v>46238</v>
      </c>
      <c r="S18" s="51">
        <v>46241</v>
      </c>
      <c r="T18" s="50">
        <v>4</v>
      </c>
      <c r="U18" s="18" t="s">
        <v>123</v>
      </c>
      <c r="V18" s="27" t="s">
        <v>177</v>
      </c>
    </row>
    <row r="19" spans="1:22" x14ac:dyDescent="0.3">
      <c r="A19" s="24" t="s">
        <v>1835</v>
      </c>
      <c r="B19" s="18" t="s">
        <v>178</v>
      </c>
      <c r="C19" s="18" t="s">
        <v>88</v>
      </c>
      <c r="D19" s="18" t="s">
        <v>11</v>
      </c>
      <c r="E19" s="164" t="s">
        <v>3915</v>
      </c>
      <c r="F19" s="18" t="s">
        <v>163</v>
      </c>
      <c r="G19" s="43">
        <v>46256</v>
      </c>
      <c r="H19" s="54">
        <v>46253</v>
      </c>
      <c r="I19" s="35" t="s">
        <v>173</v>
      </c>
      <c r="J19" s="36">
        <v>46230</v>
      </c>
      <c r="K19" s="36">
        <v>46239</v>
      </c>
      <c r="L19" s="35">
        <v>10</v>
      </c>
      <c r="M19" s="39" t="s">
        <v>144</v>
      </c>
      <c r="N19" s="40">
        <v>46240</v>
      </c>
      <c r="O19" s="40">
        <v>46244</v>
      </c>
      <c r="P19" s="39">
        <v>5</v>
      </c>
      <c r="Q19" s="50" t="s">
        <v>1826</v>
      </c>
      <c r="R19" s="51">
        <v>46246</v>
      </c>
      <c r="S19" s="51">
        <v>46249</v>
      </c>
      <c r="T19" s="50">
        <v>4</v>
      </c>
      <c r="U19" s="18" t="s">
        <v>123</v>
      </c>
      <c r="V19" s="27" t="s">
        <v>180</v>
      </c>
    </row>
    <row r="20" spans="1:22" x14ac:dyDescent="0.3">
      <c r="A20" s="24" t="s">
        <v>1836</v>
      </c>
      <c r="B20" s="18" t="s">
        <v>181</v>
      </c>
      <c r="C20" s="18" t="s">
        <v>98</v>
      </c>
      <c r="D20" s="18" t="s">
        <v>12</v>
      </c>
      <c r="E20" s="164" t="s">
        <v>3915</v>
      </c>
      <c r="F20" s="18" t="s">
        <v>163</v>
      </c>
      <c r="G20" s="43">
        <v>46269</v>
      </c>
      <c r="H20" s="54">
        <v>46266</v>
      </c>
      <c r="I20" s="35" t="s">
        <v>155</v>
      </c>
      <c r="J20" s="36">
        <v>46243</v>
      </c>
      <c r="K20" s="36">
        <v>46252</v>
      </c>
      <c r="L20" s="35">
        <v>10</v>
      </c>
      <c r="M20" s="39" t="s">
        <v>156</v>
      </c>
      <c r="N20" s="40">
        <v>46253</v>
      </c>
      <c r="O20" s="40">
        <v>46257</v>
      </c>
      <c r="P20" s="39">
        <v>5</v>
      </c>
      <c r="Q20" s="50" t="s">
        <v>1828</v>
      </c>
      <c r="R20" s="51">
        <v>46259</v>
      </c>
      <c r="S20" s="51">
        <v>46262</v>
      </c>
      <c r="T20" s="50">
        <v>4</v>
      </c>
      <c r="U20" s="18"/>
      <c r="V20" s="27" t="s">
        <v>343</v>
      </c>
    </row>
    <row r="21" spans="1:22" x14ac:dyDescent="0.3">
      <c r="A21" s="24" t="s">
        <v>1837</v>
      </c>
      <c r="B21" s="18" t="s">
        <v>183</v>
      </c>
      <c r="C21" s="18" t="s">
        <v>25</v>
      </c>
      <c r="D21" s="18" t="s">
        <v>5</v>
      </c>
      <c r="E21" s="164" t="str" cm="1">
        <f t="array" ref="E21">IFERROR(_xlfn.TEXTJOIN(CHAR(10),TRUE,_xlfn._xlws.FILTER(#REF!&amp;": "&amp;#REF!,#REF!=$A21,"")),"")</f>
        <v/>
      </c>
      <c r="F21" s="18" t="s">
        <v>117</v>
      </c>
      <c r="G21" s="43">
        <v>46258</v>
      </c>
      <c r="H21" s="54">
        <v>46256</v>
      </c>
      <c r="I21" s="35" t="s">
        <v>173</v>
      </c>
      <c r="J21" s="36">
        <v>46251</v>
      </c>
      <c r="K21" s="36">
        <v>46253</v>
      </c>
      <c r="L21" s="35">
        <v>3</v>
      </c>
      <c r="M21" s="39" t="s">
        <v>144</v>
      </c>
      <c r="N21" s="40">
        <v>46254</v>
      </c>
      <c r="O21" s="40">
        <v>46255</v>
      </c>
      <c r="P21" s="39">
        <v>2</v>
      </c>
      <c r="Q21" s="50" t="s">
        <v>1814</v>
      </c>
      <c r="R21" s="51">
        <v>46256</v>
      </c>
      <c r="S21" s="51">
        <v>46256</v>
      </c>
      <c r="T21" s="50">
        <v>1</v>
      </c>
      <c r="U21" s="18" t="s">
        <v>123</v>
      </c>
      <c r="V21" s="27" t="s">
        <v>185</v>
      </c>
    </row>
    <row r="22" spans="1:22" x14ac:dyDescent="0.3">
      <c r="A22" s="24" t="s">
        <v>1838</v>
      </c>
      <c r="B22" s="18" t="s">
        <v>186</v>
      </c>
      <c r="C22" s="18" t="s">
        <v>34</v>
      </c>
      <c r="D22" s="18" t="s">
        <v>6</v>
      </c>
      <c r="E22" s="164" t="s">
        <v>3915</v>
      </c>
      <c r="F22" s="18" t="s">
        <v>117</v>
      </c>
      <c r="G22" s="43">
        <v>46277</v>
      </c>
      <c r="H22" s="54">
        <v>46275</v>
      </c>
      <c r="I22" s="35" t="s">
        <v>188</v>
      </c>
      <c r="J22" s="36">
        <v>46270</v>
      </c>
      <c r="K22" s="36">
        <v>46272</v>
      </c>
      <c r="L22" s="35">
        <v>3</v>
      </c>
      <c r="M22" s="39" t="s">
        <v>189</v>
      </c>
      <c r="N22" s="40">
        <v>46273</v>
      </c>
      <c r="O22" s="40">
        <v>46274</v>
      </c>
      <c r="P22" s="39">
        <v>2</v>
      </c>
      <c r="Q22" s="50" t="s">
        <v>1816</v>
      </c>
      <c r="R22" s="51">
        <v>46275</v>
      </c>
      <c r="S22" s="51">
        <v>46275</v>
      </c>
      <c r="T22" s="50">
        <v>1</v>
      </c>
      <c r="U22" s="18"/>
      <c r="V22" s="27" t="s">
        <v>344</v>
      </c>
    </row>
    <row r="23" spans="1:22" x14ac:dyDescent="0.3">
      <c r="A23" s="24" t="s">
        <v>1839</v>
      </c>
      <c r="B23" s="18" t="s">
        <v>190</v>
      </c>
      <c r="C23" s="18" t="s">
        <v>44</v>
      </c>
      <c r="D23" s="18" t="s">
        <v>7</v>
      </c>
      <c r="E23" s="164" t="s">
        <v>3915</v>
      </c>
      <c r="F23" s="18" t="s">
        <v>117</v>
      </c>
      <c r="G23" s="43">
        <v>46281</v>
      </c>
      <c r="H23" s="54">
        <v>46279</v>
      </c>
      <c r="I23" s="35" t="s">
        <v>192</v>
      </c>
      <c r="J23" s="36">
        <v>46274</v>
      </c>
      <c r="K23" s="36">
        <v>46276</v>
      </c>
      <c r="L23" s="35">
        <v>3</v>
      </c>
      <c r="M23" s="39" t="s">
        <v>193</v>
      </c>
      <c r="N23" s="40">
        <v>46277</v>
      </c>
      <c r="O23" s="40">
        <v>46278</v>
      </c>
      <c r="P23" s="39">
        <v>2</v>
      </c>
      <c r="Q23" s="50" t="s">
        <v>1818</v>
      </c>
      <c r="R23" s="51">
        <v>46279</v>
      </c>
      <c r="S23" s="51">
        <v>46279</v>
      </c>
      <c r="T23" s="50">
        <v>1</v>
      </c>
      <c r="U23" s="18" t="s">
        <v>123</v>
      </c>
      <c r="V23" s="27" t="s">
        <v>194</v>
      </c>
    </row>
    <row r="24" spans="1:22" x14ac:dyDescent="0.3">
      <c r="A24" s="24" t="s">
        <v>1840</v>
      </c>
      <c r="B24" s="18" t="s">
        <v>195</v>
      </c>
      <c r="C24" s="18" t="s">
        <v>55</v>
      </c>
      <c r="D24" s="18" t="s">
        <v>8</v>
      </c>
      <c r="E24" s="164" t="s">
        <v>3915</v>
      </c>
      <c r="F24" s="18" t="s">
        <v>117</v>
      </c>
      <c r="G24" s="43">
        <v>46285</v>
      </c>
      <c r="H24" s="54">
        <v>46283</v>
      </c>
      <c r="I24" s="35" t="s">
        <v>138</v>
      </c>
      <c r="J24" s="36">
        <v>46278</v>
      </c>
      <c r="K24" s="36">
        <v>46280</v>
      </c>
      <c r="L24" s="35">
        <v>3</v>
      </c>
      <c r="M24" s="39" t="s">
        <v>139</v>
      </c>
      <c r="N24" s="40">
        <v>46281</v>
      </c>
      <c r="O24" s="40">
        <v>46282</v>
      </c>
      <c r="P24" s="39">
        <v>2</v>
      </c>
      <c r="Q24" s="50" t="s">
        <v>1820</v>
      </c>
      <c r="R24" s="51">
        <v>46283</v>
      </c>
      <c r="S24" s="51">
        <v>46283</v>
      </c>
      <c r="T24" s="50">
        <v>1</v>
      </c>
      <c r="U24" s="18"/>
      <c r="V24" s="27" t="s">
        <v>345</v>
      </c>
    </row>
    <row r="25" spans="1:22" x14ac:dyDescent="0.3">
      <c r="A25" s="24" t="s">
        <v>1841</v>
      </c>
      <c r="B25" s="18" t="s">
        <v>197</v>
      </c>
      <c r="C25" s="18" t="s">
        <v>66</v>
      </c>
      <c r="D25" s="18" t="s">
        <v>9</v>
      </c>
      <c r="E25" s="164" t="str" cm="1">
        <f t="array" ref="E25">IFERROR(_xlfn.TEXTJOIN(CHAR(10),TRUE,_xlfn._xlws.FILTER(#REF!&amp;": "&amp;#REF!,#REF!=$A25,"")),"")</f>
        <v/>
      </c>
      <c r="F25" s="18" t="s">
        <v>117</v>
      </c>
      <c r="G25" s="43">
        <v>46283</v>
      </c>
      <c r="H25" s="54">
        <v>46281</v>
      </c>
      <c r="I25" s="35" t="s">
        <v>192</v>
      </c>
      <c r="J25" s="36">
        <v>46276</v>
      </c>
      <c r="K25" s="36">
        <v>46278</v>
      </c>
      <c r="L25" s="35">
        <v>3</v>
      </c>
      <c r="M25" s="39" t="s">
        <v>193</v>
      </c>
      <c r="N25" s="40">
        <v>46279</v>
      </c>
      <c r="O25" s="40">
        <v>46280</v>
      </c>
      <c r="P25" s="39">
        <v>2</v>
      </c>
      <c r="Q25" s="50" t="s">
        <v>1822</v>
      </c>
      <c r="R25" s="51">
        <v>46281</v>
      </c>
      <c r="S25" s="51">
        <v>46281</v>
      </c>
      <c r="T25" s="50">
        <v>1</v>
      </c>
      <c r="U25" s="18" t="s">
        <v>123</v>
      </c>
      <c r="V25" s="27" t="s">
        <v>199</v>
      </c>
    </row>
    <row r="26" spans="1:22" x14ac:dyDescent="0.3">
      <c r="A26" s="24" t="s">
        <v>1842</v>
      </c>
      <c r="B26" s="18" t="s">
        <v>200</v>
      </c>
      <c r="C26" s="18" t="s">
        <v>75</v>
      </c>
      <c r="D26" s="18" t="s">
        <v>10</v>
      </c>
      <c r="E26" s="164" t="s">
        <v>3915</v>
      </c>
      <c r="F26" s="18" t="s">
        <v>127</v>
      </c>
      <c r="G26" s="43">
        <v>46260</v>
      </c>
      <c r="H26" s="54">
        <v>46258</v>
      </c>
      <c r="I26" s="35" t="s">
        <v>173</v>
      </c>
      <c r="J26" s="36">
        <v>46247</v>
      </c>
      <c r="K26" s="36">
        <v>46251</v>
      </c>
      <c r="L26" s="35">
        <v>5</v>
      </c>
      <c r="M26" s="39" t="s">
        <v>144</v>
      </c>
      <c r="N26" s="40">
        <v>46252</v>
      </c>
      <c r="O26" s="40">
        <v>46254</v>
      </c>
      <c r="P26" s="39">
        <v>3</v>
      </c>
      <c r="Q26" s="50" t="s">
        <v>1824</v>
      </c>
      <c r="R26" s="51">
        <v>46255</v>
      </c>
      <c r="S26" s="51">
        <v>46256</v>
      </c>
      <c r="T26" s="50">
        <v>2</v>
      </c>
      <c r="U26" s="18" t="s">
        <v>123</v>
      </c>
      <c r="V26" s="27" t="s">
        <v>180</v>
      </c>
    </row>
    <row r="27" spans="1:22" x14ac:dyDescent="0.3">
      <c r="A27" s="24" t="s">
        <v>1843</v>
      </c>
      <c r="B27" s="18" t="s">
        <v>202</v>
      </c>
      <c r="C27" s="18" t="s">
        <v>88</v>
      </c>
      <c r="D27" s="18" t="s">
        <v>11</v>
      </c>
      <c r="E27" s="164" t="s">
        <v>3915</v>
      </c>
      <c r="F27" s="18" t="s">
        <v>127</v>
      </c>
      <c r="G27" s="43">
        <v>46299</v>
      </c>
      <c r="H27" s="54">
        <v>46297</v>
      </c>
      <c r="I27" s="35" t="s">
        <v>204</v>
      </c>
      <c r="J27" s="36">
        <v>46286</v>
      </c>
      <c r="K27" s="36">
        <v>46290</v>
      </c>
      <c r="L27" s="35">
        <v>5</v>
      </c>
      <c r="M27" s="39" t="s">
        <v>205</v>
      </c>
      <c r="N27" s="40">
        <v>46291</v>
      </c>
      <c r="O27" s="40">
        <v>46293</v>
      </c>
      <c r="P27" s="39">
        <v>3</v>
      </c>
      <c r="Q27" s="50" t="s">
        <v>1826</v>
      </c>
      <c r="R27" s="51">
        <v>46294</v>
      </c>
      <c r="S27" s="51">
        <v>46295</v>
      </c>
      <c r="T27" s="50">
        <v>2</v>
      </c>
      <c r="U27" s="18" t="s">
        <v>123</v>
      </c>
      <c r="V27" s="27" t="s">
        <v>206</v>
      </c>
    </row>
    <row r="28" spans="1:22" x14ac:dyDescent="0.3">
      <c r="A28" s="24" t="s">
        <v>1844</v>
      </c>
      <c r="B28" s="18" t="s">
        <v>207</v>
      </c>
      <c r="C28" s="18" t="s">
        <v>97</v>
      </c>
      <c r="D28" s="18" t="s">
        <v>12</v>
      </c>
      <c r="E28" s="164" t="s">
        <v>3915</v>
      </c>
      <c r="F28" s="18" t="s">
        <v>117</v>
      </c>
      <c r="G28" s="43">
        <v>46303</v>
      </c>
      <c r="H28" s="54">
        <v>46301</v>
      </c>
      <c r="I28" s="35" t="s">
        <v>155</v>
      </c>
      <c r="J28" s="36">
        <v>46296</v>
      </c>
      <c r="K28" s="36">
        <v>46298</v>
      </c>
      <c r="L28" s="35">
        <v>3</v>
      </c>
      <c r="M28" s="39" t="s">
        <v>156</v>
      </c>
      <c r="N28" s="40">
        <v>46299</v>
      </c>
      <c r="O28" s="40">
        <v>46300</v>
      </c>
      <c r="P28" s="39">
        <v>2</v>
      </c>
      <c r="Q28" s="50" t="s">
        <v>1828</v>
      </c>
      <c r="R28" s="51">
        <v>46301</v>
      </c>
      <c r="S28" s="51">
        <v>46301</v>
      </c>
      <c r="T28" s="50">
        <v>1</v>
      </c>
      <c r="U28" s="18"/>
      <c r="V28" s="27" t="s">
        <v>346</v>
      </c>
    </row>
    <row r="29" spans="1:22" x14ac:dyDescent="0.3">
      <c r="A29" s="24" t="s">
        <v>1845</v>
      </c>
      <c r="B29" s="18" t="s">
        <v>209</v>
      </c>
      <c r="C29" s="18" t="s">
        <v>17</v>
      </c>
      <c r="D29" s="18" t="s">
        <v>5</v>
      </c>
      <c r="E29" s="164" t="str" cm="1">
        <f t="array" ref="E29">IFERROR(_xlfn.TEXTJOIN(CHAR(10),TRUE,_xlfn._xlws.FILTER(#REF!&amp;": "&amp;#REF!,#REF!=$A29,"")),"")</f>
        <v/>
      </c>
      <c r="F29" s="18" t="s">
        <v>127</v>
      </c>
      <c r="G29" s="43">
        <v>46307</v>
      </c>
      <c r="H29" s="54">
        <v>46305</v>
      </c>
      <c r="I29" s="35" t="s">
        <v>159</v>
      </c>
      <c r="J29" s="36">
        <v>46294</v>
      </c>
      <c r="K29" s="36">
        <v>46298</v>
      </c>
      <c r="L29" s="35">
        <v>5</v>
      </c>
      <c r="M29" s="39" t="s">
        <v>211</v>
      </c>
      <c r="N29" s="40">
        <v>46299</v>
      </c>
      <c r="O29" s="40">
        <v>46301</v>
      </c>
      <c r="P29" s="39">
        <v>3</v>
      </c>
      <c r="Q29" s="50" t="s">
        <v>1814</v>
      </c>
      <c r="R29" s="51">
        <v>46302</v>
      </c>
      <c r="S29" s="51">
        <v>46303</v>
      </c>
      <c r="T29" s="50">
        <v>2</v>
      </c>
      <c r="U29" s="18"/>
      <c r="V29" s="27" t="s">
        <v>347</v>
      </c>
    </row>
    <row r="30" spans="1:22" x14ac:dyDescent="0.3">
      <c r="A30" s="24" t="s">
        <v>1846</v>
      </c>
      <c r="B30" s="18" t="s">
        <v>212</v>
      </c>
      <c r="C30" s="18" t="s">
        <v>38</v>
      </c>
      <c r="D30" s="18" t="s">
        <v>6</v>
      </c>
      <c r="E30" s="164" t="s">
        <v>3915</v>
      </c>
      <c r="F30" s="18" t="s">
        <v>127</v>
      </c>
      <c r="G30" s="43">
        <v>46285</v>
      </c>
      <c r="H30" s="54">
        <v>46283</v>
      </c>
      <c r="I30" s="35" t="s">
        <v>192</v>
      </c>
      <c r="J30" s="36">
        <v>46272</v>
      </c>
      <c r="K30" s="36">
        <v>46276</v>
      </c>
      <c r="L30" s="35">
        <v>5</v>
      </c>
      <c r="M30" s="39" t="s">
        <v>193</v>
      </c>
      <c r="N30" s="40">
        <v>46277</v>
      </c>
      <c r="O30" s="40">
        <v>46279</v>
      </c>
      <c r="P30" s="39">
        <v>3</v>
      </c>
      <c r="Q30" s="50" t="s">
        <v>1816</v>
      </c>
      <c r="R30" s="51">
        <v>46280</v>
      </c>
      <c r="S30" s="51">
        <v>46281</v>
      </c>
      <c r="T30" s="50">
        <v>2</v>
      </c>
      <c r="U30" s="18" t="s">
        <v>123</v>
      </c>
      <c r="V30" s="27" t="s">
        <v>194</v>
      </c>
    </row>
    <row r="31" spans="1:22" x14ac:dyDescent="0.3">
      <c r="A31" s="24" t="s">
        <v>1847</v>
      </c>
      <c r="B31" s="18" t="s">
        <v>214</v>
      </c>
      <c r="C31" s="18" t="s">
        <v>43</v>
      </c>
      <c r="D31" s="18" t="s">
        <v>7</v>
      </c>
      <c r="E31" s="164" t="s">
        <v>3915</v>
      </c>
      <c r="F31" s="18" t="s">
        <v>117</v>
      </c>
      <c r="G31" s="43">
        <v>46301</v>
      </c>
      <c r="H31" s="54">
        <v>46299</v>
      </c>
      <c r="I31" s="35" t="s">
        <v>204</v>
      </c>
      <c r="J31" s="36">
        <v>46294</v>
      </c>
      <c r="K31" s="36">
        <v>46296</v>
      </c>
      <c r="L31" s="35">
        <v>3</v>
      </c>
      <c r="M31" s="39" t="s">
        <v>205</v>
      </c>
      <c r="N31" s="40">
        <v>46297</v>
      </c>
      <c r="O31" s="40">
        <v>46298</v>
      </c>
      <c r="P31" s="39">
        <v>2</v>
      </c>
      <c r="Q31" s="50" t="s">
        <v>1818</v>
      </c>
      <c r="R31" s="51">
        <v>46299</v>
      </c>
      <c r="S31" s="51">
        <v>46299</v>
      </c>
      <c r="T31" s="50">
        <v>1</v>
      </c>
      <c r="U31" s="18" t="s">
        <v>123</v>
      </c>
      <c r="V31" s="27" t="s">
        <v>216</v>
      </c>
    </row>
    <row r="32" spans="1:22" x14ac:dyDescent="0.3">
      <c r="A32" s="24" t="s">
        <v>1848</v>
      </c>
      <c r="B32" s="18" t="s">
        <v>217</v>
      </c>
      <c r="C32" s="18" t="s">
        <v>53</v>
      </c>
      <c r="D32" s="18" t="s">
        <v>8</v>
      </c>
      <c r="E32" s="164" t="s">
        <v>3915</v>
      </c>
      <c r="F32" s="18" t="s">
        <v>163</v>
      </c>
      <c r="G32" s="43">
        <v>46319</v>
      </c>
      <c r="H32" s="54">
        <v>46316</v>
      </c>
      <c r="I32" s="35" t="s">
        <v>138</v>
      </c>
      <c r="J32" s="36">
        <v>46293</v>
      </c>
      <c r="K32" s="36">
        <v>46302</v>
      </c>
      <c r="L32" s="35">
        <v>10</v>
      </c>
      <c r="M32" s="39" t="s">
        <v>139</v>
      </c>
      <c r="N32" s="40">
        <v>46303</v>
      </c>
      <c r="O32" s="40">
        <v>46307</v>
      </c>
      <c r="P32" s="39">
        <v>5</v>
      </c>
      <c r="Q32" s="50" t="s">
        <v>1820</v>
      </c>
      <c r="R32" s="51">
        <v>46309</v>
      </c>
      <c r="S32" s="51">
        <v>46312</v>
      </c>
      <c r="T32" s="50">
        <v>4</v>
      </c>
      <c r="U32" s="18"/>
      <c r="V32" s="27" t="s">
        <v>348</v>
      </c>
    </row>
    <row r="33" spans="1:22" x14ac:dyDescent="0.3">
      <c r="A33" s="24" t="s">
        <v>1849</v>
      </c>
      <c r="B33" s="18" t="s">
        <v>219</v>
      </c>
      <c r="C33" s="18" t="s">
        <v>70</v>
      </c>
      <c r="D33" s="18" t="s">
        <v>9</v>
      </c>
      <c r="E33" s="164" t="str" cm="1">
        <f t="array" ref="E33">IFERROR(_xlfn.TEXTJOIN(CHAR(10),TRUE,_xlfn._xlws.FILTER(#REF!&amp;": "&amp;#REF!,#REF!=$A33,"")),"")</f>
        <v/>
      </c>
      <c r="F33" s="18" t="s">
        <v>127</v>
      </c>
      <c r="G33" s="43">
        <v>46326</v>
      </c>
      <c r="H33" s="54">
        <v>46324</v>
      </c>
      <c r="I33" s="35" t="s">
        <v>173</v>
      </c>
      <c r="J33" s="36">
        <v>46313</v>
      </c>
      <c r="K33" s="36">
        <v>46317</v>
      </c>
      <c r="L33" s="35">
        <v>5</v>
      </c>
      <c r="M33" s="39" t="s">
        <v>144</v>
      </c>
      <c r="N33" s="40">
        <v>46318</v>
      </c>
      <c r="O33" s="40">
        <v>46320</v>
      </c>
      <c r="P33" s="39">
        <v>3</v>
      </c>
      <c r="Q33" s="50" t="s">
        <v>1822</v>
      </c>
      <c r="R33" s="51">
        <v>46321</v>
      </c>
      <c r="S33" s="51">
        <v>46322</v>
      </c>
      <c r="T33" s="50">
        <v>2</v>
      </c>
      <c r="U33" s="18"/>
      <c r="V33" s="27" t="s">
        <v>349</v>
      </c>
    </row>
    <row r="34" spans="1:22" x14ac:dyDescent="0.3">
      <c r="A34" s="24" t="s">
        <v>1850</v>
      </c>
      <c r="B34" s="18" t="s">
        <v>221</v>
      </c>
      <c r="C34" s="18" t="s">
        <v>80</v>
      </c>
      <c r="D34" s="18" t="s">
        <v>10</v>
      </c>
      <c r="E34" s="164" t="s">
        <v>3915</v>
      </c>
      <c r="F34" s="18" t="s">
        <v>127</v>
      </c>
      <c r="G34" s="43">
        <v>46330</v>
      </c>
      <c r="H34" s="54">
        <v>46328</v>
      </c>
      <c r="I34" s="35" t="s">
        <v>223</v>
      </c>
      <c r="J34" s="36">
        <v>46317</v>
      </c>
      <c r="K34" s="36">
        <v>46321</v>
      </c>
      <c r="L34" s="35">
        <v>5</v>
      </c>
      <c r="M34" s="39" t="s">
        <v>149</v>
      </c>
      <c r="N34" s="40">
        <v>46322</v>
      </c>
      <c r="O34" s="40">
        <v>46324</v>
      </c>
      <c r="P34" s="39">
        <v>3</v>
      </c>
      <c r="Q34" s="50" t="s">
        <v>1824</v>
      </c>
      <c r="R34" s="51">
        <v>46325</v>
      </c>
      <c r="S34" s="51">
        <v>46326</v>
      </c>
      <c r="T34" s="50">
        <v>2</v>
      </c>
      <c r="U34" s="18"/>
      <c r="V34" s="27" t="s">
        <v>350</v>
      </c>
    </row>
    <row r="35" spans="1:22" x14ac:dyDescent="0.3">
      <c r="A35" s="24" t="s">
        <v>1851</v>
      </c>
      <c r="B35" s="18" t="s">
        <v>224</v>
      </c>
      <c r="C35" s="18" t="s">
        <v>84</v>
      </c>
      <c r="D35" s="18" t="s">
        <v>11</v>
      </c>
      <c r="E35" s="164" t="s">
        <v>3915</v>
      </c>
      <c r="F35" s="18" t="s">
        <v>117</v>
      </c>
      <c r="G35" s="43">
        <v>46334</v>
      </c>
      <c r="H35" s="54">
        <v>46332</v>
      </c>
      <c r="I35" s="35" t="s">
        <v>204</v>
      </c>
      <c r="J35" s="36">
        <v>46327</v>
      </c>
      <c r="K35" s="36">
        <v>46329</v>
      </c>
      <c r="L35" s="35">
        <v>3</v>
      </c>
      <c r="M35" s="39" t="s">
        <v>205</v>
      </c>
      <c r="N35" s="40">
        <v>46330</v>
      </c>
      <c r="O35" s="40">
        <v>46331</v>
      </c>
      <c r="P35" s="39">
        <v>2</v>
      </c>
      <c r="Q35" s="50" t="s">
        <v>1826</v>
      </c>
      <c r="R35" s="51">
        <v>46332</v>
      </c>
      <c r="S35" s="51">
        <v>46332</v>
      </c>
      <c r="T35" s="50">
        <v>1</v>
      </c>
      <c r="U35" s="18"/>
      <c r="V35" s="27" t="s">
        <v>351</v>
      </c>
    </row>
    <row r="36" spans="1:22" x14ac:dyDescent="0.3">
      <c r="A36" s="24" t="s">
        <v>1852</v>
      </c>
      <c r="B36" s="18" t="s">
        <v>226</v>
      </c>
      <c r="C36" s="18" t="s">
        <v>93</v>
      </c>
      <c r="D36" s="18" t="s">
        <v>12</v>
      </c>
      <c r="E36" s="164" t="s">
        <v>3915</v>
      </c>
      <c r="F36" s="18" t="s">
        <v>117</v>
      </c>
      <c r="G36" s="43">
        <v>46338</v>
      </c>
      <c r="H36" s="54">
        <v>46336</v>
      </c>
      <c r="I36" s="35" t="s">
        <v>155</v>
      </c>
      <c r="J36" s="36">
        <v>46331</v>
      </c>
      <c r="K36" s="36">
        <v>46333</v>
      </c>
      <c r="L36" s="35">
        <v>3</v>
      </c>
      <c r="M36" s="39" t="s">
        <v>156</v>
      </c>
      <c r="N36" s="40">
        <v>46334</v>
      </c>
      <c r="O36" s="40">
        <v>46335</v>
      </c>
      <c r="P36" s="39">
        <v>2</v>
      </c>
      <c r="Q36" s="50" t="s">
        <v>1828</v>
      </c>
      <c r="R36" s="51">
        <v>46336</v>
      </c>
      <c r="S36" s="51">
        <v>46336</v>
      </c>
      <c r="T36" s="50">
        <v>1</v>
      </c>
      <c r="U36" s="18"/>
      <c r="V36" s="27" t="s">
        <v>341</v>
      </c>
    </row>
    <row r="37" spans="1:22" x14ac:dyDescent="0.3">
      <c r="A37" s="24" t="s">
        <v>1853</v>
      </c>
      <c r="B37" s="18" t="s">
        <v>228</v>
      </c>
      <c r="C37" s="18" t="s">
        <v>15</v>
      </c>
      <c r="D37" s="18" t="s">
        <v>5</v>
      </c>
      <c r="E37" s="164" t="str" cm="1">
        <f t="array" ref="E37">IFERROR(_xlfn.TEXTJOIN(CHAR(10),TRUE,_xlfn._xlws.FILTER(#REF!&amp;": "&amp;#REF!,#REF!=$A37,"")),"")</f>
        <v/>
      </c>
      <c r="F37" s="18" t="s">
        <v>163</v>
      </c>
      <c r="G37" s="43">
        <v>46342</v>
      </c>
      <c r="H37" s="54">
        <v>46339</v>
      </c>
      <c r="I37" s="35" t="s">
        <v>120</v>
      </c>
      <c r="J37" s="36">
        <v>46316</v>
      </c>
      <c r="K37" s="36">
        <v>46325</v>
      </c>
      <c r="L37" s="35">
        <v>10</v>
      </c>
      <c r="M37" s="39" t="s">
        <v>121</v>
      </c>
      <c r="N37" s="40">
        <v>46326</v>
      </c>
      <c r="O37" s="40">
        <v>46330</v>
      </c>
      <c r="P37" s="39">
        <v>5</v>
      </c>
      <c r="Q37" s="50" t="s">
        <v>1814</v>
      </c>
      <c r="R37" s="51">
        <v>46332</v>
      </c>
      <c r="S37" s="51">
        <v>46335</v>
      </c>
      <c r="T37" s="50">
        <v>4</v>
      </c>
      <c r="U37" s="18"/>
      <c r="V37" s="27" t="s">
        <v>349</v>
      </c>
    </row>
    <row r="38" spans="1:22" x14ac:dyDescent="0.3">
      <c r="A38" s="24" t="s">
        <v>1854</v>
      </c>
      <c r="B38" s="18" t="s">
        <v>230</v>
      </c>
      <c r="C38" s="18" t="s">
        <v>36</v>
      </c>
      <c r="D38" s="18" t="s">
        <v>6</v>
      </c>
      <c r="E38" s="164" t="s">
        <v>3915</v>
      </c>
      <c r="F38" s="18" t="s">
        <v>127</v>
      </c>
      <c r="G38" s="43">
        <v>46346</v>
      </c>
      <c r="H38" s="54">
        <v>46344</v>
      </c>
      <c r="I38" s="35" t="s">
        <v>130</v>
      </c>
      <c r="J38" s="36">
        <v>46333</v>
      </c>
      <c r="K38" s="36">
        <v>46337</v>
      </c>
      <c r="L38" s="35">
        <v>5</v>
      </c>
      <c r="M38" s="39" t="s">
        <v>131</v>
      </c>
      <c r="N38" s="40">
        <v>46338</v>
      </c>
      <c r="O38" s="40">
        <v>46340</v>
      </c>
      <c r="P38" s="39">
        <v>3</v>
      </c>
      <c r="Q38" s="50" t="s">
        <v>1816</v>
      </c>
      <c r="R38" s="51">
        <v>46341</v>
      </c>
      <c r="S38" s="51">
        <v>46342</v>
      </c>
      <c r="T38" s="50">
        <v>2</v>
      </c>
      <c r="U38" s="18"/>
      <c r="V38" s="27" t="s">
        <v>339</v>
      </c>
    </row>
    <row r="39" spans="1:22" x14ac:dyDescent="0.3">
      <c r="A39" s="24" t="s">
        <v>1855</v>
      </c>
      <c r="B39" s="18" t="s">
        <v>232</v>
      </c>
      <c r="C39" s="18" t="s">
        <v>44</v>
      </c>
      <c r="D39" s="18" t="s">
        <v>7</v>
      </c>
      <c r="E39" s="164" t="s">
        <v>3915</v>
      </c>
      <c r="F39" s="18" t="s">
        <v>117</v>
      </c>
      <c r="G39" s="43">
        <v>46350</v>
      </c>
      <c r="H39" s="54">
        <v>46348</v>
      </c>
      <c r="I39" s="35" t="s">
        <v>192</v>
      </c>
      <c r="J39" s="36">
        <v>46343</v>
      </c>
      <c r="K39" s="36">
        <v>46345</v>
      </c>
      <c r="L39" s="35">
        <v>3</v>
      </c>
      <c r="M39" s="39" t="s">
        <v>193</v>
      </c>
      <c r="N39" s="40">
        <v>46346</v>
      </c>
      <c r="O39" s="40">
        <v>46347</v>
      </c>
      <c r="P39" s="39">
        <v>2</v>
      </c>
      <c r="Q39" s="50" t="s">
        <v>1818</v>
      </c>
      <c r="R39" s="51">
        <v>46348</v>
      </c>
      <c r="S39" s="51">
        <v>46348</v>
      </c>
      <c r="T39" s="50">
        <v>1</v>
      </c>
      <c r="U39" s="18"/>
      <c r="V39" s="27" t="s">
        <v>343</v>
      </c>
    </row>
    <row r="40" spans="1:22" x14ac:dyDescent="0.3">
      <c r="A40" s="24" t="s">
        <v>1856</v>
      </c>
      <c r="B40" s="18" t="s">
        <v>234</v>
      </c>
      <c r="C40" s="18" t="s">
        <v>59</v>
      </c>
      <c r="D40" s="18" t="s">
        <v>8</v>
      </c>
      <c r="E40" s="164" t="s">
        <v>3915</v>
      </c>
      <c r="F40" s="18" t="s">
        <v>117</v>
      </c>
      <c r="G40" s="43">
        <v>46356</v>
      </c>
      <c r="H40" s="54">
        <v>46354</v>
      </c>
      <c r="I40" s="35" t="s">
        <v>138</v>
      </c>
      <c r="J40" s="36">
        <v>46349</v>
      </c>
      <c r="K40" s="36">
        <v>46351</v>
      </c>
      <c r="L40" s="35">
        <v>3</v>
      </c>
      <c r="M40" s="39" t="s">
        <v>139</v>
      </c>
      <c r="N40" s="40">
        <v>46352</v>
      </c>
      <c r="O40" s="40">
        <v>46353</v>
      </c>
      <c r="P40" s="39">
        <v>2</v>
      </c>
      <c r="Q40" s="50" t="s">
        <v>1820</v>
      </c>
      <c r="R40" s="51">
        <v>46354</v>
      </c>
      <c r="S40" s="51">
        <v>46354</v>
      </c>
      <c r="T40" s="50">
        <v>1</v>
      </c>
      <c r="U40" s="18"/>
      <c r="V40" s="27" t="s">
        <v>342</v>
      </c>
    </row>
    <row r="41" spans="1:22" x14ac:dyDescent="0.3">
      <c r="A41" s="24" t="s">
        <v>1857</v>
      </c>
      <c r="B41" s="18" t="s">
        <v>236</v>
      </c>
      <c r="C41" s="18" t="s">
        <v>67</v>
      </c>
      <c r="D41" s="18" t="s">
        <v>9</v>
      </c>
      <c r="E41" s="164" t="str" cm="1">
        <f t="array" ref="E41">IFERROR(_xlfn.TEXTJOIN(CHAR(10),TRUE,_xlfn._xlws.FILTER(#REF!&amp;": "&amp;#REF!,#REF!=$A41,"")),"")</f>
        <v/>
      </c>
      <c r="F41" s="18" t="s">
        <v>163</v>
      </c>
      <c r="G41" s="43">
        <v>46360</v>
      </c>
      <c r="H41" s="54">
        <v>46357</v>
      </c>
      <c r="I41" s="35" t="s">
        <v>173</v>
      </c>
      <c r="J41" s="36">
        <v>46334</v>
      </c>
      <c r="K41" s="36">
        <v>46343</v>
      </c>
      <c r="L41" s="35">
        <v>10</v>
      </c>
      <c r="M41" s="39" t="s">
        <v>238</v>
      </c>
      <c r="N41" s="40">
        <v>46344</v>
      </c>
      <c r="O41" s="40">
        <v>46348</v>
      </c>
      <c r="P41" s="39">
        <v>5</v>
      </c>
      <c r="Q41" s="50" t="s">
        <v>1822</v>
      </c>
      <c r="R41" s="51">
        <v>46350</v>
      </c>
      <c r="S41" s="51">
        <v>46353</v>
      </c>
      <c r="T41" s="50">
        <v>4</v>
      </c>
      <c r="U41" s="18"/>
      <c r="V41" s="27" t="s">
        <v>352</v>
      </c>
    </row>
    <row r="42" spans="1:22" x14ac:dyDescent="0.3">
      <c r="A42" s="24" t="s">
        <v>1858</v>
      </c>
      <c r="B42" s="18" t="s">
        <v>239</v>
      </c>
      <c r="C42" s="18" t="s">
        <v>74</v>
      </c>
      <c r="D42" s="18" t="s">
        <v>10</v>
      </c>
      <c r="E42" s="164" t="s">
        <v>3915</v>
      </c>
      <c r="F42" s="18" t="s">
        <v>117</v>
      </c>
      <c r="G42" s="43">
        <v>46364</v>
      </c>
      <c r="H42" s="54">
        <v>46362</v>
      </c>
      <c r="I42" s="35" t="s">
        <v>223</v>
      </c>
      <c r="J42" s="36">
        <v>46357</v>
      </c>
      <c r="K42" s="36">
        <v>46359</v>
      </c>
      <c r="L42" s="35">
        <v>3</v>
      </c>
      <c r="M42" s="39" t="s">
        <v>241</v>
      </c>
      <c r="N42" s="40">
        <v>46360</v>
      </c>
      <c r="O42" s="40">
        <v>46361</v>
      </c>
      <c r="P42" s="39">
        <v>2</v>
      </c>
      <c r="Q42" s="50" t="s">
        <v>1824</v>
      </c>
      <c r="R42" s="51">
        <v>46362</v>
      </c>
      <c r="S42" s="51">
        <v>46362</v>
      </c>
      <c r="T42" s="50">
        <v>1</v>
      </c>
      <c r="U42" s="18"/>
      <c r="V42" s="27" t="s">
        <v>350</v>
      </c>
    </row>
    <row r="43" spans="1:22" x14ac:dyDescent="0.3">
      <c r="A43" s="24" t="s">
        <v>1859</v>
      </c>
      <c r="B43" s="18" t="s">
        <v>242</v>
      </c>
      <c r="C43" s="18" t="s">
        <v>90</v>
      </c>
      <c r="D43" s="18" t="s">
        <v>11</v>
      </c>
      <c r="E43" s="164" t="s">
        <v>3915</v>
      </c>
      <c r="F43" s="18" t="s">
        <v>163</v>
      </c>
      <c r="G43" s="43">
        <v>46368</v>
      </c>
      <c r="H43" s="54">
        <v>46365</v>
      </c>
      <c r="I43" s="35" t="s">
        <v>244</v>
      </c>
      <c r="J43" s="36">
        <v>46342</v>
      </c>
      <c r="K43" s="36">
        <v>46351</v>
      </c>
      <c r="L43" s="35">
        <v>10</v>
      </c>
      <c r="M43" s="39" t="s">
        <v>245</v>
      </c>
      <c r="N43" s="40">
        <v>46352</v>
      </c>
      <c r="O43" s="40">
        <v>46356</v>
      </c>
      <c r="P43" s="39">
        <v>5</v>
      </c>
      <c r="Q43" s="50" t="s">
        <v>1826</v>
      </c>
      <c r="R43" s="51">
        <v>46358</v>
      </c>
      <c r="S43" s="51">
        <v>46361</v>
      </c>
      <c r="T43" s="50">
        <v>4</v>
      </c>
      <c r="U43" s="18"/>
      <c r="V43" s="27" t="s">
        <v>345</v>
      </c>
    </row>
    <row r="44" spans="1:22" x14ac:dyDescent="0.3">
      <c r="A44" s="24" t="s">
        <v>1860</v>
      </c>
      <c r="B44" s="18" t="s">
        <v>246</v>
      </c>
      <c r="C44" s="18" t="s">
        <v>94</v>
      </c>
      <c r="D44" s="18" t="s">
        <v>12</v>
      </c>
      <c r="E44" s="164" t="s">
        <v>3915</v>
      </c>
      <c r="F44" s="18" t="s">
        <v>117</v>
      </c>
      <c r="G44" s="43">
        <v>46372</v>
      </c>
      <c r="H44" s="54">
        <v>46370</v>
      </c>
      <c r="I44" s="35" t="s">
        <v>248</v>
      </c>
      <c r="J44" s="36">
        <v>46365</v>
      </c>
      <c r="K44" s="36">
        <v>46367</v>
      </c>
      <c r="L44" s="35">
        <v>3</v>
      </c>
      <c r="M44" s="39" t="s">
        <v>156</v>
      </c>
      <c r="N44" s="40">
        <v>46368</v>
      </c>
      <c r="O44" s="40">
        <v>46369</v>
      </c>
      <c r="P44" s="39">
        <v>2</v>
      </c>
      <c r="Q44" s="50" t="s">
        <v>1828</v>
      </c>
      <c r="R44" s="51">
        <v>46370</v>
      </c>
      <c r="S44" s="51">
        <v>46370</v>
      </c>
      <c r="T44" s="50">
        <v>1</v>
      </c>
      <c r="U44" s="18"/>
      <c r="V44" s="27" t="s">
        <v>348</v>
      </c>
    </row>
    <row r="45" spans="1:22" x14ac:dyDescent="0.3">
      <c r="A45" s="24" t="s">
        <v>1861</v>
      </c>
      <c r="B45" s="18" t="s">
        <v>249</v>
      </c>
      <c r="C45" s="18" t="s">
        <v>14</v>
      </c>
      <c r="D45" s="18" t="s">
        <v>5</v>
      </c>
      <c r="E45" s="164" t="str" cm="1">
        <f t="array" ref="E45">IFERROR(_xlfn.TEXTJOIN(CHAR(10),TRUE,_xlfn._xlws.FILTER(#REF!&amp;": "&amp;#REF!,#REF!=$A45,"")),"")</f>
        <v/>
      </c>
      <c r="F45" s="18" t="s">
        <v>117</v>
      </c>
      <c r="G45" s="43">
        <v>46376</v>
      </c>
      <c r="H45" s="54">
        <v>46374</v>
      </c>
      <c r="I45" s="35" t="s">
        <v>120</v>
      </c>
      <c r="J45" s="36">
        <v>46369</v>
      </c>
      <c r="K45" s="36">
        <v>46371</v>
      </c>
      <c r="L45" s="35">
        <v>3</v>
      </c>
      <c r="M45" s="39" t="s">
        <v>121</v>
      </c>
      <c r="N45" s="40">
        <v>46372</v>
      </c>
      <c r="O45" s="40">
        <v>46373</v>
      </c>
      <c r="P45" s="39">
        <v>2</v>
      </c>
      <c r="Q45" s="50" t="s">
        <v>1814</v>
      </c>
      <c r="R45" s="51">
        <v>46374</v>
      </c>
      <c r="S45" s="51">
        <v>46374</v>
      </c>
      <c r="T45" s="50">
        <v>1</v>
      </c>
      <c r="U45" s="18" t="s">
        <v>123</v>
      </c>
      <c r="V45" s="27" t="s">
        <v>353</v>
      </c>
    </row>
    <row r="46" spans="1:22" x14ac:dyDescent="0.3">
      <c r="A46" s="24" t="s">
        <v>1862</v>
      </c>
      <c r="B46" s="18" t="s">
        <v>251</v>
      </c>
      <c r="C46" s="18" t="s">
        <v>34</v>
      </c>
      <c r="D46" s="18" t="s">
        <v>6</v>
      </c>
      <c r="E46" s="164" t="s">
        <v>3915</v>
      </c>
      <c r="F46" s="18" t="s">
        <v>127</v>
      </c>
      <c r="G46" s="43">
        <v>46380</v>
      </c>
      <c r="H46" s="54">
        <v>46378</v>
      </c>
      <c r="I46" s="35" t="s">
        <v>130</v>
      </c>
      <c r="J46" s="36">
        <v>46367</v>
      </c>
      <c r="K46" s="36">
        <v>46371</v>
      </c>
      <c r="L46" s="35">
        <v>5</v>
      </c>
      <c r="M46" s="39" t="s">
        <v>131</v>
      </c>
      <c r="N46" s="40">
        <v>46372</v>
      </c>
      <c r="O46" s="40">
        <v>46374</v>
      </c>
      <c r="P46" s="39">
        <v>3</v>
      </c>
      <c r="Q46" s="50" t="s">
        <v>1816</v>
      </c>
      <c r="R46" s="51">
        <v>46375</v>
      </c>
      <c r="S46" s="51">
        <v>46376</v>
      </c>
      <c r="T46" s="50">
        <v>2</v>
      </c>
      <c r="U46" s="18"/>
      <c r="V46" s="27" t="s">
        <v>339</v>
      </c>
    </row>
    <row r="47" spans="1:22" x14ac:dyDescent="0.3">
      <c r="A47" s="24" t="s">
        <v>1863</v>
      </c>
      <c r="B47" s="18" t="s">
        <v>253</v>
      </c>
      <c r="C47" s="18" t="s">
        <v>45</v>
      </c>
      <c r="D47" s="18" t="s">
        <v>7</v>
      </c>
      <c r="E47" s="164" t="s">
        <v>3915</v>
      </c>
      <c r="F47" s="18" t="s">
        <v>127</v>
      </c>
      <c r="G47" s="43">
        <v>46379</v>
      </c>
      <c r="H47" s="54">
        <v>46377</v>
      </c>
      <c r="I47" s="35" t="s">
        <v>120</v>
      </c>
      <c r="J47" s="36">
        <v>46366</v>
      </c>
      <c r="K47" s="36">
        <v>46370</v>
      </c>
      <c r="L47" s="35">
        <v>5</v>
      </c>
      <c r="M47" s="39" t="s">
        <v>121</v>
      </c>
      <c r="N47" s="40">
        <v>46371</v>
      </c>
      <c r="O47" s="40">
        <v>46373</v>
      </c>
      <c r="P47" s="39">
        <v>3</v>
      </c>
      <c r="Q47" s="50" t="s">
        <v>1818</v>
      </c>
      <c r="R47" s="51">
        <v>46374</v>
      </c>
      <c r="S47" s="51">
        <v>46375</v>
      </c>
      <c r="T47" s="50">
        <v>2</v>
      </c>
      <c r="U47" s="18" t="s">
        <v>123</v>
      </c>
      <c r="V47" s="27" t="s">
        <v>354</v>
      </c>
    </row>
    <row r="48" spans="1:22" x14ac:dyDescent="0.3">
      <c r="A48" s="24" t="s">
        <v>1864</v>
      </c>
      <c r="B48" s="18" t="s">
        <v>255</v>
      </c>
      <c r="C48" s="18" t="s">
        <v>54</v>
      </c>
      <c r="D48" s="18" t="s">
        <v>8</v>
      </c>
      <c r="E48" s="164" t="s">
        <v>3915</v>
      </c>
      <c r="F48" s="18" t="s">
        <v>127</v>
      </c>
      <c r="G48" s="43">
        <v>46391</v>
      </c>
      <c r="H48" s="54">
        <v>46389</v>
      </c>
      <c r="I48" s="35" t="s">
        <v>257</v>
      </c>
      <c r="J48" s="36">
        <v>46378</v>
      </c>
      <c r="K48" s="36">
        <v>46382</v>
      </c>
      <c r="L48" s="35">
        <v>5</v>
      </c>
      <c r="M48" s="39" t="s">
        <v>139</v>
      </c>
      <c r="N48" s="40">
        <v>46383</v>
      </c>
      <c r="O48" s="40">
        <v>46385</v>
      </c>
      <c r="P48" s="39">
        <v>3</v>
      </c>
      <c r="Q48" s="50" t="s">
        <v>1820</v>
      </c>
      <c r="R48" s="51">
        <v>46386</v>
      </c>
      <c r="S48" s="51">
        <v>46387</v>
      </c>
      <c r="T48" s="50">
        <v>2</v>
      </c>
      <c r="U48" s="18"/>
      <c r="V48" s="27" t="s">
        <v>355</v>
      </c>
    </row>
    <row r="49" spans="1:22" x14ac:dyDescent="0.3">
      <c r="A49" s="24" t="s">
        <v>1865</v>
      </c>
      <c r="B49" s="18" t="s">
        <v>258</v>
      </c>
      <c r="C49" s="18" t="s">
        <v>66</v>
      </c>
      <c r="D49" s="18" t="s">
        <v>9</v>
      </c>
      <c r="E49" s="164" t="str" cm="1">
        <f t="array" ref="E49">IFERROR(_xlfn.TEXTJOIN(CHAR(10),TRUE,_xlfn._xlws.FILTER(#REF!&amp;": "&amp;#REF!,#REF!=$A49,"")),"")</f>
        <v/>
      </c>
      <c r="F49" s="18" t="s">
        <v>163</v>
      </c>
      <c r="G49" s="43">
        <v>46395</v>
      </c>
      <c r="H49" s="54">
        <v>46392</v>
      </c>
      <c r="I49" s="35" t="s">
        <v>143</v>
      </c>
      <c r="J49" s="36">
        <v>46369</v>
      </c>
      <c r="K49" s="36">
        <v>46378</v>
      </c>
      <c r="L49" s="35">
        <v>10</v>
      </c>
      <c r="M49" s="39" t="s">
        <v>144</v>
      </c>
      <c r="N49" s="40">
        <v>46379</v>
      </c>
      <c r="O49" s="40">
        <v>46383</v>
      </c>
      <c r="P49" s="39">
        <v>5</v>
      </c>
      <c r="Q49" s="50" t="s">
        <v>1822</v>
      </c>
      <c r="R49" s="51">
        <v>46385</v>
      </c>
      <c r="S49" s="51">
        <v>46388</v>
      </c>
      <c r="T49" s="50">
        <v>4</v>
      </c>
      <c r="U49" s="18"/>
      <c r="V49" s="27" t="s">
        <v>348</v>
      </c>
    </row>
    <row r="50" spans="1:22" x14ac:dyDescent="0.3">
      <c r="A50" s="24" t="s">
        <v>1866</v>
      </c>
      <c r="B50" s="18" t="s">
        <v>260</v>
      </c>
      <c r="C50" s="18" t="s">
        <v>74</v>
      </c>
      <c r="D50" s="18" t="s">
        <v>10</v>
      </c>
      <c r="E50" s="164" t="s">
        <v>3915</v>
      </c>
      <c r="F50" s="18" t="s">
        <v>117</v>
      </c>
      <c r="G50" s="43">
        <v>46399</v>
      </c>
      <c r="H50" s="54">
        <v>46397</v>
      </c>
      <c r="I50" s="35" t="s">
        <v>262</v>
      </c>
      <c r="J50" s="36">
        <v>46392</v>
      </c>
      <c r="K50" s="36">
        <v>46394</v>
      </c>
      <c r="L50" s="35">
        <v>3</v>
      </c>
      <c r="M50" s="39" t="s">
        <v>241</v>
      </c>
      <c r="N50" s="40">
        <v>46395</v>
      </c>
      <c r="O50" s="40">
        <v>46396</v>
      </c>
      <c r="P50" s="39">
        <v>2</v>
      </c>
      <c r="Q50" s="50" t="s">
        <v>1824</v>
      </c>
      <c r="R50" s="51">
        <v>46397</v>
      </c>
      <c r="S50" s="51">
        <v>46397</v>
      </c>
      <c r="T50" s="50">
        <v>1</v>
      </c>
      <c r="U50" s="18"/>
      <c r="V50" s="27" t="s">
        <v>339</v>
      </c>
    </row>
    <row r="51" spans="1:22" x14ac:dyDescent="0.3">
      <c r="A51" s="24" t="s">
        <v>1867</v>
      </c>
      <c r="B51" s="18" t="s">
        <v>263</v>
      </c>
      <c r="C51" s="18" t="s">
        <v>88</v>
      </c>
      <c r="D51" s="18" t="s">
        <v>11</v>
      </c>
      <c r="E51" s="164" t="s">
        <v>3915</v>
      </c>
      <c r="F51" s="18" t="s">
        <v>127</v>
      </c>
      <c r="G51" s="43">
        <v>46403</v>
      </c>
      <c r="H51" s="54">
        <v>46401</v>
      </c>
      <c r="I51" s="35" t="s">
        <v>204</v>
      </c>
      <c r="J51" s="36">
        <v>46390</v>
      </c>
      <c r="K51" s="36">
        <v>46394</v>
      </c>
      <c r="L51" s="35">
        <v>5</v>
      </c>
      <c r="M51" s="39" t="s">
        <v>205</v>
      </c>
      <c r="N51" s="40">
        <v>46395</v>
      </c>
      <c r="O51" s="40">
        <v>46397</v>
      </c>
      <c r="P51" s="39">
        <v>3</v>
      </c>
      <c r="Q51" s="50" t="s">
        <v>1826</v>
      </c>
      <c r="R51" s="51">
        <v>46398</v>
      </c>
      <c r="S51" s="51">
        <v>46399</v>
      </c>
      <c r="T51" s="50">
        <v>2</v>
      </c>
      <c r="U51" s="18"/>
      <c r="V51" s="27" t="s">
        <v>352</v>
      </c>
    </row>
    <row r="52" spans="1:22" x14ac:dyDescent="0.3">
      <c r="A52" s="24" t="s">
        <v>1868</v>
      </c>
      <c r="B52" s="18" t="s">
        <v>265</v>
      </c>
      <c r="C52" s="18" t="s">
        <v>97</v>
      </c>
      <c r="D52" s="18" t="s">
        <v>12</v>
      </c>
      <c r="E52" s="164" t="s">
        <v>3915</v>
      </c>
      <c r="F52" s="18" t="s">
        <v>117</v>
      </c>
      <c r="G52" s="43">
        <v>46407</v>
      </c>
      <c r="H52" s="54">
        <v>46405</v>
      </c>
      <c r="I52" s="35" t="s">
        <v>248</v>
      </c>
      <c r="J52" s="36">
        <v>46400</v>
      </c>
      <c r="K52" s="36">
        <v>46402</v>
      </c>
      <c r="L52" s="35">
        <v>3</v>
      </c>
      <c r="M52" s="39" t="s">
        <v>267</v>
      </c>
      <c r="N52" s="40">
        <v>46403</v>
      </c>
      <c r="O52" s="40">
        <v>46404</v>
      </c>
      <c r="P52" s="39">
        <v>2</v>
      </c>
      <c r="Q52" s="50" t="s">
        <v>1828</v>
      </c>
      <c r="R52" s="51">
        <v>46405</v>
      </c>
      <c r="S52" s="51">
        <v>46405</v>
      </c>
      <c r="T52" s="50">
        <v>1</v>
      </c>
      <c r="U52" s="18"/>
      <c r="V52" s="27" t="s">
        <v>356</v>
      </c>
    </row>
    <row r="53" spans="1:22" x14ac:dyDescent="0.3">
      <c r="A53" s="24" t="s">
        <v>1869</v>
      </c>
      <c r="B53" s="18" t="s">
        <v>268</v>
      </c>
      <c r="C53" s="18" t="s">
        <v>14</v>
      </c>
      <c r="D53" s="18" t="s">
        <v>5</v>
      </c>
      <c r="E53" s="164" t="str" cm="1">
        <f t="array" ref="E53">IFERROR(_xlfn.TEXTJOIN(CHAR(10),TRUE,_xlfn._xlws.FILTER(#REF!&amp;": "&amp;#REF!,#REF!=$A53,"")),"")</f>
        <v/>
      </c>
      <c r="F53" s="18" t="s">
        <v>117</v>
      </c>
      <c r="G53" s="43">
        <v>46411</v>
      </c>
      <c r="H53" s="54">
        <v>46409</v>
      </c>
      <c r="I53" s="35" t="s">
        <v>270</v>
      </c>
      <c r="J53" s="36">
        <v>46404</v>
      </c>
      <c r="K53" s="36">
        <v>46406</v>
      </c>
      <c r="L53" s="35">
        <v>3</v>
      </c>
      <c r="M53" s="39" t="s">
        <v>211</v>
      </c>
      <c r="N53" s="40">
        <v>46407</v>
      </c>
      <c r="O53" s="40">
        <v>46408</v>
      </c>
      <c r="P53" s="39">
        <v>2</v>
      </c>
      <c r="Q53" s="50" t="s">
        <v>1814</v>
      </c>
      <c r="R53" s="51">
        <v>46409</v>
      </c>
      <c r="S53" s="51">
        <v>46409</v>
      </c>
      <c r="T53" s="50">
        <v>1</v>
      </c>
      <c r="U53" s="18"/>
      <c r="V53" s="27" t="s">
        <v>347</v>
      </c>
    </row>
    <row r="54" spans="1:22" x14ac:dyDescent="0.3">
      <c r="A54" s="24" t="s">
        <v>1870</v>
      </c>
      <c r="B54" s="18" t="s">
        <v>271</v>
      </c>
      <c r="C54" s="18" t="s">
        <v>35</v>
      </c>
      <c r="D54" s="18" t="s">
        <v>6</v>
      </c>
      <c r="E54" s="164" t="s">
        <v>3915</v>
      </c>
      <c r="F54" s="18" t="s">
        <v>117</v>
      </c>
      <c r="G54" s="43">
        <v>46418</v>
      </c>
      <c r="H54" s="54">
        <v>46416</v>
      </c>
      <c r="I54" s="35" t="s">
        <v>130</v>
      </c>
      <c r="J54" s="36">
        <v>46411</v>
      </c>
      <c r="K54" s="36">
        <v>46413</v>
      </c>
      <c r="L54" s="35">
        <v>3</v>
      </c>
      <c r="M54" s="39" t="s">
        <v>189</v>
      </c>
      <c r="N54" s="40">
        <v>46414</v>
      </c>
      <c r="O54" s="40">
        <v>46415</v>
      </c>
      <c r="P54" s="39">
        <v>2</v>
      </c>
      <c r="Q54" s="50" t="s">
        <v>1816</v>
      </c>
      <c r="R54" s="51">
        <v>46416</v>
      </c>
      <c r="S54" s="51">
        <v>46416</v>
      </c>
      <c r="T54" s="50">
        <v>1</v>
      </c>
      <c r="U54" s="18"/>
      <c r="V54" s="27" t="s">
        <v>351</v>
      </c>
    </row>
    <row r="55" spans="1:22" x14ac:dyDescent="0.3">
      <c r="A55" s="24" t="s">
        <v>1871</v>
      </c>
      <c r="B55" s="18" t="s">
        <v>273</v>
      </c>
      <c r="C55" s="18" t="s">
        <v>47</v>
      </c>
      <c r="D55" s="18" t="s">
        <v>7</v>
      </c>
      <c r="E55" s="164" t="s">
        <v>3915</v>
      </c>
      <c r="F55" s="18" t="s">
        <v>127</v>
      </c>
      <c r="G55" s="43">
        <v>46422</v>
      </c>
      <c r="H55" s="54">
        <v>46420</v>
      </c>
      <c r="I55" s="35" t="s">
        <v>275</v>
      </c>
      <c r="J55" s="36">
        <v>46409</v>
      </c>
      <c r="K55" s="36">
        <v>46413</v>
      </c>
      <c r="L55" s="35">
        <v>5</v>
      </c>
      <c r="M55" s="39" t="s">
        <v>193</v>
      </c>
      <c r="N55" s="40">
        <v>46414</v>
      </c>
      <c r="O55" s="40">
        <v>46416</v>
      </c>
      <c r="P55" s="39">
        <v>3</v>
      </c>
      <c r="Q55" s="50" t="s">
        <v>1818</v>
      </c>
      <c r="R55" s="51">
        <v>46417</v>
      </c>
      <c r="S55" s="51">
        <v>46418</v>
      </c>
      <c r="T55" s="50">
        <v>2</v>
      </c>
      <c r="U55" s="18"/>
      <c r="V55" s="27" t="s">
        <v>357</v>
      </c>
    </row>
    <row r="56" spans="1:22" x14ac:dyDescent="0.3">
      <c r="A56" s="24" t="s">
        <v>1872</v>
      </c>
      <c r="B56" s="18" t="s">
        <v>276</v>
      </c>
      <c r="C56" s="18" t="s">
        <v>53</v>
      </c>
      <c r="D56" s="18" t="s">
        <v>8</v>
      </c>
      <c r="E56" s="164" t="s">
        <v>3915</v>
      </c>
      <c r="F56" s="18" t="s">
        <v>117</v>
      </c>
      <c r="G56" s="43">
        <v>46426</v>
      </c>
      <c r="H56" s="54">
        <v>46424</v>
      </c>
      <c r="I56" s="35" t="s">
        <v>257</v>
      </c>
      <c r="J56" s="36">
        <v>46419</v>
      </c>
      <c r="K56" s="36">
        <v>46421</v>
      </c>
      <c r="L56" s="35">
        <v>3</v>
      </c>
      <c r="M56" s="39" t="s">
        <v>139</v>
      </c>
      <c r="N56" s="40">
        <v>46422</v>
      </c>
      <c r="O56" s="40">
        <v>46423</v>
      </c>
      <c r="P56" s="39">
        <v>2</v>
      </c>
      <c r="Q56" s="50" t="s">
        <v>1820</v>
      </c>
      <c r="R56" s="51">
        <v>46424</v>
      </c>
      <c r="S56" s="51">
        <v>46424</v>
      </c>
      <c r="T56" s="50">
        <v>1</v>
      </c>
      <c r="U56" s="18"/>
      <c r="V56" s="27" t="s">
        <v>347</v>
      </c>
    </row>
    <row r="57" spans="1:22" x14ac:dyDescent="0.3">
      <c r="A57" s="24" t="s">
        <v>1873</v>
      </c>
      <c r="B57" s="18" t="s">
        <v>278</v>
      </c>
      <c r="C57" s="18" t="s">
        <v>66</v>
      </c>
      <c r="D57" s="18" t="s">
        <v>9</v>
      </c>
      <c r="E57" s="164" t="str" cm="1">
        <f t="array" ref="E57">IFERROR(_xlfn.TEXTJOIN(CHAR(10),TRUE,_xlfn._xlws.FILTER(#REF!&amp;": "&amp;#REF!,#REF!=$A57,"")),"")</f>
        <v/>
      </c>
      <c r="F57" s="18" t="s">
        <v>163</v>
      </c>
      <c r="G57" s="43">
        <v>46430</v>
      </c>
      <c r="H57" s="54">
        <v>46427</v>
      </c>
      <c r="I57" s="35" t="s">
        <v>173</v>
      </c>
      <c r="J57" s="36">
        <v>46404</v>
      </c>
      <c r="K57" s="36">
        <v>46413</v>
      </c>
      <c r="L57" s="35">
        <v>10</v>
      </c>
      <c r="M57" s="39" t="s">
        <v>238</v>
      </c>
      <c r="N57" s="40">
        <v>46414</v>
      </c>
      <c r="O57" s="40">
        <v>46418</v>
      </c>
      <c r="P57" s="39">
        <v>5</v>
      </c>
      <c r="Q57" s="50" t="s">
        <v>1822</v>
      </c>
      <c r="R57" s="51">
        <v>46420</v>
      </c>
      <c r="S57" s="51">
        <v>46423</v>
      </c>
      <c r="T57" s="50">
        <v>4</v>
      </c>
      <c r="U57" s="18"/>
      <c r="V57" s="27" t="s">
        <v>350</v>
      </c>
    </row>
    <row r="58" spans="1:22" x14ac:dyDescent="0.3">
      <c r="A58" s="24" t="s">
        <v>1874</v>
      </c>
      <c r="B58" s="18" t="s">
        <v>280</v>
      </c>
      <c r="C58" s="18" t="s">
        <v>73</v>
      </c>
      <c r="D58" s="18" t="s">
        <v>10</v>
      </c>
      <c r="E58" s="164" t="s">
        <v>3915</v>
      </c>
      <c r="F58" s="18" t="s">
        <v>163</v>
      </c>
      <c r="G58" s="43">
        <v>46434</v>
      </c>
      <c r="H58" s="54">
        <v>46431</v>
      </c>
      <c r="I58" s="35" t="s">
        <v>148</v>
      </c>
      <c r="J58" s="36">
        <v>46408</v>
      </c>
      <c r="K58" s="36">
        <v>46417</v>
      </c>
      <c r="L58" s="35">
        <v>10</v>
      </c>
      <c r="M58" s="39" t="s">
        <v>149</v>
      </c>
      <c r="N58" s="40">
        <v>46418</v>
      </c>
      <c r="O58" s="40">
        <v>46422</v>
      </c>
      <c r="P58" s="39">
        <v>5</v>
      </c>
      <c r="Q58" s="50" t="s">
        <v>1824</v>
      </c>
      <c r="R58" s="51">
        <v>46424</v>
      </c>
      <c r="S58" s="51">
        <v>46427</v>
      </c>
      <c r="T58" s="50">
        <v>4</v>
      </c>
      <c r="U58" s="18"/>
      <c r="V58" s="27" t="s">
        <v>358</v>
      </c>
    </row>
    <row r="59" spans="1:22" x14ac:dyDescent="0.3">
      <c r="A59" s="24" t="s">
        <v>1875</v>
      </c>
      <c r="B59" s="18" t="s">
        <v>282</v>
      </c>
      <c r="C59" s="18" t="s">
        <v>88</v>
      </c>
      <c r="D59" s="18" t="s">
        <v>11</v>
      </c>
      <c r="E59" s="164" t="s">
        <v>3915</v>
      </c>
      <c r="F59" s="18" t="s">
        <v>163</v>
      </c>
      <c r="G59" s="43">
        <v>46438</v>
      </c>
      <c r="H59" s="54">
        <v>46435</v>
      </c>
      <c r="I59" s="35" t="s">
        <v>244</v>
      </c>
      <c r="J59" s="36">
        <v>46412</v>
      </c>
      <c r="K59" s="36">
        <v>46421</v>
      </c>
      <c r="L59" s="35">
        <v>10</v>
      </c>
      <c r="M59" s="39" t="s">
        <v>245</v>
      </c>
      <c r="N59" s="40">
        <v>46422</v>
      </c>
      <c r="O59" s="40">
        <v>46426</v>
      </c>
      <c r="P59" s="39">
        <v>5</v>
      </c>
      <c r="Q59" s="50" t="s">
        <v>1826</v>
      </c>
      <c r="R59" s="51">
        <v>46428</v>
      </c>
      <c r="S59" s="51">
        <v>46431</v>
      </c>
      <c r="T59" s="50">
        <v>4</v>
      </c>
      <c r="U59" s="18"/>
      <c r="V59" s="27" t="s">
        <v>359</v>
      </c>
    </row>
    <row r="60" spans="1:22" x14ac:dyDescent="0.3">
      <c r="A60" s="24" t="s">
        <v>1876</v>
      </c>
      <c r="B60" s="18" t="s">
        <v>284</v>
      </c>
      <c r="C60" s="18" t="s">
        <v>97</v>
      </c>
      <c r="D60" s="18" t="s">
        <v>12</v>
      </c>
      <c r="E60" s="164" t="s">
        <v>3915</v>
      </c>
      <c r="F60" s="18" t="s">
        <v>127</v>
      </c>
      <c r="G60" s="43">
        <v>46442</v>
      </c>
      <c r="H60" s="54">
        <v>46440</v>
      </c>
      <c r="I60" s="35" t="s">
        <v>155</v>
      </c>
      <c r="J60" s="36">
        <v>46429</v>
      </c>
      <c r="K60" s="36">
        <v>46433</v>
      </c>
      <c r="L60" s="35">
        <v>5</v>
      </c>
      <c r="M60" s="39" t="s">
        <v>156</v>
      </c>
      <c r="N60" s="40">
        <v>46434</v>
      </c>
      <c r="O60" s="40">
        <v>46436</v>
      </c>
      <c r="P60" s="39">
        <v>3</v>
      </c>
      <c r="Q60" s="50" t="s">
        <v>1828</v>
      </c>
      <c r="R60" s="51">
        <v>46437</v>
      </c>
      <c r="S60" s="51">
        <v>46438</v>
      </c>
      <c r="T60" s="50">
        <v>2</v>
      </c>
      <c r="U60" s="18" t="s">
        <v>123</v>
      </c>
      <c r="V60" s="27" t="s">
        <v>360</v>
      </c>
    </row>
    <row r="61" spans="1:22" x14ac:dyDescent="0.3">
      <c r="A61" s="24" t="s">
        <v>1877</v>
      </c>
      <c r="B61" s="18" t="s">
        <v>286</v>
      </c>
      <c r="C61" s="18" t="s">
        <v>17</v>
      </c>
      <c r="D61" s="18" t="s">
        <v>5</v>
      </c>
      <c r="E61" s="164" t="str" cm="1">
        <f t="array" ref="E61">IFERROR(_xlfn.TEXTJOIN(CHAR(10),TRUE,_xlfn._xlws.FILTER(#REF!&amp;": "&amp;#REF!,#REF!=$A61,"")),"")</f>
        <v/>
      </c>
      <c r="F61" s="18" t="s">
        <v>127</v>
      </c>
      <c r="G61" s="43">
        <v>46446</v>
      </c>
      <c r="H61" s="54">
        <v>46444</v>
      </c>
      <c r="I61" s="35" t="s">
        <v>270</v>
      </c>
      <c r="J61" s="36">
        <v>46433</v>
      </c>
      <c r="K61" s="36">
        <v>46437</v>
      </c>
      <c r="L61" s="35">
        <v>5</v>
      </c>
      <c r="M61" s="39" t="s">
        <v>121</v>
      </c>
      <c r="N61" s="40">
        <v>46438</v>
      </c>
      <c r="O61" s="40">
        <v>46440</v>
      </c>
      <c r="P61" s="39">
        <v>3</v>
      </c>
      <c r="Q61" s="50" t="s">
        <v>1814</v>
      </c>
      <c r="R61" s="51">
        <v>46441</v>
      </c>
      <c r="S61" s="51">
        <v>46442</v>
      </c>
      <c r="T61" s="50">
        <v>2</v>
      </c>
      <c r="U61" s="18"/>
      <c r="V61" s="27" t="s">
        <v>356</v>
      </c>
    </row>
    <row r="62" spans="1:22" x14ac:dyDescent="0.3">
      <c r="A62" s="24" t="s">
        <v>1878</v>
      </c>
      <c r="B62" s="18" t="s">
        <v>288</v>
      </c>
      <c r="C62" s="18" t="s">
        <v>36</v>
      </c>
      <c r="D62" s="18" t="s">
        <v>6</v>
      </c>
      <c r="E62" s="164" t="s">
        <v>3915</v>
      </c>
      <c r="F62" s="18" t="s">
        <v>127</v>
      </c>
      <c r="G62" s="43">
        <v>46445</v>
      </c>
      <c r="H62" s="54">
        <v>46443</v>
      </c>
      <c r="I62" s="35" t="s">
        <v>155</v>
      </c>
      <c r="J62" s="36">
        <v>46432</v>
      </c>
      <c r="K62" s="36">
        <v>46436</v>
      </c>
      <c r="L62" s="35">
        <v>5</v>
      </c>
      <c r="M62" s="39" t="s">
        <v>156</v>
      </c>
      <c r="N62" s="40">
        <v>46437</v>
      </c>
      <c r="O62" s="40">
        <v>46439</v>
      </c>
      <c r="P62" s="39">
        <v>3</v>
      </c>
      <c r="Q62" s="50" t="s">
        <v>1816</v>
      </c>
      <c r="R62" s="51">
        <v>46440</v>
      </c>
      <c r="S62" s="51">
        <v>46441</v>
      </c>
      <c r="T62" s="50">
        <v>2</v>
      </c>
      <c r="U62" s="18" t="s">
        <v>123</v>
      </c>
      <c r="V62" s="27" t="s">
        <v>361</v>
      </c>
    </row>
    <row r="63" spans="1:22" x14ac:dyDescent="0.3">
      <c r="A63" s="24" t="s">
        <v>1879</v>
      </c>
      <c r="B63" s="18" t="s">
        <v>290</v>
      </c>
      <c r="C63" s="18" t="s">
        <v>44</v>
      </c>
      <c r="D63" s="18" t="s">
        <v>7</v>
      </c>
      <c r="E63" s="164" t="s">
        <v>3915</v>
      </c>
      <c r="F63" s="18" t="s">
        <v>127</v>
      </c>
      <c r="G63" s="43">
        <v>46454</v>
      </c>
      <c r="H63" s="54">
        <v>46452</v>
      </c>
      <c r="I63" s="35" t="s">
        <v>275</v>
      </c>
      <c r="J63" s="36">
        <v>46441</v>
      </c>
      <c r="K63" s="36">
        <v>46445</v>
      </c>
      <c r="L63" s="35">
        <v>5</v>
      </c>
      <c r="M63" s="39" t="s">
        <v>193</v>
      </c>
      <c r="N63" s="40">
        <v>46446</v>
      </c>
      <c r="O63" s="40">
        <v>46448</v>
      </c>
      <c r="P63" s="39">
        <v>3</v>
      </c>
      <c r="Q63" s="50" t="s">
        <v>1818</v>
      </c>
      <c r="R63" s="51">
        <v>46449</v>
      </c>
      <c r="S63" s="51">
        <v>46450</v>
      </c>
      <c r="T63" s="50">
        <v>2</v>
      </c>
      <c r="U63" s="18"/>
      <c r="V63" s="27" t="s">
        <v>345</v>
      </c>
    </row>
    <row r="64" spans="1:22" x14ac:dyDescent="0.3">
      <c r="A64" s="24" t="s">
        <v>1880</v>
      </c>
      <c r="B64" s="18" t="s">
        <v>292</v>
      </c>
      <c r="C64" s="18" t="s">
        <v>59</v>
      </c>
      <c r="D64" s="18" t="s">
        <v>8</v>
      </c>
      <c r="E64" s="164" t="s">
        <v>3915</v>
      </c>
      <c r="F64" s="18" t="s">
        <v>117</v>
      </c>
      <c r="G64" s="43">
        <v>46458</v>
      </c>
      <c r="H64" s="54">
        <v>46456</v>
      </c>
      <c r="I64" s="35" t="s">
        <v>294</v>
      </c>
      <c r="J64" s="36">
        <v>46451</v>
      </c>
      <c r="K64" s="36">
        <v>46453</v>
      </c>
      <c r="L64" s="35">
        <v>3</v>
      </c>
      <c r="M64" s="39" t="s">
        <v>295</v>
      </c>
      <c r="N64" s="40">
        <v>46454</v>
      </c>
      <c r="O64" s="40">
        <v>46455</v>
      </c>
      <c r="P64" s="39">
        <v>2</v>
      </c>
      <c r="Q64" s="50" t="s">
        <v>1820</v>
      </c>
      <c r="R64" s="51">
        <v>46456</v>
      </c>
      <c r="S64" s="51">
        <v>46456</v>
      </c>
      <c r="T64" s="50">
        <v>1</v>
      </c>
      <c r="U64" s="18"/>
      <c r="V64" s="27" t="s">
        <v>362</v>
      </c>
    </row>
    <row r="65" spans="1:22" x14ac:dyDescent="0.3">
      <c r="A65" s="24" t="s">
        <v>1881</v>
      </c>
      <c r="B65" s="18" t="s">
        <v>296</v>
      </c>
      <c r="C65" s="18" t="s">
        <v>70</v>
      </c>
      <c r="D65" s="18" t="s">
        <v>9</v>
      </c>
      <c r="E65" s="164" t="str" cm="1">
        <f t="array" ref="E65">IFERROR(_xlfn.TEXTJOIN(CHAR(10),TRUE,_xlfn._xlws.FILTER(#REF!&amp;": "&amp;#REF!,#REF!=$A65,"")),"")</f>
        <v/>
      </c>
      <c r="F65" s="18" t="s">
        <v>127</v>
      </c>
      <c r="G65" s="43">
        <v>46462</v>
      </c>
      <c r="H65" s="54">
        <v>46460</v>
      </c>
      <c r="I65" s="35" t="s">
        <v>298</v>
      </c>
      <c r="J65" s="36">
        <v>46449</v>
      </c>
      <c r="K65" s="36">
        <v>46453</v>
      </c>
      <c r="L65" s="35">
        <v>5</v>
      </c>
      <c r="M65" s="39" t="s">
        <v>144</v>
      </c>
      <c r="N65" s="40">
        <v>46454</v>
      </c>
      <c r="O65" s="40">
        <v>46456</v>
      </c>
      <c r="P65" s="39">
        <v>3</v>
      </c>
      <c r="Q65" s="50" t="s">
        <v>1822</v>
      </c>
      <c r="R65" s="51">
        <v>46457</v>
      </c>
      <c r="S65" s="51">
        <v>46458</v>
      </c>
      <c r="T65" s="50">
        <v>2</v>
      </c>
      <c r="U65" s="18"/>
      <c r="V65" s="27" t="s">
        <v>345</v>
      </c>
    </row>
    <row r="66" spans="1:22" x14ac:dyDescent="0.3">
      <c r="A66" s="24" t="s">
        <v>1882</v>
      </c>
      <c r="B66" s="18" t="s">
        <v>299</v>
      </c>
      <c r="C66" s="18" t="s">
        <v>74</v>
      </c>
      <c r="D66" s="18" t="s">
        <v>10</v>
      </c>
      <c r="E66" s="164" t="s">
        <v>3915</v>
      </c>
      <c r="F66" s="18" t="s">
        <v>117</v>
      </c>
      <c r="G66" s="43">
        <v>46466</v>
      </c>
      <c r="H66" s="54">
        <v>46464</v>
      </c>
      <c r="I66" s="35" t="s">
        <v>262</v>
      </c>
      <c r="J66" s="36">
        <v>46459</v>
      </c>
      <c r="K66" s="36">
        <v>46461</v>
      </c>
      <c r="L66" s="35">
        <v>3</v>
      </c>
      <c r="M66" s="39" t="s">
        <v>241</v>
      </c>
      <c r="N66" s="40">
        <v>46462</v>
      </c>
      <c r="O66" s="40">
        <v>46463</v>
      </c>
      <c r="P66" s="39">
        <v>2</v>
      </c>
      <c r="Q66" s="50" t="s">
        <v>1824</v>
      </c>
      <c r="R66" s="51">
        <v>46464</v>
      </c>
      <c r="S66" s="51">
        <v>46464</v>
      </c>
      <c r="T66" s="50">
        <v>1</v>
      </c>
      <c r="U66" s="18"/>
      <c r="V66" s="27" t="s">
        <v>350</v>
      </c>
    </row>
    <row r="67" spans="1:22" x14ac:dyDescent="0.3">
      <c r="A67" s="24" t="s">
        <v>1883</v>
      </c>
      <c r="B67" s="18" t="s">
        <v>301</v>
      </c>
      <c r="C67" s="18" t="s">
        <v>84</v>
      </c>
      <c r="D67" s="18" t="s">
        <v>11</v>
      </c>
      <c r="E67" s="164" t="s">
        <v>3915</v>
      </c>
      <c r="F67" s="18" t="s">
        <v>127</v>
      </c>
      <c r="G67" s="43">
        <v>46470</v>
      </c>
      <c r="H67" s="54">
        <v>46468</v>
      </c>
      <c r="I67" s="35" t="s">
        <v>303</v>
      </c>
      <c r="J67" s="36">
        <v>46457</v>
      </c>
      <c r="K67" s="36">
        <v>46461</v>
      </c>
      <c r="L67" s="35">
        <v>5</v>
      </c>
      <c r="M67" s="39" t="s">
        <v>205</v>
      </c>
      <c r="N67" s="40">
        <v>46462</v>
      </c>
      <c r="O67" s="40">
        <v>46464</v>
      </c>
      <c r="P67" s="39">
        <v>3</v>
      </c>
      <c r="Q67" s="50" t="s">
        <v>1826</v>
      </c>
      <c r="R67" s="51">
        <v>46465</v>
      </c>
      <c r="S67" s="51">
        <v>46466</v>
      </c>
      <c r="T67" s="50">
        <v>2</v>
      </c>
      <c r="U67" s="18"/>
      <c r="V67" s="27" t="s">
        <v>363</v>
      </c>
    </row>
    <row r="68" spans="1:22" x14ac:dyDescent="0.3">
      <c r="A68" s="24" t="s">
        <v>1884</v>
      </c>
      <c r="B68" s="18" t="s">
        <v>304</v>
      </c>
      <c r="C68" s="18" t="s">
        <v>96</v>
      </c>
      <c r="D68" s="18" t="s">
        <v>12</v>
      </c>
      <c r="E68" s="164" t="s">
        <v>3915</v>
      </c>
      <c r="F68" s="18" t="s">
        <v>127</v>
      </c>
      <c r="G68" s="43">
        <v>46477</v>
      </c>
      <c r="H68" s="54">
        <v>46475</v>
      </c>
      <c r="I68" s="35" t="s">
        <v>248</v>
      </c>
      <c r="J68" s="36">
        <v>46464</v>
      </c>
      <c r="K68" s="36">
        <v>46468</v>
      </c>
      <c r="L68" s="35">
        <v>5</v>
      </c>
      <c r="M68" s="39" t="s">
        <v>156</v>
      </c>
      <c r="N68" s="40">
        <v>46469</v>
      </c>
      <c r="O68" s="40">
        <v>46471</v>
      </c>
      <c r="P68" s="39">
        <v>3</v>
      </c>
      <c r="Q68" s="50" t="s">
        <v>1828</v>
      </c>
      <c r="R68" s="51">
        <v>46472</v>
      </c>
      <c r="S68" s="51">
        <v>46473</v>
      </c>
      <c r="T68" s="50">
        <v>2</v>
      </c>
      <c r="U68" s="18"/>
      <c r="V68" s="27" t="s">
        <v>352</v>
      </c>
    </row>
    <row r="69" spans="1:22" x14ac:dyDescent="0.3">
      <c r="A69" s="24" t="s">
        <v>1885</v>
      </c>
      <c r="B69" s="18" t="s">
        <v>306</v>
      </c>
      <c r="C69" s="18" t="s">
        <v>15</v>
      </c>
      <c r="D69" s="18" t="s">
        <v>5</v>
      </c>
      <c r="E69" s="164" t="str" cm="1">
        <f t="array" ref="E69">IFERROR(_xlfn.TEXTJOIN(CHAR(10),TRUE,_xlfn._xlws.FILTER(#REF!&amp;": "&amp;#REF!,#REF!=$A69,"")),"")</f>
        <v/>
      </c>
      <c r="F69" s="18" t="s">
        <v>163</v>
      </c>
      <c r="G69" s="43">
        <v>46481</v>
      </c>
      <c r="H69" s="54">
        <v>46478</v>
      </c>
      <c r="I69" s="35" t="s">
        <v>159</v>
      </c>
      <c r="J69" s="36">
        <v>46455</v>
      </c>
      <c r="K69" s="36">
        <v>46464</v>
      </c>
      <c r="L69" s="35">
        <v>10</v>
      </c>
      <c r="M69" s="39" t="s">
        <v>211</v>
      </c>
      <c r="N69" s="40">
        <v>46465</v>
      </c>
      <c r="O69" s="40">
        <v>46469</v>
      </c>
      <c r="P69" s="39">
        <v>5</v>
      </c>
      <c r="Q69" s="50" t="s">
        <v>1814</v>
      </c>
      <c r="R69" s="51">
        <v>46471</v>
      </c>
      <c r="S69" s="51">
        <v>46474</v>
      </c>
      <c r="T69" s="50">
        <v>4</v>
      </c>
      <c r="U69" s="18"/>
      <c r="V69" s="27" t="s">
        <v>349</v>
      </c>
    </row>
    <row r="70" spans="1:22" x14ac:dyDescent="0.3">
      <c r="A70" s="24" t="s">
        <v>1886</v>
      </c>
      <c r="B70" s="18" t="s">
        <v>308</v>
      </c>
      <c r="C70" s="18" t="s">
        <v>34</v>
      </c>
      <c r="D70" s="18" t="s">
        <v>6</v>
      </c>
      <c r="E70" s="164" t="s">
        <v>3915</v>
      </c>
      <c r="F70" s="18" t="s">
        <v>127</v>
      </c>
      <c r="G70" s="43">
        <v>46485</v>
      </c>
      <c r="H70" s="54">
        <v>46483</v>
      </c>
      <c r="I70" s="35" t="s">
        <v>310</v>
      </c>
      <c r="J70" s="36">
        <v>46472</v>
      </c>
      <c r="K70" s="36">
        <v>46476</v>
      </c>
      <c r="L70" s="35">
        <v>5</v>
      </c>
      <c r="M70" s="39" t="s">
        <v>131</v>
      </c>
      <c r="N70" s="40">
        <v>46477</v>
      </c>
      <c r="O70" s="40">
        <v>46479</v>
      </c>
      <c r="P70" s="39">
        <v>3</v>
      </c>
      <c r="Q70" s="50" t="s">
        <v>1816</v>
      </c>
      <c r="R70" s="51">
        <v>46480</v>
      </c>
      <c r="S70" s="51">
        <v>46481</v>
      </c>
      <c r="T70" s="50">
        <v>2</v>
      </c>
      <c r="U70" s="18" t="s">
        <v>123</v>
      </c>
      <c r="V70" s="27" t="s">
        <v>364</v>
      </c>
    </row>
    <row r="71" spans="1:22" x14ac:dyDescent="0.3">
      <c r="A71" s="24" t="s">
        <v>1887</v>
      </c>
      <c r="B71" s="18" t="s">
        <v>311</v>
      </c>
      <c r="C71" s="18" t="s">
        <v>43</v>
      </c>
      <c r="D71" s="18" t="s">
        <v>7</v>
      </c>
      <c r="E71" s="164" t="s">
        <v>3915</v>
      </c>
      <c r="F71" s="18" t="s">
        <v>163</v>
      </c>
      <c r="G71" s="43">
        <v>46489</v>
      </c>
      <c r="H71" s="54">
        <v>46486</v>
      </c>
      <c r="I71" s="35" t="s">
        <v>275</v>
      </c>
      <c r="J71" s="36">
        <v>46463</v>
      </c>
      <c r="K71" s="36">
        <v>46472</v>
      </c>
      <c r="L71" s="35">
        <v>10</v>
      </c>
      <c r="M71" s="39" t="s">
        <v>193</v>
      </c>
      <c r="N71" s="40">
        <v>46473</v>
      </c>
      <c r="O71" s="40">
        <v>46477</v>
      </c>
      <c r="P71" s="39">
        <v>5</v>
      </c>
      <c r="Q71" s="50" t="s">
        <v>1818</v>
      </c>
      <c r="R71" s="51">
        <v>46479</v>
      </c>
      <c r="S71" s="51">
        <v>46482</v>
      </c>
      <c r="T71" s="50">
        <v>4</v>
      </c>
      <c r="U71" s="18"/>
      <c r="V71" s="27" t="s">
        <v>340</v>
      </c>
    </row>
    <row r="72" spans="1:22" x14ac:dyDescent="0.3">
      <c r="A72" s="24" t="s">
        <v>1888</v>
      </c>
      <c r="B72" s="18" t="s">
        <v>313</v>
      </c>
      <c r="C72" s="18" t="s">
        <v>55</v>
      </c>
      <c r="D72" s="18" t="s">
        <v>8</v>
      </c>
      <c r="E72" s="164" t="s">
        <v>3915</v>
      </c>
      <c r="F72" s="18" t="s">
        <v>117</v>
      </c>
      <c r="G72" s="43">
        <v>46488</v>
      </c>
      <c r="H72" s="54">
        <v>46486</v>
      </c>
      <c r="I72" s="35" t="s">
        <v>310</v>
      </c>
      <c r="J72" s="36">
        <v>46481</v>
      </c>
      <c r="K72" s="36">
        <v>46483</v>
      </c>
      <c r="L72" s="35">
        <v>3</v>
      </c>
      <c r="M72" s="39" t="s">
        <v>131</v>
      </c>
      <c r="N72" s="40">
        <v>46484</v>
      </c>
      <c r="O72" s="40">
        <v>46485</v>
      </c>
      <c r="P72" s="39">
        <v>2</v>
      </c>
      <c r="Q72" s="50" t="s">
        <v>1820</v>
      </c>
      <c r="R72" s="51">
        <v>46486</v>
      </c>
      <c r="S72" s="51">
        <v>46486</v>
      </c>
      <c r="T72" s="50">
        <v>1</v>
      </c>
      <c r="U72" s="18" t="s">
        <v>123</v>
      </c>
      <c r="V72" s="27" t="s">
        <v>365</v>
      </c>
    </row>
    <row r="73" spans="1:22" x14ac:dyDescent="0.3">
      <c r="A73" s="24" t="s">
        <v>1889</v>
      </c>
      <c r="B73" s="18" t="s">
        <v>315</v>
      </c>
      <c r="C73" s="18" t="s">
        <v>64</v>
      </c>
      <c r="D73" s="18" t="s">
        <v>9</v>
      </c>
      <c r="E73" s="164" t="str" cm="1">
        <f t="array" ref="E73">IFERROR(_xlfn.TEXTJOIN(CHAR(10),TRUE,_xlfn._xlws.FILTER(#REF!&amp;": "&amp;#REF!,#REF!=$A73,"")),"")</f>
        <v/>
      </c>
      <c r="F73" s="18" t="s">
        <v>117</v>
      </c>
      <c r="G73" s="43">
        <v>46497</v>
      </c>
      <c r="H73" s="54">
        <v>46495</v>
      </c>
      <c r="I73" s="35" t="s">
        <v>143</v>
      </c>
      <c r="J73" s="36">
        <v>46490</v>
      </c>
      <c r="K73" s="36">
        <v>46492</v>
      </c>
      <c r="L73" s="35">
        <v>3</v>
      </c>
      <c r="M73" s="39" t="s">
        <v>144</v>
      </c>
      <c r="N73" s="40">
        <v>46493</v>
      </c>
      <c r="O73" s="40">
        <v>46494</v>
      </c>
      <c r="P73" s="39">
        <v>2</v>
      </c>
      <c r="Q73" s="50" t="s">
        <v>1822</v>
      </c>
      <c r="R73" s="51">
        <v>46495</v>
      </c>
      <c r="S73" s="51">
        <v>46495</v>
      </c>
      <c r="T73" s="50">
        <v>1</v>
      </c>
      <c r="U73" s="18"/>
      <c r="V73" s="27" t="s">
        <v>359</v>
      </c>
    </row>
    <row r="74" spans="1:22" x14ac:dyDescent="0.3">
      <c r="A74" s="24" t="s">
        <v>1890</v>
      </c>
      <c r="B74" s="18" t="s">
        <v>317</v>
      </c>
      <c r="C74" s="18" t="s">
        <v>75</v>
      </c>
      <c r="D74" s="18" t="s">
        <v>10</v>
      </c>
      <c r="E74" s="164" t="s">
        <v>3915</v>
      </c>
      <c r="F74" s="18" t="s">
        <v>127</v>
      </c>
      <c r="G74" s="43">
        <v>46501</v>
      </c>
      <c r="H74" s="54">
        <v>46499</v>
      </c>
      <c r="I74" s="35" t="s">
        <v>223</v>
      </c>
      <c r="J74" s="36">
        <v>46488</v>
      </c>
      <c r="K74" s="36">
        <v>46492</v>
      </c>
      <c r="L74" s="35">
        <v>5</v>
      </c>
      <c r="M74" s="39" t="s">
        <v>241</v>
      </c>
      <c r="N74" s="40">
        <v>46493</v>
      </c>
      <c r="O74" s="40">
        <v>46495</v>
      </c>
      <c r="P74" s="39">
        <v>3</v>
      </c>
      <c r="Q74" s="50" t="s">
        <v>1824</v>
      </c>
      <c r="R74" s="51">
        <v>46496</v>
      </c>
      <c r="S74" s="51">
        <v>46497</v>
      </c>
      <c r="T74" s="50">
        <v>2</v>
      </c>
      <c r="U74" s="18"/>
      <c r="V74" s="27" t="s">
        <v>357</v>
      </c>
    </row>
    <row r="75" spans="1:22" x14ac:dyDescent="0.3">
      <c r="A75" s="24" t="s">
        <v>1891</v>
      </c>
      <c r="B75" s="18" t="s">
        <v>319</v>
      </c>
      <c r="C75" s="18" t="s">
        <v>90</v>
      </c>
      <c r="D75" s="18" t="s">
        <v>11</v>
      </c>
      <c r="E75" s="164" t="s">
        <v>3915</v>
      </c>
      <c r="F75" s="18" t="s">
        <v>117</v>
      </c>
      <c r="G75" s="43">
        <v>46507</v>
      </c>
      <c r="H75" s="54">
        <v>46505</v>
      </c>
      <c r="I75" s="35" t="s">
        <v>244</v>
      </c>
      <c r="J75" s="36">
        <v>46500</v>
      </c>
      <c r="K75" s="36">
        <v>46502</v>
      </c>
      <c r="L75" s="35">
        <v>3</v>
      </c>
      <c r="M75" s="39" t="s">
        <v>245</v>
      </c>
      <c r="N75" s="40">
        <v>46503</v>
      </c>
      <c r="O75" s="40">
        <v>46504</v>
      </c>
      <c r="P75" s="39">
        <v>2</v>
      </c>
      <c r="Q75" s="50" t="s">
        <v>1826</v>
      </c>
      <c r="R75" s="51">
        <v>46505</v>
      </c>
      <c r="S75" s="51">
        <v>46505</v>
      </c>
      <c r="T75" s="50">
        <v>1</v>
      </c>
      <c r="U75" s="18" t="s">
        <v>123</v>
      </c>
      <c r="V75" s="27" t="s">
        <v>366</v>
      </c>
    </row>
    <row r="76" spans="1:22" x14ac:dyDescent="0.3">
      <c r="A76" s="24" t="s">
        <v>1892</v>
      </c>
      <c r="B76" s="18" t="s">
        <v>321</v>
      </c>
      <c r="C76" s="18" t="s">
        <v>94</v>
      </c>
      <c r="D76" s="18" t="s">
        <v>12</v>
      </c>
      <c r="E76" s="164" t="s">
        <v>3915</v>
      </c>
      <c r="F76" s="18" t="s">
        <v>117</v>
      </c>
      <c r="G76" s="43">
        <v>46511</v>
      </c>
      <c r="H76" s="54">
        <v>46509</v>
      </c>
      <c r="I76" s="35" t="s">
        <v>155</v>
      </c>
      <c r="J76" s="36">
        <v>46504</v>
      </c>
      <c r="K76" s="36">
        <v>46506</v>
      </c>
      <c r="L76" s="35">
        <v>3</v>
      </c>
      <c r="M76" s="39" t="s">
        <v>267</v>
      </c>
      <c r="N76" s="40">
        <v>46507</v>
      </c>
      <c r="O76" s="40">
        <v>46508</v>
      </c>
      <c r="P76" s="39">
        <v>2</v>
      </c>
      <c r="Q76" s="50" t="s">
        <v>1828</v>
      </c>
      <c r="R76" s="51">
        <v>46509</v>
      </c>
      <c r="S76" s="51">
        <v>46509</v>
      </c>
      <c r="T76" s="50">
        <v>1</v>
      </c>
      <c r="U76" s="18"/>
      <c r="V76" s="27" t="s">
        <v>350</v>
      </c>
    </row>
    <row r="77" spans="1:22" x14ac:dyDescent="0.3">
      <c r="A77" s="24" t="s">
        <v>1893</v>
      </c>
      <c r="B77" s="18" t="s">
        <v>323</v>
      </c>
      <c r="C77" s="18" t="s">
        <v>16</v>
      </c>
      <c r="D77" s="18" t="s">
        <v>5</v>
      </c>
      <c r="E77" s="164" t="str" cm="1">
        <f t="array" ref="E77">IFERROR(_xlfn.TEXTJOIN(CHAR(10),TRUE,_xlfn._xlws.FILTER(#REF!&amp;": "&amp;#REF!,#REF!=$A77,"")),"")</f>
        <v/>
      </c>
      <c r="F77" s="18" t="s">
        <v>127</v>
      </c>
      <c r="G77" s="43">
        <v>46510</v>
      </c>
      <c r="H77" s="54">
        <v>46508</v>
      </c>
      <c r="I77" s="35" t="s">
        <v>244</v>
      </c>
      <c r="J77" s="36">
        <v>46497</v>
      </c>
      <c r="K77" s="36">
        <v>46501</v>
      </c>
      <c r="L77" s="35">
        <v>5</v>
      </c>
      <c r="M77" s="39" t="s">
        <v>245</v>
      </c>
      <c r="N77" s="40">
        <v>46502</v>
      </c>
      <c r="O77" s="40">
        <v>46504</v>
      </c>
      <c r="P77" s="39">
        <v>3</v>
      </c>
      <c r="Q77" s="50" t="s">
        <v>1814</v>
      </c>
      <c r="R77" s="51">
        <v>46505</v>
      </c>
      <c r="S77" s="51">
        <v>46506</v>
      </c>
      <c r="T77" s="50">
        <v>2</v>
      </c>
      <c r="U77" s="18" t="s">
        <v>123</v>
      </c>
      <c r="V77" s="27" t="s">
        <v>367</v>
      </c>
    </row>
    <row r="78" spans="1:22" x14ac:dyDescent="0.3">
      <c r="A78" s="24" t="s">
        <v>1894</v>
      </c>
      <c r="B78" s="18" t="s">
        <v>325</v>
      </c>
      <c r="C78" s="18" t="s">
        <v>34</v>
      </c>
      <c r="D78" s="18" t="s">
        <v>6</v>
      </c>
      <c r="E78" s="164" t="s">
        <v>3915</v>
      </c>
      <c r="F78" s="18" t="s">
        <v>117</v>
      </c>
      <c r="G78" s="43">
        <v>46519</v>
      </c>
      <c r="H78" s="54">
        <v>46517</v>
      </c>
      <c r="I78" s="35" t="s">
        <v>188</v>
      </c>
      <c r="J78" s="36">
        <v>46512</v>
      </c>
      <c r="K78" s="36">
        <v>46514</v>
      </c>
      <c r="L78" s="35">
        <v>3</v>
      </c>
      <c r="M78" s="39" t="s">
        <v>189</v>
      </c>
      <c r="N78" s="40">
        <v>46515</v>
      </c>
      <c r="O78" s="40">
        <v>46516</v>
      </c>
      <c r="P78" s="39">
        <v>2</v>
      </c>
      <c r="Q78" s="50" t="s">
        <v>1816</v>
      </c>
      <c r="R78" s="51">
        <v>46517</v>
      </c>
      <c r="S78" s="51">
        <v>46517</v>
      </c>
      <c r="T78" s="50">
        <v>1</v>
      </c>
      <c r="U78" s="18"/>
      <c r="V78" s="27" t="s">
        <v>350</v>
      </c>
    </row>
    <row r="79" spans="1:22" x14ac:dyDescent="0.3">
      <c r="A79" s="24" t="s">
        <v>1895</v>
      </c>
      <c r="B79" s="18" t="s">
        <v>327</v>
      </c>
      <c r="C79" s="18" t="s">
        <v>47</v>
      </c>
      <c r="D79" s="18" t="s">
        <v>7</v>
      </c>
      <c r="E79" s="164" t="s">
        <v>3915</v>
      </c>
      <c r="F79" s="18" t="s">
        <v>127</v>
      </c>
      <c r="G79" s="43">
        <v>46523</v>
      </c>
      <c r="H79" s="54">
        <v>46521</v>
      </c>
      <c r="I79" s="35" t="s">
        <v>167</v>
      </c>
      <c r="J79" s="36">
        <v>46510</v>
      </c>
      <c r="K79" s="36">
        <v>46514</v>
      </c>
      <c r="L79" s="35">
        <v>5</v>
      </c>
      <c r="M79" s="39" t="s">
        <v>193</v>
      </c>
      <c r="N79" s="40">
        <v>46515</v>
      </c>
      <c r="O79" s="40">
        <v>46517</v>
      </c>
      <c r="P79" s="39">
        <v>3</v>
      </c>
      <c r="Q79" s="50" t="s">
        <v>1818</v>
      </c>
      <c r="R79" s="51">
        <v>46518</v>
      </c>
      <c r="S79" s="51">
        <v>46519</v>
      </c>
      <c r="T79" s="50">
        <v>2</v>
      </c>
      <c r="U79" s="18"/>
      <c r="V79" s="27" t="s">
        <v>349</v>
      </c>
    </row>
    <row r="80" spans="1:22" x14ac:dyDescent="0.3">
      <c r="A80" s="24" t="s">
        <v>1896</v>
      </c>
      <c r="B80" s="18" t="s">
        <v>329</v>
      </c>
      <c r="C80" s="18" t="s">
        <v>53</v>
      </c>
      <c r="D80" s="18" t="s">
        <v>8</v>
      </c>
      <c r="E80" s="164" t="s">
        <v>3915</v>
      </c>
      <c r="F80" s="18" t="s">
        <v>117</v>
      </c>
      <c r="G80" s="43">
        <v>46527</v>
      </c>
      <c r="H80" s="54">
        <v>46525</v>
      </c>
      <c r="I80" s="35" t="s">
        <v>257</v>
      </c>
      <c r="J80" s="36">
        <v>46520</v>
      </c>
      <c r="K80" s="36">
        <v>46522</v>
      </c>
      <c r="L80" s="35">
        <v>3</v>
      </c>
      <c r="M80" s="39" t="s">
        <v>139</v>
      </c>
      <c r="N80" s="40">
        <v>46523</v>
      </c>
      <c r="O80" s="40">
        <v>46524</v>
      </c>
      <c r="P80" s="39">
        <v>2</v>
      </c>
      <c r="Q80" s="50" t="s">
        <v>1820</v>
      </c>
      <c r="R80" s="51">
        <v>46525</v>
      </c>
      <c r="S80" s="51">
        <v>46525</v>
      </c>
      <c r="T80" s="50">
        <v>1</v>
      </c>
      <c r="U80" s="18"/>
      <c r="V80" s="27" t="s">
        <v>346</v>
      </c>
    </row>
    <row r="81" spans="1:22" x14ac:dyDescent="0.3">
      <c r="A81" s="24" t="s">
        <v>1897</v>
      </c>
      <c r="B81" s="18" t="s">
        <v>331</v>
      </c>
      <c r="C81" s="18" t="s">
        <v>65</v>
      </c>
      <c r="D81" s="18" t="s">
        <v>9</v>
      </c>
      <c r="E81" s="164" t="str" cm="1">
        <f t="array" ref="E81">IFERROR(_xlfn.TEXTJOIN(CHAR(10),TRUE,_xlfn._xlws.FILTER(#REF!&amp;": "&amp;#REF!,#REF!=$A81,"")),"")</f>
        <v/>
      </c>
      <c r="F81" s="18" t="s">
        <v>163</v>
      </c>
      <c r="G81" s="43">
        <v>46531</v>
      </c>
      <c r="H81" s="54">
        <v>46528</v>
      </c>
      <c r="I81" s="35" t="s">
        <v>298</v>
      </c>
      <c r="J81" s="36">
        <v>46505</v>
      </c>
      <c r="K81" s="36">
        <v>46514</v>
      </c>
      <c r="L81" s="35">
        <v>10</v>
      </c>
      <c r="M81" s="39" t="s">
        <v>144</v>
      </c>
      <c r="N81" s="40">
        <v>46515</v>
      </c>
      <c r="O81" s="40">
        <v>46519</v>
      </c>
      <c r="P81" s="39">
        <v>5</v>
      </c>
      <c r="Q81" s="50" t="s">
        <v>1822</v>
      </c>
      <c r="R81" s="51">
        <v>46521</v>
      </c>
      <c r="S81" s="51">
        <v>46524</v>
      </c>
      <c r="T81" s="50">
        <v>4</v>
      </c>
      <c r="U81" s="18"/>
      <c r="V81" s="27" t="s">
        <v>359</v>
      </c>
    </row>
    <row r="82" spans="1:22" x14ac:dyDescent="0.3">
      <c r="A82" s="24" t="s">
        <v>1898</v>
      </c>
      <c r="B82" s="18" t="s">
        <v>333</v>
      </c>
      <c r="C82" s="18" t="s">
        <v>76</v>
      </c>
      <c r="D82" s="18" t="s">
        <v>10</v>
      </c>
      <c r="E82" s="164" t="s">
        <v>3915</v>
      </c>
      <c r="F82" s="18" t="s">
        <v>127</v>
      </c>
      <c r="G82" s="43">
        <v>46538</v>
      </c>
      <c r="H82" s="54">
        <v>46536</v>
      </c>
      <c r="I82" s="35" t="s">
        <v>262</v>
      </c>
      <c r="J82" s="36">
        <v>46525</v>
      </c>
      <c r="K82" s="36">
        <v>46529</v>
      </c>
      <c r="L82" s="35">
        <v>5</v>
      </c>
      <c r="M82" s="39" t="s">
        <v>241</v>
      </c>
      <c r="N82" s="40">
        <v>46530</v>
      </c>
      <c r="O82" s="40">
        <v>46532</v>
      </c>
      <c r="P82" s="39">
        <v>3</v>
      </c>
      <c r="Q82" s="50" t="s">
        <v>1824</v>
      </c>
      <c r="R82" s="51">
        <v>46533</v>
      </c>
      <c r="S82" s="51">
        <v>46534</v>
      </c>
      <c r="T82" s="50">
        <v>2</v>
      </c>
      <c r="U82" s="18"/>
      <c r="V82" s="27" t="s">
        <v>368</v>
      </c>
    </row>
    <row r="83" spans="1:22" x14ac:dyDescent="0.3">
      <c r="A83" s="24" t="s">
        <v>1899</v>
      </c>
      <c r="B83" s="18" t="s">
        <v>335</v>
      </c>
      <c r="C83" s="18" t="s">
        <v>87</v>
      </c>
      <c r="D83" s="18" t="s">
        <v>11</v>
      </c>
      <c r="E83" s="164" t="s">
        <v>3915</v>
      </c>
      <c r="F83" s="18" t="s">
        <v>127</v>
      </c>
      <c r="G83" s="43">
        <v>46542</v>
      </c>
      <c r="H83" s="54">
        <v>46540</v>
      </c>
      <c r="I83" s="35" t="s">
        <v>303</v>
      </c>
      <c r="J83" s="36">
        <v>46529</v>
      </c>
      <c r="K83" s="36">
        <v>46533</v>
      </c>
      <c r="L83" s="35">
        <v>5</v>
      </c>
      <c r="M83" s="39" t="s">
        <v>245</v>
      </c>
      <c r="N83" s="40">
        <v>46534</v>
      </c>
      <c r="O83" s="40">
        <v>46536</v>
      </c>
      <c r="P83" s="39">
        <v>3</v>
      </c>
      <c r="Q83" s="50" t="s">
        <v>1826</v>
      </c>
      <c r="R83" s="51">
        <v>46537</v>
      </c>
      <c r="S83" s="51">
        <v>46538</v>
      </c>
      <c r="T83" s="50">
        <v>2</v>
      </c>
      <c r="U83" s="18"/>
      <c r="V83" s="27" t="s">
        <v>349</v>
      </c>
    </row>
    <row r="84" spans="1:22" x14ac:dyDescent="0.3">
      <c r="A84" s="25" t="s">
        <v>1900</v>
      </c>
      <c r="B84" s="20" t="s">
        <v>337</v>
      </c>
      <c r="C84" s="20" t="s">
        <v>93</v>
      </c>
      <c r="D84" s="20" t="s">
        <v>12</v>
      </c>
      <c r="E84" s="164" t="s">
        <v>3915</v>
      </c>
      <c r="F84" s="20" t="s">
        <v>127</v>
      </c>
      <c r="G84" s="44">
        <v>46546</v>
      </c>
      <c r="H84" s="55">
        <v>46544</v>
      </c>
      <c r="I84" s="37" t="s">
        <v>248</v>
      </c>
      <c r="J84" s="38">
        <v>46533</v>
      </c>
      <c r="K84" s="38">
        <v>46537</v>
      </c>
      <c r="L84" s="37">
        <v>5</v>
      </c>
      <c r="M84" s="41" t="s">
        <v>267</v>
      </c>
      <c r="N84" s="42">
        <v>46538</v>
      </c>
      <c r="O84" s="42">
        <v>46540</v>
      </c>
      <c r="P84" s="41">
        <v>3</v>
      </c>
      <c r="Q84" s="52" t="s">
        <v>1828</v>
      </c>
      <c r="R84" s="53">
        <v>46541</v>
      </c>
      <c r="S84" s="53">
        <v>46542</v>
      </c>
      <c r="T84" s="52">
        <v>2</v>
      </c>
      <c r="U84" s="20"/>
      <c r="V84" s="28" t="s">
        <v>344</v>
      </c>
    </row>
    <row r="87" spans="1:22" ht="18" x14ac:dyDescent="0.35">
      <c r="A87" s="45" t="s">
        <v>1795</v>
      </c>
    </row>
    <row r="89" spans="1:22" x14ac:dyDescent="0.3">
      <c r="A89" t="s">
        <v>1796</v>
      </c>
    </row>
    <row r="90" spans="1:22" x14ac:dyDescent="0.3">
      <c r="A90" t="s">
        <v>1901</v>
      </c>
    </row>
    <row r="91" spans="1:22" x14ac:dyDescent="0.3">
      <c r="A91" t="s">
        <v>1902</v>
      </c>
    </row>
    <row r="92" spans="1:22" x14ac:dyDescent="0.3">
      <c r="A92" t="s">
        <v>1903</v>
      </c>
    </row>
    <row r="94" spans="1:22" x14ac:dyDescent="0.3">
      <c r="A94" t="s">
        <v>1797</v>
      </c>
    </row>
    <row r="95" spans="1:22" x14ac:dyDescent="0.3">
      <c r="A95" t="s">
        <v>1904</v>
      </c>
      <c r="F95" s="46" t="s">
        <v>1808</v>
      </c>
      <c r="G95" s="47" t="s">
        <v>1809</v>
      </c>
      <c r="H95" s="47"/>
      <c r="I95" s="48" t="s">
        <v>1810</v>
      </c>
      <c r="J95" s="49" t="s">
        <v>1811</v>
      </c>
    </row>
    <row r="98" spans="1:6" x14ac:dyDescent="0.3">
      <c r="A98" s="1" t="s">
        <v>1798</v>
      </c>
    </row>
    <row r="100" spans="1:6" x14ac:dyDescent="0.3">
      <c r="A100" s="7" t="s">
        <v>1799</v>
      </c>
      <c r="B100" s="7" t="s">
        <v>1800</v>
      </c>
      <c r="C100" s="7" t="s">
        <v>1801</v>
      </c>
    </row>
    <row r="101" spans="1:6" x14ac:dyDescent="0.3">
      <c r="A101" t="s">
        <v>1802</v>
      </c>
      <c r="B101">
        <f>COUNTA(A5:A84)</f>
        <v>80</v>
      </c>
    </row>
    <row r="102" spans="1:6" x14ac:dyDescent="0.3">
      <c r="A102" t="s">
        <v>1803</v>
      </c>
      <c r="B102">
        <f>COUNTIF(U5:U84,"*CONFLICT*")</f>
        <v>26</v>
      </c>
    </row>
    <row r="103" spans="1:6" x14ac:dyDescent="0.3">
      <c r="A103" t="s">
        <v>1804</v>
      </c>
      <c r="B103">
        <f>COUNTIF(F5:F84,"Large")</f>
        <v>15</v>
      </c>
    </row>
    <row r="104" spans="1:6" x14ac:dyDescent="0.3">
      <c r="A104" t="s">
        <v>1805</v>
      </c>
      <c r="B104">
        <f>COUNTIF(F5:F84,"Medium")</f>
        <v>30</v>
      </c>
    </row>
    <row r="105" spans="1:6" x14ac:dyDescent="0.3">
      <c r="A105" t="s">
        <v>1806</v>
      </c>
      <c r="B105">
        <f>COUNTIF(F5:F84,"Small")</f>
        <v>35</v>
      </c>
    </row>
    <row r="106" spans="1:6" x14ac:dyDescent="0.3">
      <c r="A106" t="s">
        <v>1807</v>
      </c>
      <c r="B106">
        <f>SUM(L5:L84)+SUM(P5:P84)+SUM(T5:T84)</f>
        <v>795</v>
      </c>
    </row>
    <row r="107" spans="1:6" x14ac:dyDescent="0.3">
      <c r="A107" t="s">
        <v>1905</v>
      </c>
      <c r="B107">
        <f>COUNTA(H5:H84)</f>
        <v>80</v>
      </c>
    </row>
    <row r="111" spans="1:6" ht="15.6" x14ac:dyDescent="0.3">
      <c r="A111" s="370" t="s">
        <v>2258</v>
      </c>
      <c r="B111" s="371"/>
      <c r="C111" s="371"/>
      <c r="D111" s="371"/>
      <c r="E111" s="371"/>
      <c r="F111" s="371"/>
    </row>
    <row r="112" spans="1:6" x14ac:dyDescent="0.3">
      <c r="A112" s="2" t="s">
        <v>2259</v>
      </c>
      <c r="B112" s="2" t="s">
        <v>108</v>
      </c>
      <c r="C112" s="2" t="s">
        <v>109</v>
      </c>
      <c r="D112" s="2" t="s">
        <v>2260</v>
      </c>
      <c r="F112" s="2" t="s">
        <v>106</v>
      </c>
    </row>
    <row r="113" spans="1:6" x14ac:dyDescent="0.3">
      <c r="A113" t="s">
        <v>2261</v>
      </c>
      <c r="B113" s="3">
        <v>46369</v>
      </c>
      <c r="C113" s="3">
        <v>46387</v>
      </c>
      <c r="D113">
        <v>19</v>
      </c>
      <c r="F113" t="s">
        <v>2262</v>
      </c>
    </row>
    <row r="114" spans="1:6" x14ac:dyDescent="0.3">
      <c r="A114" t="s">
        <v>2263</v>
      </c>
      <c r="B114" s="3">
        <v>46472</v>
      </c>
      <c r="C114" s="3">
        <v>46474</v>
      </c>
      <c r="D114">
        <v>3</v>
      </c>
      <c r="F114" t="s">
        <v>2264</v>
      </c>
    </row>
    <row r="115" spans="1:6" x14ac:dyDescent="0.3">
      <c r="A115" t="s">
        <v>2265</v>
      </c>
      <c r="B115" s="3">
        <v>46563</v>
      </c>
      <c r="C115" s="3">
        <v>46565</v>
      </c>
      <c r="D115">
        <v>3</v>
      </c>
      <c r="F115" t="s">
        <v>2264</v>
      </c>
    </row>
  </sheetData>
  <mergeCells count="2">
    <mergeCell ref="A111:F111"/>
    <mergeCell ref="A1:B1"/>
  </mergeCells>
  <conditionalFormatting sqref="A5:V115">
    <cfRule type="expression" dxfId="33" priority="1">
      <formula>OR(AND($D$1&lt;&gt;"All Time",IF($D$1="Today",$G5&lt;&gt;TODAY(),IF($D$1="This Week",OR($G5&lt;TODAY(),$G5&gt;TODAY()+7),IF($D$1="This Month",OR($G5&lt;TODAY(),$G5&gt;TODAY()+30),OR($G5&lt;DATE(YEAR(TODAY()),1,1),$G5&gt;DATE(YEAR(TODAY()),12,31)))))),AND($F$1&lt;&gt;"All",$D5&lt;&gt;$F$1),AND($H$1&lt;&gt;"All",$C5&lt;&gt;$H$1),AND($J$1&lt;&gt;"All",IF($J$1="Conflict Only",$U5="",IF($J$1="No Conflict",$U5&lt;&gt;"",FALSE))))</formula>
    </cfRule>
  </conditionalFormatting>
  <dataValidations count="4">
    <dataValidation type="list" allowBlank="1" showInputMessage="1" showErrorMessage="1" sqref="D1" xr:uid="{6475C99B-FBBD-4CB5-AC93-5E5A1B1C95BB}">
      <formula1>"All Time,Today,This Week,This Month,This Year"</formula1>
    </dataValidation>
    <dataValidation type="list" allowBlank="1" showInputMessage="1" showErrorMessage="1" sqref="F1" xr:uid="{AA65D523-26A7-4958-B1A9-87549FE72400}">
      <formula1>"All,Finance,Logistics,CRM,Manufacturing,IT,HR,Legal,Security"</formula1>
    </dataValidation>
    <dataValidation type="list" allowBlank="1" showInputMessage="1" showErrorMessage="1" sqref="H1" xr:uid="{59A7C151-784A-477F-BF59-0DA9BB585DC9}">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J1" xr:uid="{F88D48F5-EA42-4010-9533-084B91BE930D}">
      <formula1>"All,Conflict Only,No Conflict"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5C02-36D2-40A5-B8F1-2D8E56ED4D7C}">
  <sheetPr>
    <tabColor theme="5"/>
  </sheetPr>
  <dimension ref="A1:AX227"/>
  <sheetViews>
    <sheetView topLeftCell="A199" workbookViewId="0">
      <selection activeCell="H16" sqref="H16"/>
    </sheetView>
  </sheetViews>
  <sheetFormatPr defaultRowHeight="14.4" x14ac:dyDescent="0.3"/>
  <cols>
    <col min="1" max="1" width="14.77734375" customWidth="1"/>
    <col min="2" max="2" width="37" customWidth="1"/>
    <col min="3" max="3" width="16.6640625" customWidth="1"/>
    <col min="4" max="4" width="24.5546875" customWidth="1"/>
    <col min="5" max="8" width="11.109375" customWidth="1"/>
    <col min="9" max="9" width="27.77734375" customWidth="1"/>
    <col min="10" max="10" width="14.77734375" customWidth="1"/>
    <col min="11" max="11" width="33.33203125" customWidth="1"/>
    <col min="12" max="15" width="11.109375" customWidth="1"/>
    <col min="16" max="19" width="12" customWidth="1"/>
    <col min="20" max="22" width="11.109375" customWidth="1"/>
    <col min="23" max="31" width="12" customWidth="1"/>
    <col min="32" max="32" width="18.5546875" customWidth="1"/>
    <col min="33" max="33" width="16.6640625" customWidth="1"/>
    <col min="49" max="49" width="14.77734375" customWidth="1"/>
  </cols>
  <sheetData>
    <row r="1" spans="1:11" ht="18" x14ac:dyDescent="0.35">
      <c r="A1" s="131" t="s">
        <v>2698</v>
      </c>
      <c r="B1" s="131"/>
      <c r="C1" s="131"/>
      <c r="D1" s="131"/>
      <c r="E1" s="131"/>
      <c r="F1" s="131"/>
      <c r="G1" s="131"/>
      <c r="H1" s="131"/>
      <c r="I1" s="132"/>
      <c r="J1" s="133"/>
      <c r="K1" s="133"/>
    </row>
    <row r="2" spans="1:11" x14ac:dyDescent="0.3">
      <c r="A2" s="134" t="s">
        <v>2699</v>
      </c>
      <c r="B2" s="134"/>
      <c r="C2" s="134"/>
      <c r="D2" s="134"/>
      <c r="E2" s="134"/>
      <c r="F2" s="134"/>
      <c r="G2" s="134"/>
      <c r="H2" s="134"/>
      <c r="I2" s="135"/>
      <c r="J2" s="135"/>
      <c r="K2" s="135"/>
    </row>
    <row r="3" spans="1:11" x14ac:dyDescent="0.3">
      <c r="I3" s="5" t="s">
        <v>2755</v>
      </c>
      <c r="J3" s="5">
        <f>COUNTA($A$68:$A$79)</f>
        <v>12</v>
      </c>
      <c r="K3" s="5"/>
    </row>
    <row r="4" spans="1:11" x14ac:dyDescent="0.3">
      <c r="A4" s="17" t="s">
        <v>2700</v>
      </c>
      <c r="B4" s="17" t="s">
        <v>2802</v>
      </c>
      <c r="C4" s="17" t="s">
        <v>2786</v>
      </c>
      <c r="D4" s="17" t="s">
        <v>1919</v>
      </c>
      <c r="E4" s="17" t="s">
        <v>2803</v>
      </c>
      <c r="F4" s="17" t="s">
        <v>2804</v>
      </c>
      <c r="G4" s="17" t="s">
        <v>2702</v>
      </c>
      <c r="I4" s="81" t="s">
        <v>2756</v>
      </c>
      <c r="J4" s="88">
        <f>COUNTIF($AX$68:$AX$79,"SEVERE")</f>
        <v>2</v>
      </c>
      <c r="K4" s="81" t="s">
        <v>2757</v>
      </c>
    </row>
    <row r="5" spans="1:11" x14ac:dyDescent="0.3">
      <c r="A5" s="136" t="s">
        <v>2703</v>
      </c>
      <c r="B5" s="93" t="s">
        <v>2704</v>
      </c>
      <c r="C5" s="94">
        <v>0.04</v>
      </c>
      <c r="D5" s="93" t="s">
        <v>2805</v>
      </c>
      <c r="E5" s="93" t="s">
        <v>2806</v>
      </c>
      <c r="F5" s="93" t="s">
        <v>2807</v>
      </c>
      <c r="G5" s="93" t="s">
        <v>2705</v>
      </c>
      <c r="I5" s="80" t="s">
        <v>2758</v>
      </c>
      <c r="J5" s="130">
        <f>COUNTIF($AX$68:$AX$79,"CRITICAL")</f>
        <v>1</v>
      </c>
      <c r="K5" s="80" t="s">
        <v>3047</v>
      </c>
    </row>
    <row r="6" spans="1:11" x14ac:dyDescent="0.3">
      <c r="A6" s="137"/>
      <c r="B6" s="93" t="s">
        <v>2706</v>
      </c>
      <c r="C6" s="94">
        <v>0.03</v>
      </c>
      <c r="D6" s="93" t="s">
        <v>2808</v>
      </c>
      <c r="E6" s="93" t="s">
        <v>2809</v>
      </c>
      <c r="F6" s="93" t="s">
        <v>2810</v>
      </c>
      <c r="G6" s="93" t="s">
        <v>2705</v>
      </c>
      <c r="I6" s="79" t="s">
        <v>2759</v>
      </c>
      <c r="J6" s="79">
        <f>COUNTIF($AX$68:$AX$79,"HIGH")</f>
        <v>0</v>
      </c>
      <c r="K6" s="79" t="s">
        <v>3046</v>
      </c>
    </row>
    <row r="7" spans="1:11" x14ac:dyDescent="0.3">
      <c r="A7" s="137"/>
      <c r="B7" s="93" t="s">
        <v>2707</v>
      </c>
      <c r="C7" s="94">
        <v>0.05</v>
      </c>
      <c r="D7" s="93" t="s">
        <v>2811</v>
      </c>
      <c r="E7" s="93">
        <v>0</v>
      </c>
      <c r="F7" s="93" t="s">
        <v>2812</v>
      </c>
      <c r="G7" s="93" t="s">
        <v>2708</v>
      </c>
      <c r="I7" s="78" t="s">
        <v>2760</v>
      </c>
      <c r="J7" s="78">
        <f>COUNTIF($AX$68:$AX$79,"MEDIUM")</f>
        <v>5</v>
      </c>
      <c r="K7" s="78" t="s">
        <v>3045</v>
      </c>
    </row>
    <row r="8" spans="1:11" x14ac:dyDescent="0.3">
      <c r="A8" s="137"/>
      <c r="B8" s="93" t="s">
        <v>2709</v>
      </c>
      <c r="C8" s="94">
        <v>0.04</v>
      </c>
      <c r="D8" s="93" t="s">
        <v>2710</v>
      </c>
      <c r="E8" s="93">
        <v>0</v>
      </c>
      <c r="F8" s="93" t="s">
        <v>2813</v>
      </c>
      <c r="G8" s="93" t="s">
        <v>2711</v>
      </c>
      <c r="I8" s="77" t="s">
        <v>2761</v>
      </c>
      <c r="J8" s="77">
        <f>COUNTIF($AX$68:$AX$79,"LOW")</f>
        <v>4</v>
      </c>
      <c r="K8" s="77" t="s">
        <v>3044</v>
      </c>
    </row>
    <row r="9" spans="1:11" x14ac:dyDescent="0.3">
      <c r="A9" s="138"/>
      <c r="B9" s="93" t="s">
        <v>2814</v>
      </c>
      <c r="C9" s="94">
        <v>0.02</v>
      </c>
      <c r="D9" s="93" t="s">
        <v>2815</v>
      </c>
      <c r="E9" s="93" t="s">
        <v>2816</v>
      </c>
      <c r="F9" s="93" t="s">
        <v>2817</v>
      </c>
      <c r="G9" s="93" t="s">
        <v>2818</v>
      </c>
      <c r="I9" s="5"/>
      <c r="J9" s="5"/>
      <c r="K9" s="5"/>
    </row>
    <row r="10" spans="1:11" x14ac:dyDescent="0.3">
      <c r="A10" s="139" t="s">
        <v>2712</v>
      </c>
      <c r="B10" s="77" t="s">
        <v>2713</v>
      </c>
      <c r="C10" s="95">
        <v>0.06</v>
      </c>
      <c r="D10" s="77" t="s">
        <v>2819</v>
      </c>
      <c r="E10" s="77" t="s">
        <v>2820</v>
      </c>
      <c r="F10" s="77" t="s">
        <v>2821</v>
      </c>
      <c r="G10" s="77" t="s">
        <v>2822</v>
      </c>
      <c r="I10" s="121" t="s">
        <v>2762</v>
      </c>
      <c r="J10" s="92">
        <f>ROUND(AVERAGE($AW$68:$AW$79),2)</f>
        <v>2.2799999999999998</v>
      </c>
      <c r="K10" s="5"/>
    </row>
    <row r="11" spans="1:11" x14ac:dyDescent="0.3">
      <c r="A11" s="140"/>
      <c r="B11" s="77" t="s">
        <v>2714</v>
      </c>
      <c r="C11" s="95">
        <v>0.03</v>
      </c>
      <c r="D11" s="77" t="s">
        <v>2823</v>
      </c>
      <c r="E11" s="77" t="s">
        <v>2824</v>
      </c>
      <c r="F11" s="77" t="s">
        <v>2825</v>
      </c>
      <c r="G11" s="77" t="s">
        <v>2826</v>
      </c>
      <c r="I11" s="5" t="s">
        <v>2763</v>
      </c>
      <c r="J11" s="5" t="str">
        <f>INDEX($A$68:$A$79,MATCH(MAX($AW$68:$AW$79),$AW$68:$AW$79,0))</f>
        <v>REL-0010</v>
      </c>
      <c r="K11" s="92">
        <f>MAX($AW$68:$AW$79)</f>
        <v>4.5199999999999996</v>
      </c>
    </row>
    <row r="12" spans="1:11" x14ac:dyDescent="0.3">
      <c r="A12" s="140"/>
      <c r="B12" s="77" t="s">
        <v>2715</v>
      </c>
      <c r="C12" s="95">
        <v>0.04</v>
      </c>
      <c r="D12" s="77" t="s">
        <v>2827</v>
      </c>
      <c r="E12" s="77" t="s">
        <v>2828</v>
      </c>
      <c r="F12" s="77" t="s">
        <v>2829</v>
      </c>
      <c r="G12" s="77" t="s">
        <v>2830</v>
      </c>
    </row>
    <row r="13" spans="1:11" x14ac:dyDescent="0.3">
      <c r="A13" s="140"/>
      <c r="B13" s="77" t="s">
        <v>2716</v>
      </c>
      <c r="C13" s="95">
        <v>0.02</v>
      </c>
      <c r="D13" s="77" t="s">
        <v>2831</v>
      </c>
      <c r="E13" s="77" t="s">
        <v>2832</v>
      </c>
      <c r="F13" s="77" t="s">
        <v>2821</v>
      </c>
      <c r="G13" s="77" t="s">
        <v>2830</v>
      </c>
    </row>
    <row r="14" spans="1:11" x14ac:dyDescent="0.3">
      <c r="A14" s="140"/>
      <c r="B14" s="77" t="s">
        <v>2717</v>
      </c>
      <c r="C14" s="95">
        <v>0.03</v>
      </c>
      <c r="D14" s="77" t="s">
        <v>2833</v>
      </c>
      <c r="E14" s="77" t="s">
        <v>2824</v>
      </c>
      <c r="F14" s="77" t="s">
        <v>2825</v>
      </c>
      <c r="G14" s="77" t="s">
        <v>2834</v>
      </c>
    </row>
    <row r="15" spans="1:11" x14ac:dyDescent="0.3">
      <c r="A15" s="140"/>
      <c r="B15" s="77" t="s">
        <v>2719</v>
      </c>
      <c r="C15" s="95">
        <v>0.04</v>
      </c>
      <c r="D15" s="77" t="s">
        <v>2720</v>
      </c>
      <c r="E15" s="77" t="s">
        <v>2835</v>
      </c>
      <c r="F15" s="77" t="s">
        <v>2836</v>
      </c>
      <c r="G15" s="77" t="s">
        <v>2830</v>
      </c>
    </row>
    <row r="16" spans="1:11" x14ac:dyDescent="0.3">
      <c r="A16" s="140"/>
      <c r="B16" s="77" t="s">
        <v>2721</v>
      </c>
      <c r="C16" s="95">
        <v>0.02</v>
      </c>
      <c r="D16" s="77" t="s">
        <v>2837</v>
      </c>
      <c r="E16" s="77" t="s">
        <v>2838</v>
      </c>
      <c r="F16" s="77" t="s">
        <v>2839</v>
      </c>
      <c r="G16" s="77" t="s">
        <v>2840</v>
      </c>
    </row>
    <row r="17" spans="1:11" x14ac:dyDescent="0.3">
      <c r="A17" s="141"/>
      <c r="B17" s="77" t="s">
        <v>2841</v>
      </c>
      <c r="C17" s="95">
        <v>0.02</v>
      </c>
      <c r="D17" s="77" t="s">
        <v>2842</v>
      </c>
      <c r="E17" s="77" t="s">
        <v>2843</v>
      </c>
      <c r="F17" s="77" t="s">
        <v>2844</v>
      </c>
      <c r="G17" s="77" t="s">
        <v>2845</v>
      </c>
    </row>
    <row r="18" spans="1:11" x14ac:dyDescent="0.3">
      <c r="A18" s="142" t="s">
        <v>2846</v>
      </c>
      <c r="B18" s="80" t="s">
        <v>2847</v>
      </c>
      <c r="C18" s="96">
        <v>0.03</v>
      </c>
      <c r="D18" s="80" t="s">
        <v>2848</v>
      </c>
      <c r="E18" s="80">
        <v>0</v>
      </c>
      <c r="F18" s="80" t="s">
        <v>2812</v>
      </c>
      <c r="G18" s="80" t="s">
        <v>2849</v>
      </c>
    </row>
    <row r="19" spans="1:11" x14ac:dyDescent="0.3">
      <c r="A19" s="143"/>
      <c r="B19" s="80" t="s">
        <v>2850</v>
      </c>
      <c r="C19" s="96">
        <v>0.02</v>
      </c>
      <c r="D19" s="80" t="s">
        <v>2851</v>
      </c>
      <c r="E19" s="80" t="s">
        <v>2852</v>
      </c>
      <c r="F19" s="80" t="s">
        <v>2853</v>
      </c>
      <c r="G19" s="80" t="s">
        <v>2854</v>
      </c>
    </row>
    <row r="20" spans="1:11" x14ac:dyDescent="0.3">
      <c r="A20" s="144"/>
      <c r="B20" s="80" t="s">
        <v>2855</v>
      </c>
      <c r="C20" s="96">
        <v>0.03</v>
      </c>
      <c r="D20" s="80" t="s">
        <v>2856</v>
      </c>
      <c r="E20" s="80" t="s">
        <v>2857</v>
      </c>
      <c r="F20" s="80" t="s">
        <v>2577</v>
      </c>
      <c r="G20" s="80" t="s">
        <v>2858</v>
      </c>
    </row>
    <row r="21" spans="1:11" x14ac:dyDescent="0.3">
      <c r="A21" s="145" t="s">
        <v>2859</v>
      </c>
      <c r="B21" s="97" t="s">
        <v>2860</v>
      </c>
      <c r="C21" s="98">
        <v>0.01</v>
      </c>
      <c r="D21" s="97" t="s">
        <v>2861</v>
      </c>
      <c r="E21" s="97" t="s">
        <v>2800</v>
      </c>
      <c r="F21" s="97" t="s">
        <v>2862</v>
      </c>
      <c r="G21" s="97" t="s">
        <v>2863</v>
      </c>
      <c r="I21" s="127" t="s">
        <v>3041</v>
      </c>
      <c r="J21" s="97"/>
      <c r="K21" s="97"/>
    </row>
    <row r="22" spans="1:11" x14ac:dyDescent="0.3">
      <c r="A22" s="146"/>
      <c r="B22" s="97" t="s">
        <v>2864</v>
      </c>
      <c r="C22" s="98">
        <v>1.4999999999999999E-2</v>
      </c>
      <c r="D22" s="97" t="s">
        <v>2865</v>
      </c>
      <c r="E22" s="97" t="s">
        <v>2866</v>
      </c>
      <c r="F22" s="97" t="s">
        <v>2766</v>
      </c>
      <c r="G22" s="97" t="s">
        <v>2867</v>
      </c>
      <c r="I22" s="76" t="s">
        <v>3042</v>
      </c>
      <c r="J22" s="76" t="s">
        <v>2737</v>
      </c>
      <c r="K22" s="76" t="s">
        <v>2739</v>
      </c>
    </row>
    <row r="23" spans="1:11" x14ac:dyDescent="0.3">
      <c r="A23" s="147"/>
      <c r="B23" s="97" t="s">
        <v>2868</v>
      </c>
      <c r="C23" s="98">
        <v>1.4999999999999999E-2</v>
      </c>
      <c r="D23" s="97" t="s">
        <v>2869</v>
      </c>
      <c r="E23" s="97" t="s">
        <v>2768</v>
      </c>
      <c r="F23" s="97" t="s">
        <v>2766</v>
      </c>
      <c r="G23" s="97" t="s">
        <v>2867</v>
      </c>
      <c r="I23" s="77" t="s">
        <v>2740</v>
      </c>
      <c r="J23" s="77" t="s">
        <v>3043</v>
      </c>
      <c r="K23" s="77" t="s">
        <v>3044</v>
      </c>
    </row>
    <row r="24" spans="1:11" x14ac:dyDescent="0.3">
      <c r="A24" s="148" t="s">
        <v>2722</v>
      </c>
      <c r="B24" s="99" t="s">
        <v>2723</v>
      </c>
      <c r="C24" s="100">
        <v>0.02</v>
      </c>
      <c r="D24" s="99" t="s">
        <v>2870</v>
      </c>
      <c r="E24" s="99" t="s">
        <v>2871</v>
      </c>
      <c r="F24" s="99" t="s">
        <v>2872</v>
      </c>
      <c r="G24" s="99" t="s">
        <v>2873</v>
      </c>
      <c r="I24" s="78" t="s">
        <v>2742</v>
      </c>
      <c r="J24" s="78" t="s">
        <v>2741</v>
      </c>
      <c r="K24" s="78" t="s">
        <v>3045</v>
      </c>
    </row>
    <row r="25" spans="1:11" x14ac:dyDescent="0.3">
      <c r="A25" s="149"/>
      <c r="B25" s="99" t="s">
        <v>2797</v>
      </c>
      <c r="C25" s="100">
        <v>0.03</v>
      </c>
      <c r="D25" s="99" t="s">
        <v>2874</v>
      </c>
      <c r="E25" s="99" t="s">
        <v>2724</v>
      </c>
      <c r="F25" s="99" t="s">
        <v>2875</v>
      </c>
      <c r="G25" s="99" t="s">
        <v>2267</v>
      </c>
      <c r="I25" s="79" t="s">
        <v>495</v>
      </c>
      <c r="J25" s="79" t="s">
        <v>2743</v>
      </c>
      <c r="K25" s="79" t="s">
        <v>3046</v>
      </c>
    </row>
    <row r="26" spans="1:11" x14ac:dyDescent="0.3">
      <c r="A26" s="149"/>
      <c r="B26" s="99" t="s">
        <v>2725</v>
      </c>
      <c r="C26" s="100">
        <v>0.04</v>
      </c>
      <c r="D26" s="99" t="s">
        <v>2876</v>
      </c>
      <c r="E26" s="99" t="s">
        <v>2877</v>
      </c>
      <c r="F26" s="99" t="s">
        <v>2878</v>
      </c>
      <c r="G26" s="99" t="s">
        <v>2718</v>
      </c>
      <c r="I26" s="80" t="s">
        <v>518</v>
      </c>
      <c r="J26" s="80" t="s">
        <v>2744</v>
      </c>
      <c r="K26" s="80" t="s">
        <v>3047</v>
      </c>
    </row>
    <row r="27" spans="1:11" x14ac:dyDescent="0.3">
      <c r="A27" s="149"/>
      <c r="B27" s="99" t="s">
        <v>2726</v>
      </c>
      <c r="C27" s="100">
        <v>0.03</v>
      </c>
      <c r="D27" s="99" t="s">
        <v>2879</v>
      </c>
      <c r="E27" s="99">
        <v>0</v>
      </c>
      <c r="F27" s="99" t="s">
        <v>2813</v>
      </c>
      <c r="G27" s="99" t="s">
        <v>2696</v>
      </c>
      <c r="I27" s="81" t="s">
        <v>2745</v>
      </c>
      <c r="J27" s="81" t="s">
        <v>3048</v>
      </c>
      <c r="K27" s="81" t="s">
        <v>3049</v>
      </c>
    </row>
    <row r="28" spans="1:11" x14ac:dyDescent="0.3">
      <c r="A28" s="150"/>
      <c r="B28" s="99" t="s">
        <v>2880</v>
      </c>
      <c r="C28" s="100">
        <v>0.02</v>
      </c>
      <c r="D28" s="99" t="s">
        <v>2881</v>
      </c>
      <c r="E28" s="99">
        <v>0</v>
      </c>
      <c r="F28" s="99" t="s">
        <v>2813</v>
      </c>
      <c r="G28" s="99" t="s">
        <v>2882</v>
      </c>
    </row>
    <row r="29" spans="1:11" x14ac:dyDescent="0.3">
      <c r="A29" s="151" t="s">
        <v>2727</v>
      </c>
      <c r="B29" s="70" t="s">
        <v>2728</v>
      </c>
      <c r="C29" s="101">
        <v>0.03</v>
      </c>
      <c r="D29" s="70" t="s">
        <v>2883</v>
      </c>
      <c r="E29" s="70">
        <v>0</v>
      </c>
      <c r="F29" s="70" t="s">
        <v>2813</v>
      </c>
      <c r="G29" s="70" t="s">
        <v>2884</v>
      </c>
    </row>
    <row r="30" spans="1:11" x14ac:dyDescent="0.3">
      <c r="A30" s="152"/>
      <c r="B30" s="70" t="s">
        <v>2729</v>
      </c>
      <c r="C30" s="101">
        <v>0.02</v>
      </c>
      <c r="D30" s="70" t="s">
        <v>2885</v>
      </c>
      <c r="E30" s="70">
        <v>0</v>
      </c>
      <c r="F30" s="70" t="s">
        <v>2813</v>
      </c>
      <c r="G30" s="70" t="s">
        <v>2696</v>
      </c>
    </row>
    <row r="31" spans="1:11" x14ac:dyDescent="0.3">
      <c r="A31" s="152"/>
      <c r="B31" s="70" t="s">
        <v>2730</v>
      </c>
      <c r="C31" s="101">
        <v>0.02</v>
      </c>
      <c r="D31" s="70" t="s">
        <v>2886</v>
      </c>
      <c r="E31" s="70" t="s">
        <v>2887</v>
      </c>
      <c r="F31" s="70" t="s">
        <v>2888</v>
      </c>
      <c r="G31" s="70" t="s">
        <v>2889</v>
      </c>
    </row>
    <row r="32" spans="1:11" x14ac:dyDescent="0.3">
      <c r="A32" s="153"/>
      <c r="B32" s="70" t="s">
        <v>2890</v>
      </c>
      <c r="C32" s="101">
        <v>0.02</v>
      </c>
      <c r="D32" s="70" t="s">
        <v>2891</v>
      </c>
      <c r="E32" s="70" t="s">
        <v>2892</v>
      </c>
      <c r="F32" s="70" t="s">
        <v>2893</v>
      </c>
      <c r="G32" s="70" t="s">
        <v>2894</v>
      </c>
    </row>
    <row r="33" spans="1:7" x14ac:dyDescent="0.3">
      <c r="A33" s="381" t="s">
        <v>2731</v>
      </c>
      <c r="B33" s="69" t="s">
        <v>2546</v>
      </c>
      <c r="C33" s="102">
        <v>0.02</v>
      </c>
      <c r="D33" s="69" t="s">
        <v>2895</v>
      </c>
      <c r="E33" s="69" t="s">
        <v>2896</v>
      </c>
      <c r="F33" s="69" t="s">
        <v>2897</v>
      </c>
      <c r="G33" s="69" t="s">
        <v>2898</v>
      </c>
    </row>
    <row r="34" spans="1:7" x14ac:dyDescent="0.3">
      <c r="A34" s="382"/>
      <c r="B34" s="69" t="s">
        <v>2547</v>
      </c>
      <c r="C34" s="102">
        <v>0.02</v>
      </c>
      <c r="D34" s="69" t="s">
        <v>2899</v>
      </c>
      <c r="E34" s="69" t="s">
        <v>2820</v>
      </c>
      <c r="F34" s="69" t="s">
        <v>2900</v>
      </c>
      <c r="G34" s="69" t="s">
        <v>2901</v>
      </c>
    </row>
    <row r="35" spans="1:7" x14ac:dyDescent="0.3">
      <c r="A35" s="382"/>
      <c r="B35" s="69" t="s">
        <v>2798</v>
      </c>
      <c r="C35" s="102">
        <v>1.4999999999999999E-2</v>
      </c>
      <c r="D35" s="69" t="s">
        <v>2902</v>
      </c>
      <c r="E35" s="69" t="s">
        <v>2903</v>
      </c>
      <c r="F35" s="69" t="s">
        <v>2732</v>
      </c>
      <c r="G35" s="69" t="s">
        <v>2268</v>
      </c>
    </row>
    <row r="36" spans="1:7" x14ac:dyDescent="0.3">
      <c r="A36" s="382"/>
      <c r="B36" s="69" t="s">
        <v>2733</v>
      </c>
      <c r="C36" s="102">
        <v>5.0000000000000001E-3</v>
      </c>
      <c r="D36" s="69" t="s">
        <v>2904</v>
      </c>
      <c r="E36" s="69" t="s">
        <v>2734</v>
      </c>
      <c r="F36" s="69" t="s">
        <v>2905</v>
      </c>
      <c r="G36" s="69" t="s">
        <v>2906</v>
      </c>
    </row>
    <row r="37" spans="1:7" x14ac:dyDescent="0.3">
      <c r="A37" s="382"/>
      <c r="B37" s="69" t="s">
        <v>2907</v>
      </c>
      <c r="C37" s="102">
        <v>0.02</v>
      </c>
      <c r="D37" s="69" t="s">
        <v>2908</v>
      </c>
      <c r="E37" s="69" t="s">
        <v>2909</v>
      </c>
      <c r="F37" s="69" t="s">
        <v>2910</v>
      </c>
      <c r="G37" s="69" t="s">
        <v>2898</v>
      </c>
    </row>
    <row r="38" spans="1:7" x14ac:dyDescent="0.3">
      <c r="A38" s="383"/>
      <c r="B38" s="69" t="s">
        <v>2911</v>
      </c>
      <c r="C38" s="102">
        <v>1.4999999999999999E-2</v>
      </c>
      <c r="D38" s="69" t="s">
        <v>2912</v>
      </c>
      <c r="E38" s="69" t="s">
        <v>2820</v>
      </c>
      <c r="F38" s="69" t="s">
        <v>2900</v>
      </c>
      <c r="G38" s="69" t="s">
        <v>2913</v>
      </c>
    </row>
    <row r="39" spans="1:7" x14ac:dyDescent="0.3">
      <c r="A39" s="372" t="s">
        <v>2914</v>
      </c>
      <c r="B39" s="103" t="s">
        <v>2915</v>
      </c>
      <c r="C39" s="104">
        <v>0.02</v>
      </c>
      <c r="D39" s="103" t="s">
        <v>2916</v>
      </c>
      <c r="E39" s="103" t="s">
        <v>2852</v>
      </c>
      <c r="F39" s="103" t="s">
        <v>2853</v>
      </c>
      <c r="G39" s="103" t="s">
        <v>2917</v>
      </c>
    </row>
    <row r="40" spans="1:7" x14ac:dyDescent="0.3">
      <c r="A40" s="373"/>
      <c r="B40" s="103" t="s">
        <v>2918</v>
      </c>
      <c r="C40" s="104">
        <v>0.02</v>
      </c>
      <c r="D40" s="103" t="s">
        <v>2919</v>
      </c>
      <c r="E40" s="103" t="s">
        <v>2920</v>
      </c>
      <c r="F40" s="103" t="s">
        <v>2921</v>
      </c>
      <c r="G40" s="103" t="s">
        <v>2922</v>
      </c>
    </row>
    <row r="41" spans="1:7" x14ac:dyDescent="0.3">
      <c r="A41" s="374" t="s">
        <v>2771</v>
      </c>
      <c r="B41" s="85" t="s">
        <v>2774</v>
      </c>
      <c r="C41" s="105">
        <v>1.4999999999999999E-2</v>
      </c>
      <c r="D41" s="85" t="s">
        <v>2923</v>
      </c>
      <c r="E41" s="85" t="s">
        <v>2765</v>
      </c>
      <c r="F41" s="85" t="s">
        <v>2766</v>
      </c>
      <c r="G41" s="85" t="s">
        <v>2767</v>
      </c>
    </row>
    <row r="42" spans="1:7" ht="34.950000000000003" customHeight="1" x14ac:dyDescent="0.3">
      <c r="A42" s="375"/>
      <c r="B42" s="85" t="s">
        <v>2777</v>
      </c>
      <c r="C42" s="105">
        <v>1.4999999999999999E-2</v>
      </c>
      <c r="D42" s="85" t="s">
        <v>2924</v>
      </c>
      <c r="E42" s="85" t="s">
        <v>2768</v>
      </c>
      <c r="F42" s="85" t="s">
        <v>2778</v>
      </c>
      <c r="G42" s="85" t="s">
        <v>2779</v>
      </c>
    </row>
    <row r="43" spans="1:7" x14ac:dyDescent="0.3">
      <c r="A43" s="375"/>
      <c r="B43" s="85" t="s">
        <v>2925</v>
      </c>
      <c r="C43" s="105">
        <v>5.0000000000000001E-3</v>
      </c>
      <c r="D43" s="85" t="s">
        <v>2926</v>
      </c>
      <c r="E43" s="85" t="s">
        <v>2769</v>
      </c>
      <c r="F43" s="85" t="s">
        <v>2927</v>
      </c>
      <c r="G43" s="85" t="s">
        <v>2770</v>
      </c>
    </row>
    <row r="44" spans="1:7" x14ac:dyDescent="0.3">
      <c r="A44" s="375"/>
      <c r="B44" s="85" t="s">
        <v>2928</v>
      </c>
      <c r="C44" s="105">
        <v>5.0000000000000001E-3</v>
      </c>
      <c r="D44" s="85" t="s">
        <v>2929</v>
      </c>
      <c r="E44" s="85" t="s">
        <v>2930</v>
      </c>
      <c r="F44" s="85" t="s">
        <v>2931</v>
      </c>
      <c r="G44" s="85" t="s">
        <v>2932</v>
      </c>
    </row>
    <row r="45" spans="1:7" x14ac:dyDescent="0.3">
      <c r="A45" s="375"/>
      <c r="B45" s="85" t="s">
        <v>2776</v>
      </c>
      <c r="C45" s="105">
        <v>5.0000000000000001E-3</v>
      </c>
      <c r="D45" s="85" t="s">
        <v>2933</v>
      </c>
      <c r="E45" s="85" t="s">
        <v>2934</v>
      </c>
      <c r="F45" s="85" t="s">
        <v>2935</v>
      </c>
      <c r="G45" s="85" t="s">
        <v>2773</v>
      </c>
    </row>
    <row r="46" spans="1:7" x14ac:dyDescent="0.3">
      <c r="A46" s="376"/>
      <c r="B46" s="85" t="s">
        <v>2936</v>
      </c>
      <c r="C46" s="105">
        <v>5.0000000000000001E-3</v>
      </c>
      <c r="D46" s="85" t="s">
        <v>2937</v>
      </c>
      <c r="E46" s="85">
        <v>0</v>
      </c>
      <c r="F46" s="85" t="s">
        <v>2938</v>
      </c>
      <c r="G46" s="85" t="s">
        <v>2939</v>
      </c>
    </row>
    <row r="47" spans="1:7" x14ac:dyDescent="0.3">
      <c r="A47" s="377" t="s">
        <v>2940</v>
      </c>
      <c r="B47" s="71" t="s">
        <v>2941</v>
      </c>
      <c r="C47" s="106">
        <v>0.01</v>
      </c>
      <c r="D47" s="71" t="s">
        <v>2942</v>
      </c>
      <c r="E47" s="71" t="s">
        <v>118</v>
      </c>
      <c r="F47" s="71" t="s">
        <v>128</v>
      </c>
      <c r="G47" s="71" t="s">
        <v>2943</v>
      </c>
    </row>
    <row r="48" spans="1:7" x14ac:dyDescent="0.3">
      <c r="A48" s="378"/>
      <c r="B48" s="71" t="s">
        <v>2944</v>
      </c>
      <c r="C48" s="106">
        <v>0.01</v>
      </c>
      <c r="D48" s="71" t="s">
        <v>2945</v>
      </c>
      <c r="E48" s="71" t="s">
        <v>2946</v>
      </c>
      <c r="F48" s="71" t="s">
        <v>2947</v>
      </c>
      <c r="G48" s="71" t="s">
        <v>2948</v>
      </c>
    </row>
    <row r="50" spans="1:3" x14ac:dyDescent="0.3">
      <c r="A50" s="379" t="s">
        <v>2735</v>
      </c>
      <c r="B50" s="380"/>
      <c r="C50" s="380"/>
    </row>
    <row r="51" spans="1:3" x14ac:dyDescent="0.3">
      <c r="A51" s="76" t="s">
        <v>2700</v>
      </c>
      <c r="B51" s="76" t="s">
        <v>2786</v>
      </c>
      <c r="C51" s="76" t="s">
        <v>2949</v>
      </c>
    </row>
    <row r="52" spans="1:3" x14ac:dyDescent="0.3">
      <c r="A52" s="93" t="s">
        <v>2703</v>
      </c>
      <c r="B52" s="107">
        <v>0.18</v>
      </c>
      <c r="C52" s="93" t="s">
        <v>2950</v>
      </c>
    </row>
    <row r="53" spans="1:3" x14ac:dyDescent="0.3">
      <c r="A53" s="77" t="s">
        <v>2712</v>
      </c>
      <c r="B53" s="108">
        <v>0.26</v>
      </c>
      <c r="C53" s="77" t="s">
        <v>2951</v>
      </c>
    </row>
    <row r="54" spans="1:3" x14ac:dyDescent="0.3">
      <c r="A54" s="80" t="s">
        <v>2846</v>
      </c>
      <c r="B54" s="109">
        <v>0.08</v>
      </c>
      <c r="C54" s="80" t="s">
        <v>2952</v>
      </c>
    </row>
    <row r="55" spans="1:3" x14ac:dyDescent="0.3">
      <c r="A55" s="97" t="s">
        <v>2859</v>
      </c>
      <c r="B55" s="110">
        <v>0.04</v>
      </c>
      <c r="C55" s="97" t="s">
        <v>2952</v>
      </c>
    </row>
    <row r="56" spans="1:3" ht="18" x14ac:dyDescent="0.35">
      <c r="A56" s="116" t="s">
        <v>2722</v>
      </c>
      <c r="B56" s="111">
        <v>0.14000000000000001</v>
      </c>
      <c r="C56" s="99" t="s">
        <v>2950</v>
      </c>
    </row>
    <row r="57" spans="1:3" x14ac:dyDescent="0.3">
      <c r="A57" s="70" t="s">
        <v>2727</v>
      </c>
      <c r="B57" s="112">
        <v>0.09</v>
      </c>
      <c r="C57" s="70" t="s">
        <v>2953</v>
      </c>
    </row>
    <row r="58" spans="1:3" x14ac:dyDescent="0.3">
      <c r="A58" s="117" t="s">
        <v>2731</v>
      </c>
      <c r="B58" s="113">
        <v>0.1</v>
      </c>
      <c r="C58" s="69" t="s">
        <v>2954</v>
      </c>
    </row>
    <row r="59" spans="1:3" x14ac:dyDescent="0.3">
      <c r="A59" s="118" t="s">
        <v>2914</v>
      </c>
      <c r="B59" s="114">
        <v>0.04</v>
      </c>
      <c r="C59" s="103" t="s">
        <v>2955</v>
      </c>
    </row>
    <row r="60" spans="1:3" x14ac:dyDescent="0.3">
      <c r="A60" s="87" t="s">
        <v>2771</v>
      </c>
      <c r="B60" s="86">
        <v>0.05</v>
      </c>
      <c r="C60" s="85" t="s">
        <v>2954</v>
      </c>
    </row>
    <row r="61" spans="1:3" x14ac:dyDescent="0.3">
      <c r="A61" s="119" t="s">
        <v>2940</v>
      </c>
      <c r="B61" s="115">
        <v>0.02</v>
      </c>
      <c r="C61" s="71" t="s">
        <v>2955</v>
      </c>
    </row>
    <row r="62" spans="1:3" x14ac:dyDescent="0.3">
      <c r="A62" s="75" t="s">
        <v>2736</v>
      </c>
      <c r="B62" s="73">
        <v>1</v>
      </c>
      <c r="C62" s="75" t="s">
        <v>2956</v>
      </c>
    </row>
    <row r="63" spans="1:3" x14ac:dyDescent="0.3">
      <c r="A63" s="89" t="s">
        <v>2780</v>
      </c>
    </row>
    <row r="65" spans="1:50" ht="30" customHeight="1" x14ac:dyDescent="0.3"/>
    <row r="66" spans="1:50" ht="25.05" customHeight="1" x14ac:dyDescent="0.35">
      <c r="A66" s="385" t="s">
        <v>2746</v>
      </c>
      <c r="B66" s="339"/>
      <c r="C66" s="339"/>
      <c r="D66" s="339"/>
      <c r="E66" s="339"/>
      <c r="F66" s="339"/>
      <c r="G66" s="339"/>
      <c r="H66" s="339"/>
      <c r="I66" s="339"/>
      <c r="J66" s="339"/>
      <c r="K66" s="339"/>
      <c r="L66" s="339"/>
      <c r="M66" s="339"/>
      <c r="N66" s="339"/>
      <c r="O66" s="339"/>
      <c r="P66" s="339"/>
      <c r="Q66" s="339"/>
      <c r="R66" s="339"/>
      <c r="S66" s="339"/>
      <c r="T66" s="339"/>
      <c r="U66" s="339"/>
      <c r="V66" s="339"/>
      <c r="W66" s="339"/>
      <c r="X66" s="339"/>
      <c r="Y66" s="339"/>
      <c r="Z66" s="339"/>
      <c r="AA66" s="339"/>
      <c r="AB66" s="339"/>
      <c r="AC66" s="339"/>
      <c r="AD66" s="339"/>
      <c r="AE66" s="339"/>
      <c r="AF66" s="339"/>
      <c r="AG66" s="339"/>
      <c r="AH66" s="339"/>
      <c r="AI66" s="339"/>
      <c r="AJ66" s="339"/>
      <c r="AK66" s="339"/>
      <c r="AL66" s="339"/>
      <c r="AM66" s="339"/>
      <c r="AN66" s="339"/>
      <c r="AO66" s="339"/>
      <c r="AP66" s="339"/>
      <c r="AQ66" s="339"/>
      <c r="AR66" s="339"/>
      <c r="AS66" s="339"/>
      <c r="AT66" s="339"/>
      <c r="AU66" s="339"/>
      <c r="AV66" s="339"/>
      <c r="AW66" s="339"/>
      <c r="AX66" s="339"/>
    </row>
    <row r="67" spans="1:50" ht="22.05" customHeight="1" x14ac:dyDescent="0.3">
      <c r="A67" s="126" t="s">
        <v>103</v>
      </c>
      <c r="B67" s="126" t="s">
        <v>104</v>
      </c>
      <c r="C67" s="126" t="s">
        <v>2325</v>
      </c>
      <c r="D67" s="126" t="s">
        <v>2326</v>
      </c>
      <c r="E67" s="126" t="s">
        <v>2704</v>
      </c>
      <c r="F67" s="126" t="s">
        <v>2747</v>
      </c>
      <c r="G67" s="126" t="s">
        <v>2748</v>
      </c>
      <c r="H67" s="126" t="s">
        <v>2749</v>
      </c>
      <c r="I67" s="126" t="s">
        <v>2957</v>
      </c>
      <c r="J67" s="126" t="s">
        <v>2713</v>
      </c>
      <c r="K67" s="126" t="s">
        <v>1786</v>
      </c>
      <c r="L67" s="126" t="s">
        <v>2750</v>
      </c>
      <c r="M67" s="126" t="s">
        <v>2716</v>
      </c>
      <c r="N67" s="126" t="s">
        <v>1790</v>
      </c>
      <c r="O67" s="126" t="s">
        <v>2719</v>
      </c>
      <c r="P67" s="126" t="s">
        <v>2721</v>
      </c>
      <c r="Q67" s="126" t="s">
        <v>2841</v>
      </c>
      <c r="R67" s="126" t="s">
        <v>2958</v>
      </c>
      <c r="S67" s="126" t="s">
        <v>2959</v>
      </c>
      <c r="T67" s="126" t="s">
        <v>2855</v>
      </c>
      <c r="U67" s="126" t="s">
        <v>2960</v>
      </c>
      <c r="V67" s="126" t="s">
        <v>2961</v>
      </c>
      <c r="W67" s="126" t="s">
        <v>2962</v>
      </c>
      <c r="X67" s="126" t="s">
        <v>2991</v>
      </c>
      <c r="Y67" s="126" t="s">
        <v>3015</v>
      </c>
      <c r="Z67" s="126" t="s">
        <v>3016</v>
      </c>
      <c r="AA67" s="126" t="s">
        <v>2963</v>
      </c>
      <c r="AB67" s="126" t="s">
        <v>2964</v>
      </c>
      <c r="AC67" s="126" t="s">
        <v>2965</v>
      </c>
      <c r="AD67" s="126" t="s">
        <v>2751</v>
      </c>
      <c r="AE67" s="126" t="s">
        <v>2997</v>
      </c>
      <c r="AF67" s="126" t="s">
        <v>2308</v>
      </c>
      <c r="AG67" s="126" t="s">
        <v>2546</v>
      </c>
      <c r="AH67" s="126" t="s">
        <v>3017</v>
      </c>
      <c r="AI67" s="126" t="s">
        <v>3018</v>
      </c>
      <c r="AJ67" s="126" t="s">
        <v>3002</v>
      </c>
      <c r="AK67" s="126" t="s">
        <v>2966</v>
      </c>
      <c r="AL67" s="126" t="s">
        <v>3019</v>
      </c>
      <c r="AM67" s="126" t="s">
        <v>2968</v>
      </c>
      <c r="AN67" s="126" t="s">
        <v>2918</v>
      </c>
      <c r="AO67" s="126" t="s">
        <v>3020</v>
      </c>
      <c r="AP67" s="126" t="s">
        <v>2969</v>
      </c>
      <c r="AQ67" s="126" t="s">
        <v>2776</v>
      </c>
      <c r="AR67" s="126" t="s">
        <v>3009</v>
      </c>
      <c r="AS67" s="126" t="s">
        <v>2774</v>
      </c>
      <c r="AT67" s="126" t="s">
        <v>2775</v>
      </c>
      <c r="AU67" s="126" t="s">
        <v>2941</v>
      </c>
      <c r="AV67" s="126" t="s">
        <v>2970</v>
      </c>
      <c r="AW67" s="120" t="s">
        <v>2752</v>
      </c>
      <c r="AX67" s="120" t="s">
        <v>2753</v>
      </c>
    </row>
    <row r="68" spans="1:50" x14ac:dyDescent="0.3">
      <c r="A68" s="5" t="s">
        <v>115</v>
      </c>
      <c r="B68" s="5" t="s">
        <v>116</v>
      </c>
      <c r="C68" s="6">
        <v>46203</v>
      </c>
      <c r="D68" s="5">
        <v>5</v>
      </c>
      <c r="E68" s="5">
        <v>12</v>
      </c>
      <c r="F68" s="5">
        <v>320</v>
      </c>
      <c r="G68" s="5">
        <v>0</v>
      </c>
      <c r="H68" s="5">
        <v>0</v>
      </c>
      <c r="I68" s="5">
        <v>1</v>
      </c>
      <c r="J68" s="5">
        <v>85</v>
      </c>
      <c r="K68" s="5">
        <v>3</v>
      </c>
      <c r="L68" s="5">
        <v>2</v>
      </c>
      <c r="M68" s="5">
        <v>100</v>
      </c>
      <c r="N68" s="5">
        <v>2</v>
      </c>
      <c r="O68" s="5">
        <v>0</v>
      </c>
      <c r="P68" s="5">
        <v>4</v>
      </c>
      <c r="Q68" s="5">
        <v>4</v>
      </c>
      <c r="R68" s="5">
        <v>0</v>
      </c>
      <c r="S68" s="5">
        <v>4</v>
      </c>
      <c r="T68" s="5">
        <v>5</v>
      </c>
      <c r="U68" s="5">
        <v>0</v>
      </c>
      <c r="V68" s="5">
        <v>5</v>
      </c>
      <c r="W68" s="5">
        <v>5</v>
      </c>
      <c r="X68" s="5">
        <v>2</v>
      </c>
      <c r="Y68" s="5">
        <v>2</v>
      </c>
      <c r="Z68" s="5">
        <v>30</v>
      </c>
      <c r="AA68" s="5">
        <v>5</v>
      </c>
      <c r="AB68" s="5">
        <v>1</v>
      </c>
      <c r="AC68" s="5">
        <v>2</v>
      </c>
      <c r="AD68" s="5">
        <v>5</v>
      </c>
      <c r="AE68" s="5">
        <v>0</v>
      </c>
      <c r="AF68" s="5">
        <v>5</v>
      </c>
      <c r="AG68" s="5">
        <v>4</v>
      </c>
      <c r="AH68" s="5">
        <v>4</v>
      </c>
      <c r="AI68" s="5">
        <v>4</v>
      </c>
      <c r="AJ68" s="5">
        <v>4</v>
      </c>
      <c r="AK68" s="5">
        <v>15</v>
      </c>
      <c r="AL68" s="5">
        <v>90</v>
      </c>
      <c r="AM68" s="5">
        <v>5</v>
      </c>
      <c r="AN68" s="5">
        <v>5</v>
      </c>
      <c r="AO68" s="5">
        <v>5</v>
      </c>
      <c r="AP68" s="5">
        <v>0</v>
      </c>
      <c r="AQ68" s="5">
        <v>90</v>
      </c>
      <c r="AR68" s="5">
        <v>0</v>
      </c>
      <c r="AS68" s="5">
        <v>5</v>
      </c>
      <c r="AT68" s="5">
        <v>4</v>
      </c>
      <c r="AU68" s="5">
        <v>1</v>
      </c>
      <c r="AV68" s="5">
        <v>500</v>
      </c>
      <c r="AW68" s="92">
        <f>ROUND((IF(E68&lt;10,1,IF(E68&lt;30,2,IF(E68&lt;60,3,IF(E68&lt;100,4,5))))*0.04)+(IF(F68&lt;200,1,IF(F68&lt;500,2,IF(F68&lt;1500,3,IF(F68&lt;3000,4,5))))*0.03)+(IF(G68=0,1,IF(G68=1,2,IF(G68=2,3,IF(G68&lt;5,4,5))))*0.05)+(IF(H68=0,1,IF(H68=1,2,IF(H68=2,3,IF(H68=3,4,5))))*0.04)+(I68*0.02)+(IF(J68&gt;90,1,IF(J68&gt;80,2,IF(J68&gt;70,3,IF(J68&gt;60,4,5))))*0.06)+(IF(K68&lt;3,1,IF(K68&lt;5,2,IF(K68&lt;7,3,IF(K68&lt;10,4,5))))*0.03)+(IF(L68&lt;3,1,IF(L68&lt;6,2,IF(L68&lt;10,3,IF(L68&lt;15,4,5))))*0.04)+(IF(M68&gt;95,1,IF(M68&gt;85,2,IF(M68&gt;75,3,IF(M68&gt;60,4,5))))*0.02)+(IF(N68&lt;3,1,IF(N68&lt;5,2,IF(N68&lt;7,3,IF(N68&lt;10,4,5))))*0.03)+(IF(O68&lt;2,1,IF(O68&lt;4,2,IF(O68&lt;7,3,IF(O68&lt;10,4,5))))*0.02)+((6-P68)*0.03)+((6-Q68)*0.02)+(IF(R68=0,1,IF(R68&lt;3,2,IF(R68&lt;5,3,IF(R68&lt;10,4,5))))*0.03)+((6-S68)*0.03)+((6-T68)*0.02)+(IF(U68=0,1,3)*0.015)+((6-V68)*0.01)+((6-W68)*0.015)+(IF(X68&lt;3,1,IF(X68&lt;6,2,IF(X68&lt;10,3,IF(X68&lt;15,4,5))))*0.02)+(IF(Y68&lt;2,1,IF(Y68&lt;4,2,IF(Y68&lt;6,3,IF(Y68&lt;8,4,5))))*0.03)+(IF(Z68&gt;14,1,IF(Z68&gt;7,2,IF(Z68&gt;3,3,IF(Z68&gt;1,4,5))))*0.03)+((6-AA68)*0.03)+(IF(AB68=0,1,IF(AB68=1,2,IF(AB68=2,3,IF(AB68=3,4,5))))*0.03)+(IF(AC68&lt;2,1,IF(AC68&lt;4,2,IF(AC68&lt;6,3,IF(AC68&lt;8,4,5))))*0.03)+((6-AD68)*0.02)+(IF(AE68=0,1,IF(AE68=1,3,5))*0.02)+((6-AF68)*0.02)+((6-AG68)*0.02)+((6-AH68)*0.015)+((6-AI68)*0.015)+((6-AJ68)*0.015)+(IF(AK68&lt;15,1,IF(AK68&lt;30,2,IF(AK68&lt;60,3,IF(AK68&lt;120,4,5))))*0.02)+(IF(AL68&gt;90,1,IF(AL68&gt;75,2,IF(AL68&gt;50,3,IF(AL68&gt;25,4,5))))*0.015)+((6-AM68)*0.02)+(IF(AN68&lt;5,1,IF(AN68&lt;10,2,IF(AN68&lt;15,3,IF(AN68&lt;25,4,5))))*0.02)+((6-AO68)*0.01)+(IF(AP68&lt;2,1,IF(AP68&lt;5,2,IF(AP68&lt;10,3,IF(AP68&lt;20,4,5))))*0.008)+(IF(AQ68&gt;60,1,IF(AQ68&gt;30,2,IF(AQ68&gt;14,3,IF(AQ68&gt;7,4,5))))*0.008)+(IF(AR68=0,1,IF(AR68=1,2,IF(AR68=2,3,IF(AR68=3,4,5))))*0.01)+((6-AS68)*0.008)+((6-AT68)*0.008)+(AU68*0.01)+(IF(AV68&lt;1000,1,IF(AV68&lt;5000,2,IF(AV68&lt;20000,3,IF(AV68&lt;50000,4,5))))*0.01),2)</f>
        <v>1.45</v>
      </c>
      <c r="AX68" s="83" t="str">
        <f>IF(AW68&gt;=4,"SEVERE",IF(AW68&gt;=3.5,"CRITICAL",IF(AW68&gt;=2.5,"HIGH",IF(AW68&gt;=1.5,"MEDIUM","LOW"))))</f>
        <v>LOW</v>
      </c>
    </row>
    <row r="69" spans="1:50" x14ac:dyDescent="0.3">
      <c r="A69" s="5" t="s">
        <v>125</v>
      </c>
      <c r="B69" s="5" t="s">
        <v>2971</v>
      </c>
      <c r="C69" s="6">
        <v>46207</v>
      </c>
      <c r="D69" s="5">
        <v>9</v>
      </c>
      <c r="E69" s="5">
        <v>45</v>
      </c>
      <c r="F69" s="5">
        <v>1200</v>
      </c>
      <c r="G69" s="5">
        <v>1</v>
      </c>
      <c r="H69" s="5">
        <v>1</v>
      </c>
      <c r="I69" s="5">
        <v>2</v>
      </c>
      <c r="J69" s="5">
        <v>72</v>
      </c>
      <c r="K69" s="5">
        <v>5</v>
      </c>
      <c r="L69" s="5">
        <v>8</v>
      </c>
      <c r="M69" s="5">
        <v>90</v>
      </c>
      <c r="N69" s="5">
        <v>4</v>
      </c>
      <c r="O69" s="5">
        <v>3</v>
      </c>
      <c r="P69" s="5">
        <v>3</v>
      </c>
      <c r="Q69" s="5">
        <v>3</v>
      </c>
      <c r="R69" s="5">
        <v>2</v>
      </c>
      <c r="S69" s="5">
        <v>3</v>
      </c>
      <c r="T69" s="5">
        <v>4</v>
      </c>
      <c r="U69" s="5">
        <v>0</v>
      </c>
      <c r="V69" s="5">
        <v>4</v>
      </c>
      <c r="W69" s="5">
        <v>5</v>
      </c>
      <c r="X69" s="5">
        <v>5</v>
      </c>
      <c r="Y69" s="5">
        <v>3</v>
      </c>
      <c r="Z69" s="5">
        <v>20</v>
      </c>
      <c r="AA69" s="5">
        <v>4</v>
      </c>
      <c r="AB69" s="5">
        <v>2</v>
      </c>
      <c r="AC69" s="5">
        <v>3</v>
      </c>
      <c r="AD69" s="5">
        <v>4</v>
      </c>
      <c r="AE69" s="5">
        <v>1</v>
      </c>
      <c r="AF69" s="5">
        <v>4</v>
      </c>
      <c r="AG69" s="5">
        <v>3</v>
      </c>
      <c r="AH69" s="5">
        <v>3</v>
      </c>
      <c r="AI69" s="5">
        <v>3</v>
      </c>
      <c r="AJ69" s="5">
        <v>4</v>
      </c>
      <c r="AK69" s="5">
        <v>30</v>
      </c>
      <c r="AL69" s="5">
        <v>75</v>
      </c>
      <c r="AM69" s="5">
        <v>4</v>
      </c>
      <c r="AN69" s="5">
        <v>10</v>
      </c>
      <c r="AO69" s="5">
        <v>4</v>
      </c>
      <c r="AP69" s="5">
        <v>3</v>
      </c>
      <c r="AQ69" s="5">
        <v>60</v>
      </c>
      <c r="AR69" s="5">
        <v>1</v>
      </c>
      <c r="AS69" s="5">
        <v>4</v>
      </c>
      <c r="AT69" s="5">
        <v>3</v>
      </c>
      <c r="AU69" s="5">
        <v>2</v>
      </c>
      <c r="AV69" s="5">
        <v>5000</v>
      </c>
      <c r="AW69" s="92">
        <f t="shared" ref="AW69:AW79" si="0">ROUND((IF(E69&lt;10,1,IF(E69&lt;30,2,IF(E69&lt;60,3,IF(E69&lt;100,4,5))))*0.04)+(IF(F69&lt;200,1,IF(F69&lt;500,2,IF(F69&lt;1500,3,IF(F69&lt;3000,4,5))))*0.03)+(IF(G69=0,1,IF(G69=1,2,IF(G69=2,3,IF(G69&lt;5,4,5))))*0.05)+(IF(H69=0,1,IF(H69=1,2,IF(H69=2,3,IF(H69=3,4,5))))*0.04)+(I69*0.02)+(IF(J69&gt;90,1,IF(J69&gt;80,2,IF(J69&gt;70,3,IF(J69&gt;60,4,5))))*0.06)+(IF(K69&lt;3,1,IF(K69&lt;5,2,IF(K69&lt;7,3,IF(K69&lt;10,4,5))))*0.03)+(IF(L69&lt;3,1,IF(L69&lt;6,2,IF(L69&lt;10,3,IF(L69&lt;15,4,5))))*0.04)+(IF(M69&gt;95,1,IF(M69&gt;85,2,IF(M69&gt;75,3,IF(M69&gt;60,4,5))))*0.02)+(IF(N69&lt;3,1,IF(N69&lt;5,2,IF(N69&lt;7,3,IF(N69&lt;10,4,5))))*0.03)+(IF(O69&lt;2,1,IF(O69&lt;4,2,IF(O69&lt;7,3,IF(O69&lt;10,4,5))))*0.02)+((6-P69)*0.03)+((6-Q69)*0.02)+(IF(R69=0,1,IF(R69&lt;3,2,IF(R69&lt;5,3,IF(R69&lt;10,4,5))))*0.03)+((6-S69)*0.03)+((6-T69)*0.02)+(IF(U69=0,1,3)*0.015)+((6-V69)*0.01)+((6-W69)*0.015)+(IF(X69&lt;3,1,IF(X69&lt;6,2,IF(X69&lt;10,3,IF(X69&lt;15,4,5))))*0.02)+(IF(Y69&lt;2,1,IF(Y69&lt;4,2,IF(Y69&lt;6,3,IF(Y69&lt;8,4,5))))*0.03)+(IF(Z69&gt;14,1,IF(Z69&gt;7,2,IF(Z69&gt;3,3,IF(Z69&gt;1,4,5))))*0.03)+((6-AA69)*0.03)+(IF(AB69=0,1,IF(AB69=1,2,IF(AB69=2,3,IF(AB69=3,4,5))))*0.03)+(IF(AC69&lt;2,1,IF(AC69&lt;4,2,IF(AC69&lt;6,3,IF(AC69&lt;8,4,5))))*0.03)+((6-AD69)*0.02)+(IF(AE69=0,1,IF(AE69=1,3,5))*0.02)+((6-AF69)*0.02)+((6-AG69)*0.02)+((6-AH69)*0.015)+((6-AI69)*0.015)+((6-AJ69)*0.015)+(IF(AK69&lt;15,1,IF(AK69&lt;30,2,IF(AK69&lt;60,3,IF(AK69&lt;120,4,5))))*0.02)+(IF(AL69&gt;90,1,IF(AL69&gt;75,2,IF(AL69&gt;50,3,IF(AL69&gt;25,4,5))))*0.015)+((6-AM69)*0.02)+(IF(AN69&lt;5,1,IF(AN69&lt;10,2,IF(AN69&lt;15,3,IF(AN69&lt;25,4,5))))*0.02)+((6-AO69)*0.01)+(IF(AP69&lt;2,1,IF(AP69&lt;5,2,IF(AP69&lt;10,3,IF(AP69&lt;20,4,5))))*0.008)+(IF(AQ69&gt;60,1,IF(AQ69&gt;30,2,IF(AQ69&gt;14,3,IF(AQ69&gt;7,4,5))))*0.008)+(IF(AR69=0,1,IF(AR69=1,2,IF(AR69=2,3,IF(AR69=3,4,5))))*0.01)+((6-AS69)*0.008)+((6-AT69)*0.008)+(AU69*0.01)+(IF(AV69&lt;1000,1,IF(AV69&lt;5000,2,IF(AV69&lt;20000,3,IF(AV69&lt;50000,4,5))))*0.01),2)</f>
        <v>2.38</v>
      </c>
      <c r="AX69" s="83" t="str">
        <f t="shared" ref="AX69:AX79" si="1">IF(AW69&gt;=4,"SEVERE",IF(AW69&gt;=3.5,"CRITICAL",IF(AW69&gt;=2.5,"HIGH",IF(AW69&gt;=1.5,"MEDIUM","LOW"))))</f>
        <v>MEDIUM</v>
      </c>
    </row>
    <row r="70" spans="1:50" x14ac:dyDescent="0.3">
      <c r="A70" s="5" t="s">
        <v>132</v>
      </c>
      <c r="B70" s="5" t="s">
        <v>2972</v>
      </c>
      <c r="C70" s="6">
        <v>46205</v>
      </c>
      <c r="D70" s="5">
        <v>7</v>
      </c>
      <c r="E70" s="5">
        <v>5</v>
      </c>
      <c r="F70" s="5">
        <v>80</v>
      </c>
      <c r="G70" s="5">
        <v>0</v>
      </c>
      <c r="H70" s="5">
        <v>0</v>
      </c>
      <c r="I70" s="5">
        <v>1</v>
      </c>
      <c r="J70" s="5">
        <v>92</v>
      </c>
      <c r="K70" s="5">
        <v>2</v>
      </c>
      <c r="L70" s="5">
        <v>1</v>
      </c>
      <c r="M70" s="5">
        <v>100</v>
      </c>
      <c r="N70" s="5">
        <v>1</v>
      </c>
      <c r="O70" s="5">
        <v>0</v>
      </c>
      <c r="P70" s="5">
        <v>5</v>
      </c>
      <c r="Q70" s="5">
        <v>5</v>
      </c>
      <c r="R70" s="5">
        <v>0</v>
      </c>
      <c r="S70" s="5">
        <v>5</v>
      </c>
      <c r="T70" s="5">
        <v>5</v>
      </c>
      <c r="U70" s="5">
        <v>0</v>
      </c>
      <c r="V70" s="5">
        <v>5</v>
      </c>
      <c r="W70" s="5">
        <v>5</v>
      </c>
      <c r="X70" s="5">
        <v>2</v>
      </c>
      <c r="Y70" s="5">
        <v>1</v>
      </c>
      <c r="Z70" s="5">
        <v>45</v>
      </c>
      <c r="AA70" s="5">
        <v>5</v>
      </c>
      <c r="AB70" s="5">
        <v>0</v>
      </c>
      <c r="AC70" s="5">
        <v>1</v>
      </c>
      <c r="AD70" s="5">
        <v>5</v>
      </c>
      <c r="AE70" s="5">
        <v>0</v>
      </c>
      <c r="AF70" s="5">
        <v>5</v>
      </c>
      <c r="AG70" s="5">
        <v>5</v>
      </c>
      <c r="AH70" s="5">
        <v>5</v>
      </c>
      <c r="AI70" s="5">
        <v>5</v>
      </c>
      <c r="AJ70" s="5">
        <v>5</v>
      </c>
      <c r="AK70" s="5">
        <v>10</v>
      </c>
      <c r="AL70" s="5">
        <v>95</v>
      </c>
      <c r="AM70" s="5">
        <v>5</v>
      </c>
      <c r="AN70" s="5">
        <v>2</v>
      </c>
      <c r="AO70" s="5">
        <v>5</v>
      </c>
      <c r="AP70" s="5">
        <v>5</v>
      </c>
      <c r="AQ70" s="5">
        <v>120</v>
      </c>
      <c r="AR70" s="5">
        <v>0</v>
      </c>
      <c r="AS70" s="5">
        <v>5</v>
      </c>
      <c r="AT70" s="5">
        <v>5</v>
      </c>
      <c r="AU70" s="5">
        <v>1</v>
      </c>
      <c r="AV70" s="5">
        <v>200</v>
      </c>
      <c r="AW70" s="92">
        <f t="shared" si="0"/>
        <v>1.01</v>
      </c>
      <c r="AX70" s="83" t="str">
        <f t="shared" si="1"/>
        <v>LOW</v>
      </c>
    </row>
    <row r="71" spans="1:50" x14ac:dyDescent="0.3">
      <c r="A71" s="5" t="s">
        <v>136</v>
      </c>
      <c r="B71" s="5" t="s">
        <v>2973</v>
      </c>
      <c r="C71" s="6">
        <v>46210</v>
      </c>
      <c r="D71" s="5">
        <v>12</v>
      </c>
      <c r="E71" s="5">
        <v>85</v>
      </c>
      <c r="F71" s="5">
        <v>3200</v>
      </c>
      <c r="G71" s="5">
        <v>4</v>
      </c>
      <c r="H71" s="5">
        <v>2</v>
      </c>
      <c r="I71" s="5">
        <v>3</v>
      </c>
      <c r="J71" s="5">
        <v>65</v>
      </c>
      <c r="K71" s="5">
        <v>8</v>
      </c>
      <c r="L71" s="5">
        <v>15</v>
      </c>
      <c r="M71" s="5">
        <v>80</v>
      </c>
      <c r="N71" s="5">
        <v>7</v>
      </c>
      <c r="O71" s="5">
        <v>8</v>
      </c>
      <c r="P71" s="5">
        <v>2</v>
      </c>
      <c r="Q71" s="5">
        <v>2</v>
      </c>
      <c r="R71" s="5">
        <v>5</v>
      </c>
      <c r="S71" s="5">
        <v>2</v>
      </c>
      <c r="T71" s="5">
        <v>3</v>
      </c>
      <c r="U71" s="5">
        <v>1</v>
      </c>
      <c r="V71" s="5">
        <v>3</v>
      </c>
      <c r="W71" s="5">
        <v>3</v>
      </c>
      <c r="X71" s="5">
        <v>8</v>
      </c>
      <c r="Y71" s="5">
        <v>4</v>
      </c>
      <c r="Z71" s="5">
        <v>10</v>
      </c>
      <c r="AA71" s="5">
        <v>3</v>
      </c>
      <c r="AB71" s="5">
        <v>3</v>
      </c>
      <c r="AC71" s="5">
        <v>5</v>
      </c>
      <c r="AD71" s="5">
        <v>3</v>
      </c>
      <c r="AE71" s="5">
        <v>2</v>
      </c>
      <c r="AF71" s="5">
        <v>3</v>
      </c>
      <c r="AG71" s="5">
        <v>2</v>
      </c>
      <c r="AH71" s="5">
        <v>2</v>
      </c>
      <c r="AI71" s="5">
        <v>2</v>
      </c>
      <c r="AJ71" s="5">
        <v>3</v>
      </c>
      <c r="AK71" s="5">
        <v>60</v>
      </c>
      <c r="AL71" s="5">
        <v>60</v>
      </c>
      <c r="AM71" s="5">
        <v>3</v>
      </c>
      <c r="AN71" s="5">
        <v>18</v>
      </c>
      <c r="AO71" s="5">
        <v>3</v>
      </c>
      <c r="AP71" s="5">
        <v>2</v>
      </c>
      <c r="AQ71" s="5">
        <v>45</v>
      </c>
      <c r="AR71" s="5">
        <v>2</v>
      </c>
      <c r="AS71" s="5">
        <v>3</v>
      </c>
      <c r="AT71" s="5">
        <v>2</v>
      </c>
      <c r="AU71" s="5">
        <v>3</v>
      </c>
      <c r="AV71" s="5">
        <v>25000</v>
      </c>
      <c r="AW71" s="92">
        <f t="shared" si="0"/>
        <v>3.59</v>
      </c>
      <c r="AX71" s="83" t="str">
        <f t="shared" si="1"/>
        <v>CRITICAL</v>
      </c>
    </row>
    <row r="72" spans="1:50" x14ac:dyDescent="0.3">
      <c r="A72" s="5" t="s">
        <v>140</v>
      </c>
      <c r="B72" s="5" t="s">
        <v>2974</v>
      </c>
      <c r="C72" s="6">
        <v>46215</v>
      </c>
      <c r="D72" s="5">
        <v>17</v>
      </c>
      <c r="E72" s="5">
        <v>35</v>
      </c>
      <c r="F72" s="5">
        <v>950</v>
      </c>
      <c r="G72" s="5">
        <v>1</v>
      </c>
      <c r="H72" s="5">
        <v>2</v>
      </c>
      <c r="I72" s="5">
        <v>2</v>
      </c>
      <c r="J72" s="5">
        <v>78</v>
      </c>
      <c r="K72" s="5">
        <v>4</v>
      </c>
      <c r="L72" s="5">
        <v>5</v>
      </c>
      <c r="M72" s="5">
        <v>95</v>
      </c>
      <c r="N72" s="5">
        <v>3</v>
      </c>
      <c r="O72" s="5">
        <v>2</v>
      </c>
      <c r="P72" s="5">
        <v>4</v>
      </c>
      <c r="Q72" s="5">
        <v>4</v>
      </c>
      <c r="R72" s="5">
        <v>1</v>
      </c>
      <c r="S72" s="5">
        <v>4</v>
      </c>
      <c r="T72" s="5">
        <v>4</v>
      </c>
      <c r="U72" s="5">
        <v>0</v>
      </c>
      <c r="V72" s="5">
        <v>4</v>
      </c>
      <c r="W72" s="5">
        <v>5</v>
      </c>
      <c r="X72" s="5">
        <v>4</v>
      </c>
      <c r="Y72" s="5">
        <v>3</v>
      </c>
      <c r="Z72" s="5">
        <v>25</v>
      </c>
      <c r="AA72" s="5">
        <v>4</v>
      </c>
      <c r="AB72" s="5">
        <v>1</v>
      </c>
      <c r="AC72" s="5">
        <v>3</v>
      </c>
      <c r="AD72" s="5">
        <v>4</v>
      </c>
      <c r="AE72" s="5">
        <v>1</v>
      </c>
      <c r="AF72" s="5">
        <v>4</v>
      </c>
      <c r="AG72" s="5">
        <v>4</v>
      </c>
      <c r="AH72" s="5">
        <v>4</v>
      </c>
      <c r="AI72" s="5">
        <v>4</v>
      </c>
      <c r="AJ72" s="5">
        <v>4</v>
      </c>
      <c r="AK72" s="5">
        <v>25</v>
      </c>
      <c r="AL72" s="5">
        <v>80</v>
      </c>
      <c r="AM72" s="5">
        <v>4</v>
      </c>
      <c r="AN72" s="5">
        <v>8</v>
      </c>
      <c r="AO72" s="5">
        <v>4</v>
      </c>
      <c r="AP72" s="5">
        <v>4</v>
      </c>
      <c r="AQ72" s="5">
        <v>75</v>
      </c>
      <c r="AR72" s="5">
        <v>0</v>
      </c>
      <c r="AS72" s="5">
        <v>4</v>
      </c>
      <c r="AT72" s="5">
        <v>4</v>
      </c>
      <c r="AU72" s="5">
        <v>2</v>
      </c>
      <c r="AV72" s="5">
        <v>8000</v>
      </c>
      <c r="AW72" s="92">
        <f t="shared" si="0"/>
        <v>2.11</v>
      </c>
      <c r="AX72" s="83" t="str">
        <f t="shared" si="1"/>
        <v>MEDIUM</v>
      </c>
    </row>
    <row r="73" spans="1:50" x14ac:dyDescent="0.3">
      <c r="A73" s="5" t="s">
        <v>146</v>
      </c>
      <c r="B73" s="5" t="s">
        <v>2975</v>
      </c>
      <c r="C73" s="6">
        <v>46220</v>
      </c>
      <c r="D73" s="5">
        <v>22</v>
      </c>
      <c r="E73" s="5">
        <v>18</v>
      </c>
      <c r="F73" s="5">
        <v>420</v>
      </c>
      <c r="G73" s="5">
        <v>0</v>
      </c>
      <c r="H73" s="5">
        <v>1</v>
      </c>
      <c r="I73" s="5">
        <v>1</v>
      </c>
      <c r="J73" s="5">
        <v>88</v>
      </c>
      <c r="K73" s="5">
        <v>3</v>
      </c>
      <c r="L73" s="5">
        <v>3</v>
      </c>
      <c r="M73" s="5">
        <v>100</v>
      </c>
      <c r="N73" s="5">
        <v>2</v>
      </c>
      <c r="O73" s="5">
        <v>1</v>
      </c>
      <c r="P73" s="5">
        <v>4</v>
      </c>
      <c r="Q73" s="5">
        <v>4</v>
      </c>
      <c r="R73" s="5">
        <v>0</v>
      </c>
      <c r="S73" s="5">
        <v>4</v>
      </c>
      <c r="T73" s="5">
        <v>5</v>
      </c>
      <c r="U73" s="5">
        <v>0</v>
      </c>
      <c r="V73" s="5">
        <v>5</v>
      </c>
      <c r="W73" s="5">
        <v>5</v>
      </c>
      <c r="X73" s="5">
        <v>3</v>
      </c>
      <c r="Y73" s="5">
        <v>2</v>
      </c>
      <c r="Z73" s="5">
        <v>35</v>
      </c>
      <c r="AA73" s="5">
        <v>5</v>
      </c>
      <c r="AB73" s="5">
        <v>0</v>
      </c>
      <c r="AC73" s="5">
        <v>2</v>
      </c>
      <c r="AD73" s="5">
        <v>5</v>
      </c>
      <c r="AE73" s="5">
        <v>0</v>
      </c>
      <c r="AF73" s="5">
        <v>5</v>
      </c>
      <c r="AG73" s="5">
        <v>4</v>
      </c>
      <c r="AH73" s="5">
        <v>4</v>
      </c>
      <c r="AI73" s="5">
        <v>4</v>
      </c>
      <c r="AJ73" s="5">
        <v>5</v>
      </c>
      <c r="AK73" s="5">
        <v>20</v>
      </c>
      <c r="AL73" s="5">
        <v>85</v>
      </c>
      <c r="AM73" s="5">
        <v>5</v>
      </c>
      <c r="AN73" s="5">
        <v>4</v>
      </c>
      <c r="AO73" s="5">
        <v>5</v>
      </c>
      <c r="AP73" s="5">
        <v>5</v>
      </c>
      <c r="AQ73" s="5">
        <v>90</v>
      </c>
      <c r="AR73" s="5">
        <v>0</v>
      </c>
      <c r="AS73" s="5">
        <v>5</v>
      </c>
      <c r="AT73" s="5">
        <v>5</v>
      </c>
      <c r="AU73" s="5">
        <v>1</v>
      </c>
      <c r="AV73" s="5">
        <v>1500</v>
      </c>
      <c r="AW73" s="92">
        <f t="shared" si="0"/>
        <v>1.5</v>
      </c>
      <c r="AX73" s="83" t="str">
        <f t="shared" si="1"/>
        <v>MEDIUM</v>
      </c>
    </row>
    <row r="74" spans="1:50" x14ac:dyDescent="0.3">
      <c r="A74" s="5" t="s">
        <v>150</v>
      </c>
      <c r="B74" s="5" t="s">
        <v>2976</v>
      </c>
      <c r="C74" s="6">
        <v>46225</v>
      </c>
      <c r="D74" s="5">
        <v>27</v>
      </c>
      <c r="E74" s="5">
        <v>150</v>
      </c>
      <c r="F74" s="5">
        <v>8500</v>
      </c>
      <c r="G74" s="5">
        <v>5</v>
      </c>
      <c r="H74" s="5">
        <v>4</v>
      </c>
      <c r="I74" s="5">
        <v>4</v>
      </c>
      <c r="J74" s="5">
        <v>58</v>
      </c>
      <c r="K74" s="5">
        <v>12</v>
      </c>
      <c r="L74" s="5">
        <v>25</v>
      </c>
      <c r="M74" s="5">
        <v>75</v>
      </c>
      <c r="N74" s="5">
        <v>10</v>
      </c>
      <c r="O74" s="5">
        <v>12</v>
      </c>
      <c r="P74" s="5">
        <v>2</v>
      </c>
      <c r="Q74" s="5">
        <v>2</v>
      </c>
      <c r="R74" s="5">
        <v>8</v>
      </c>
      <c r="S74" s="5">
        <v>2</v>
      </c>
      <c r="T74" s="5">
        <v>2</v>
      </c>
      <c r="U74" s="5">
        <v>1</v>
      </c>
      <c r="V74" s="5">
        <v>2</v>
      </c>
      <c r="W74" s="5">
        <v>2</v>
      </c>
      <c r="X74" s="5">
        <v>12</v>
      </c>
      <c r="Y74" s="5">
        <v>5</v>
      </c>
      <c r="Z74" s="5">
        <v>7</v>
      </c>
      <c r="AA74" s="5">
        <v>2</v>
      </c>
      <c r="AB74" s="5">
        <v>4</v>
      </c>
      <c r="AC74" s="5">
        <v>6</v>
      </c>
      <c r="AD74" s="5">
        <v>2</v>
      </c>
      <c r="AE74" s="5">
        <v>3</v>
      </c>
      <c r="AF74" s="5">
        <v>4</v>
      </c>
      <c r="AG74" s="5">
        <v>2</v>
      </c>
      <c r="AH74" s="5">
        <v>2</v>
      </c>
      <c r="AI74" s="5">
        <v>2</v>
      </c>
      <c r="AJ74" s="5">
        <v>2</v>
      </c>
      <c r="AK74" s="5">
        <v>90</v>
      </c>
      <c r="AL74" s="5">
        <v>50</v>
      </c>
      <c r="AM74" s="5">
        <v>2</v>
      </c>
      <c r="AN74" s="5">
        <v>22</v>
      </c>
      <c r="AO74" s="5">
        <v>2</v>
      </c>
      <c r="AP74" s="5">
        <v>2</v>
      </c>
      <c r="AQ74" s="5">
        <v>30</v>
      </c>
      <c r="AR74" s="5">
        <v>3</v>
      </c>
      <c r="AS74" s="5">
        <v>2</v>
      </c>
      <c r="AT74" s="5">
        <v>2</v>
      </c>
      <c r="AU74" s="5">
        <v>5</v>
      </c>
      <c r="AV74" s="5">
        <v>50000</v>
      </c>
      <c r="AW74" s="92">
        <f t="shared" si="0"/>
        <v>4.24</v>
      </c>
      <c r="AX74" s="83" t="str">
        <f t="shared" si="1"/>
        <v>SEVERE</v>
      </c>
    </row>
    <row r="75" spans="1:50" x14ac:dyDescent="0.3">
      <c r="A75" s="5" t="s">
        <v>153</v>
      </c>
      <c r="B75" s="5" t="s">
        <v>2977</v>
      </c>
      <c r="C75" s="6">
        <v>46230</v>
      </c>
      <c r="D75" s="5">
        <v>32</v>
      </c>
      <c r="E75" s="5">
        <v>42</v>
      </c>
      <c r="F75" s="5">
        <v>1100</v>
      </c>
      <c r="G75" s="5">
        <v>2</v>
      </c>
      <c r="H75" s="5">
        <v>1</v>
      </c>
      <c r="I75" s="5">
        <v>2</v>
      </c>
      <c r="J75" s="5">
        <v>75</v>
      </c>
      <c r="K75" s="5">
        <v>5</v>
      </c>
      <c r="L75" s="5">
        <v>6</v>
      </c>
      <c r="M75" s="5">
        <v>92</v>
      </c>
      <c r="N75" s="5">
        <v>4</v>
      </c>
      <c r="O75" s="5">
        <v>3</v>
      </c>
      <c r="P75" s="5">
        <v>3</v>
      </c>
      <c r="Q75" s="5">
        <v>3</v>
      </c>
      <c r="R75" s="5">
        <v>1</v>
      </c>
      <c r="S75" s="5">
        <v>3</v>
      </c>
      <c r="T75" s="5">
        <v>4</v>
      </c>
      <c r="U75" s="5">
        <v>0</v>
      </c>
      <c r="V75" s="5">
        <v>4</v>
      </c>
      <c r="W75" s="5">
        <v>5</v>
      </c>
      <c r="X75" s="5">
        <v>5</v>
      </c>
      <c r="Y75" s="5">
        <v>3</v>
      </c>
      <c r="Z75" s="5">
        <v>28</v>
      </c>
      <c r="AA75" s="5">
        <v>4</v>
      </c>
      <c r="AB75" s="5">
        <v>2</v>
      </c>
      <c r="AC75" s="5">
        <v>3</v>
      </c>
      <c r="AD75" s="5">
        <v>4</v>
      </c>
      <c r="AE75" s="5">
        <v>1</v>
      </c>
      <c r="AF75" s="5">
        <v>4</v>
      </c>
      <c r="AG75" s="5">
        <v>3</v>
      </c>
      <c r="AH75" s="5">
        <v>3</v>
      </c>
      <c r="AI75" s="5">
        <v>4</v>
      </c>
      <c r="AJ75" s="5">
        <v>4</v>
      </c>
      <c r="AK75" s="5">
        <v>35</v>
      </c>
      <c r="AL75" s="5">
        <v>70</v>
      </c>
      <c r="AM75" s="5">
        <v>4</v>
      </c>
      <c r="AN75" s="5">
        <v>12</v>
      </c>
      <c r="AO75" s="5">
        <v>4</v>
      </c>
      <c r="AP75" s="5">
        <v>3</v>
      </c>
      <c r="AQ75" s="5">
        <v>55</v>
      </c>
      <c r="AR75" s="5">
        <v>1</v>
      </c>
      <c r="AS75" s="5">
        <v>4</v>
      </c>
      <c r="AT75" s="5">
        <v>3</v>
      </c>
      <c r="AU75" s="5">
        <v>2</v>
      </c>
      <c r="AV75" s="5">
        <v>12000</v>
      </c>
      <c r="AW75" s="92">
        <f t="shared" si="0"/>
        <v>2.41</v>
      </c>
      <c r="AX75" s="83" t="str">
        <f t="shared" si="1"/>
        <v>MEDIUM</v>
      </c>
    </row>
    <row r="76" spans="1:50" x14ac:dyDescent="0.3">
      <c r="A76" s="5" t="s">
        <v>157</v>
      </c>
      <c r="B76" s="5" t="s">
        <v>2978</v>
      </c>
      <c r="C76" s="6">
        <v>46235</v>
      </c>
      <c r="D76" s="5">
        <v>37</v>
      </c>
      <c r="E76" s="5">
        <v>8</v>
      </c>
      <c r="F76" s="5">
        <v>150</v>
      </c>
      <c r="G76" s="5">
        <v>0</v>
      </c>
      <c r="H76" s="5">
        <v>0</v>
      </c>
      <c r="I76" s="5">
        <v>1</v>
      </c>
      <c r="J76" s="5">
        <v>90</v>
      </c>
      <c r="K76" s="5">
        <v>2</v>
      </c>
      <c r="L76" s="5">
        <v>2</v>
      </c>
      <c r="M76" s="5">
        <v>100</v>
      </c>
      <c r="N76" s="5">
        <v>2</v>
      </c>
      <c r="O76" s="5">
        <v>0</v>
      </c>
      <c r="P76" s="5">
        <v>5</v>
      </c>
      <c r="Q76" s="5">
        <v>5</v>
      </c>
      <c r="R76" s="5">
        <v>0</v>
      </c>
      <c r="S76" s="5">
        <v>5</v>
      </c>
      <c r="T76" s="5">
        <v>5</v>
      </c>
      <c r="U76" s="5">
        <v>0</v>
      </c>
      <c r="V76" s="5">
        <v>5</v>
      </c>
      <c r="W76" s="5">
        <v>5</v>
      </c>
      <c r="X76" s="5">
        <v>2</v>
      </c>
      <c r="Y76" s="5">
        <v>2</v>
      </c>
      <c r="Z76" s="5">
        <v>40</v>
      </c>
      <c r="AA76" s="5">
        <v>5</v>
      </c>
      <c r="AB76" s="5">
        <v>0</v>
      </c>
      <c r="AC76" s="5">
        <v>2</v>
      </c>
      <c r="AD76" s="5">
        <v>5</v>
      </c>
      <c r="AE76" s="5">
        <v>0</v>
      </c>
      <c r="AF76" s="5">
        <v>5</v>
      </c>
      <c r="AG76" s="5">
        <v>5</v>
      </c>
      <c r="AH76" s="5">
        <v>5</v>
      </c>
      <c r="AI76" s="5">
        <v>5</v>
      </c>
      <c r="AJ76" s="5">
        <v>5</v>
      </c>
      <c r="AK76" s="5">
        <v>12</v>
      </c>
      <c r="AL76" s="5">
        <v>92</v>
      </c>
      <c r="AM76" s="5">
        <v>5</v>
      </c>
      <c r="AN76" s="5">
        <v>3</v>
      </c>
      <c r="AO76" s="5">
        <v>5</v>
      </c>
      <c r="AP76" s="5">
        <v>5</v>
      </c>
      <c r="AQ76" s="5">
        <v>100</v>
      </c>
      <c r="AR76" s="5">
        <v>0</v>
      </c>
      <c r="AS76" s="5">
        <v>5</v>
      </c>
      <c r="AT76" s="5">
        <v>5</v>
      </c>
      <c r="AU76" s="5">
        <v>1</v>
      </c>
      <c r="AV76" s="5">
        <v>800</v>
      </c>
      <c r="AW76" s="92">
        <f t="shared" si="0"/>
        <v>1.1299999999999999</v>
      </c>
      <c r="AX76" s="83" t="str">
        <f t="shared" si="1"/>
        <v>LOW</v>
      </c>
    </row>
    <row r="77" spans="1:50" x14ac:dyDescent="0.3">
      <c r="A77" s="5" t="s">
        <v>161</v>
      </c>
      <c r="B77" s="5" t="s">
        <v>2979</v>
      </c>
      <c r="C77" s="6">
        <v>46212</v>
      </c>
      <c r="D77" s="5">
        <v>14</v>
      </c>
      <c r="E77" s="5">
        <v>200</v>
      </c>
      <c r="F77" s="5">
        <v>12000</v>
      </c>
      <c r="G77" s="5">
        <v>8</v>
      </c>
      <c r="H77" s="5">
        <v>5</v>
      </c>
      <c r="I77" s="5">
        <v>4</v>
      </c>
      <c r="J77" s="5">
        <v>52</v>
      </c>
      <c r="K77" s="5">
        <v>15</v>
      </c>
      <c r="L77" s="5">
        <v>35</v>
      </c>
      <c r="M77" s="5">
        <v>70</v>
      </c>
      <c r="N77" s="5">
        <v>12</v>
      </c>
      <c r="O77" s="5">
        <v>18</v>
      </c>
      <c r="P77" s="5">
        <v>1</v>
      </c>
      <c r="Q77" s="5">
        <v>1</v>
      </c>
      <c r="R77" s="5">
        <v>12</v>
      </c>
      <c r="S77" s="5">
        <v>1</v>
      </c>
      <c r="T77" s="5">
        <v>2</v>
      </c>
      <c r="U77" s="5">
        <v>1</v>
      </c>
      <c r="V77" s="5">
        <v>2</v>
      </c>
      <c r="W77" s="5">
        <v>2</v>
      </c>
      <c r="X77" s="5">
        <v>15</v>
      </c>
      <c r="Y77" s="5">
        <v>5</v>
      </c>
      <c r="Z77" s="5">
        <v>5</v>
      </c>
      <c r="AA77" s="5">
        <v>1</v>
      </c>
      <c r="AB77" s="5">
        <v>5</v>
      </c>
      <c r="AC77" s="5">
        <v>8</v>
      </c>
      <c r="AD77" s="5">
        <v>1</v>
      </c>
      <c r="AE77" s="5">
        <v>4</v>
      </c>
      <c r="AF77" s="5">
        <v>5</v>
      </c>
      <c r="AG77" s="5">
        <v>1</v>
      </c>
      <c r="AH77" s="5">
        <v>1</v>
      </c>
      <c r="AI77" s="5">
        <v>1</v>
      </c>
      <c r="AJ77" s="5">
        <v>2</v>
      </c>
      <c r="AK77" s="5">
        <v>120</v>
      </c>
      <c r="AL77" s="5">
        <v>40</v>
      </c>
      <c r="AM77" s="5">
        <v>2</v>
      </c>
      <c r="AN77" s="5">
        <v>28</v>
      </c>
      <c r="AO77" s="5">
        <v>2</v>
      </c>
      <c r="AP77" s="5">
        <v>1</v>
      </c>
      <c r="AQ77" s="5">
        <v>25</v>
      </c>
      <c r="AR77" s="5">
        <v>4</v>
      </c>
      <c r="AS77" s="5">
        <v>1</v>
      </c>
      <c r="AT77" s="5">
        <v>3</v>
      </c>
      <c r="AU77" s="5">
        <v>5</v>
      </c>
      <c r="AV77" s="5">
        <v>100000</v>
      </c>
      <c r="AW77" s="92">
        <f t="shared" si="0"/>
        <v>4.5199999999999996</v>
      </c>
      <c r="AX77" s="83" t="str">
        <f t="shared" si="1"/>
        <v>SEVERE</v>
      </c>
    </row>
    <row r="78" spans="1:50" x14ac:dyDescent="0.3">
      <c r="A78" s="5" t="s">
        <v>165</v>
      </c>
      <c r="B78" s="5" t="s">
        <v>2980</v>
      </c>
      <c r="C78" s="6">
        <v>46240</v>
      </c>
      <c r="D78" s="5">
        <v>42</v>
      </c>
      <c r="E78" s="5">
        <v>28</v>
      </c>
      <c r="F78" s="5">
        <v>720</v>
      </c>
      <c r="G78" s="5">
        <v>1</v>
      </c>
      <c r="H78" s="5">
        <v>1</v>
      </c>
      <c r="I78" s="5">
        <v>1</v>
      </c>
      <c r="J78" s="5">
        <v>82</v>
      </c>
      <c r="K78" s="5">
        <v>4</v>
      </c>
      <c r="L78" s="5">
        <v>4</v>
      </c>
      <c r="M78" s="5">
        <v>95</v>
      </c>
      <c r="N78" s="5">
        <v>3</v>
      </c>
      <c r="O78" s="5">
        <v>2</v>
      </c>
      <c r="P78" s="5">
        <v>4</v>
      </c>
      <c r="Q78" s="5">
        <v>4</v>
      </c>
      <c r="R78" s="5">
        <v>1</v>
      </c>
      <c r="S78" s="5">
        <v>4</v>
      </c>
      <c r="T78" s="5">
        <v>4</v>
      </c>
      <c r="U78" s="5">
        <v>0</v>
      </c>
      <c r="V78" s="5">
        <v>4</v>
      </c>
      <c r="W78" s="5">
        <v>5</v>
      </c>
      <c r="X78" s="5">
        <v>4</v>
      </c>
      <c r="Y78" s="5">
        <v>3</v>
      </c>
      <c r="Z78" s="5">
        <v>32</v>
      </c>
      <c r="AA78" s="5">
        <v>4</v>
      </c>
      <c r="AB78" s="5">
        <v>1</v>
      </c>
      <c r="AC78" s="5">
        <v>3</v>
      </c>
      <c r="AD78" s="5">
        <v>4</v>
      </c>
      <c r="AE78" s="5">
        <v>1</v>
      </c>
      <c r="AF78" s="5">
        <v>4</v>
      </c>
      <c r="AG78" s="5">
        <v>4</v>
      </c>
      <c r="AH78" s="5">
        <v>4</v>
      </c>
      <c r="AI78" s="5">
        <v>4</v>
      </c>
      <c r="AJ78" s="5">
        <v>4</v>
      </c>
      <c r="AK78" s="5">
        <v>22</v>
      </c>
      <c r="AL78" s="5">
        <v>82</v>
      </c>
      <c r="AM78" s="5">
        <v>4</v>
      </c>
      <c r="AN78" s="5">
        <v>6</v>
      </c>
      <c r="AO78" s="5">
        <v>4</v>
      </c>
      <c r="AP78" s="5">
        <v>4</v>
      </c>
      <c r="AQ78" s="5">
        <v>70</v>
      </c>
      <c r="AR78" s="5">
        <v>0</v>
      </c>
      <c r="AS78" s="5">
        <v>4</v>
      </c>
      <c r="AT78" s="5">
        <v>4</v>
      </c>
      <c r="AU78" s="5">
        <v>2</v>
      </c>
      <c r="AV78" s="5">
        <v>6000</v>
      </c>
      <c r="AW78" s="92">
        <f t="shared" si="0"/>
        <v>1.95</v>
      </c>
      <c r="AX78" s="83" t="str">
        <f t="shared" si="1"/>
        <v>MEDIUM</v>
      </c>
    </row>
    <row r="79" spans="1:50" x14ac:dyDescent="0.3">
      <c r="A79" s="5" t="s">
        <v>169</v>
      </c>
      <c r="B79" s="5" t="s">
        <v>2981</v>
      </c>
      <c r="C79" s="6">
        <v>46245</v>
      </c>
      <c r="D79" s="5">
        <v>47</v>
      </c>
      <c r="E79" s="5">
        <v>6</v>
      </c>
      <c r="F79" s="5">
        <v>120</v>
      </c>
      <c r="G79" s="5">
        <v>0</v>
      </c>
      <c r="H79" s="5">
        <v>0</v>
      </c>
      <c r="I79" s="5">
        <v>1</v>
      </c>
      <c r="J79" s="5">
        <v>95</v>
      </c>
      <c r="K79" s="5">
        <v>2</v>
      </c>
      <c r="L79" s="5">
        <v>1</v>
      </c>
      <c r="M79" s="5">
        <v>100</v>
      </c>
      <c r="N79" s="5">
        <v>1</v>
      </c>
      <c r="O79" s="5">
        <v>0</v>
      </c>
      <c r="P79" s="5">
        <v>5</v>
      </c>
      <c r="Q79" s="5">
        <v>5</v>
      </c>
      <c r="R79" s="5">
        <v>0</v>
      </c>
      <c r="S79" s="5">
        <v>5</v>
      </c>
      <c r="T79" s="5">
        <v>5</v>
      </c>
      <c r="U79" s="5">
        <v>0</v>
      </c>
      <c r="V79" s="5">
        <v>5</v>
      </c>
      <c r="W79" s="5">
        <v>5</v>
      </c>
      <c r="X79" s="5">
        <v>2</v>
      </c>
      <c r="Y79" s="5">
        <v>1</v>
      </c>
      <c r="Z79" s="5">
        <v>50</v>
      </c>
      <c r="AA79" s="5">
        <v>5</v>
      </c>
      <c r="AB79" s="5">
        <v>0</v>
      </c>
      <c r="AC79" s="5">
        <v>1</v>
      </c>
      <c r="AD79" s="5">
        <v>5</v>
      </c>
      <c r="AE79" s="5">
        <v>0</v>
      </c>
      <c r="AF79" s="5">
        <v>5</v>
      </c>
      <c r="AG79" s="5">
        <v>5</v>
      </c>
      <c r="AH79" s="5">
        <v>5</v>
      </c>
      <c r="AI79" s="5">
        <v>5</v>
      </c>
      <c r="AJ79" s="5">
        <v>5</v>
      </c>
      <c r="AK79" s="5">
        <v>8</v>
      </c>
      <c r="AL79" s="5">
        <v>98</v>
      </c>
      <c r="AM79" s="5">
        <v>5</v>
      </c>
      <c r="AN79" s="5">
        <v>1</v>
      </c>
      <c r="AO79" s="5">
        <v>5</v>
      </c>
      <c r="AP79" s="5">
        <v>5</v>
      </c>
      <c r="AQ79" s="5">
        <v>150</v>
      </c>
      <c r="AR79" s="5">
        <v>0</v>
      </c>
      <c r="AS79" s="5">
        <v>5</v>
      </c>
      <c r="AT79" s="5">
        <v>5</v>
      </c>
      <c r="AU79" s="5">
        <v>1</v>
      </c>
      <c r="AV79" s="5">
        <v>150</v>
      </c>
      <c r="AW79" s="92">
        <f t="shared" si="0"/>
        <v>1.01</v>
      </c>
      <c r="AX79" s="83" t="str">
        <f t="shared" si="1"/>
        <v>LOW</v>
      </c>
    </row>
    <row r="83" spans="1:7" ht="25.05" customHeight="1" x14ac:dyDescent="0.35">
      <c r="A83" s="385" t="s">
        <v>2982</v>
      </c>
      <c r="B83" s="339"/>
      <c r="C83" s="339"/>
      <c r="D83" s="339"/>
      <c r="E83" s="339"/>
      <c r="F83" s="339"/>
      <c r="G83" s="339"/>
    </row>
    <row r="85" spans="1:7" x14ac:dyDescent="0.3">
      <c r="A85" s="58" t="s">
        <v>2983</v>
      </c>
    </row>
    <row r="86" spans="1:7" x14ac:dyDescent="0.3">
      <c r="A86" t="s">
        <v>2984</v>
      </c>
    </row>
    <row r="87" spans="1:7" x14ac:dyDescent="0.3">
      <c r="A87" t="s">
        <v>2985</v>
      </c>
    </row>
    <row r="88" spans="1:7" x14ac:dyDescent="0.3">
      <c r="A88" t="s">
        <v>2986</v>
      </c>
    </row>
    <row r="90" spans="1:7" x14ac:dyDescent="0.3">
      <c r="A90" s="124" t="s">
        <v>2780</v>
      </c>
    </row>
    <row r="92" spans="1:7" x14ac:dyDescent="0.3">
      <c r="A92" t="s">
        <v>2987</v>
      </c>
    </row>
    <row r="94" spans="1:7" x14ac:dyDescent="0.3">
      <c r="A94" s="122" t="s">
        <v>2781</v>
      </c>
      <c r="B94" s="122" t="s">
        <v>2782</v>
      </c>
      <c r="C94" s="122" t="s">
        <v>2783</v>
      </c>
      <c r="D94" s="122" t="s">
        <v>2784</v>
      </c>
      <c r="E94" s="122" t="s">
        <v>2785</v>
      </c>
      <c r="F94" s="122" t="s">
        <v>2786</v>
      </c>
      <c r="G94" s="122" t="s">
        <v>2787</v>
      </c>
    </row>
    <row r="95" spans="1:7" x14ac:dyDescent="0.3">
      <c r="A95" s="74">
        <v>1</v>
      </c>
      <c r="B95" s="74" t="s">
        <v>2704</v>
      </c>
      <c r="C95" s="74">
        <v>12</v>
      </c>
      <c r="D95" s="74" t="s">
        <v>2788</v>
      </c>
      <c r="E95" s="84">
        <v>2</v>
      </c>
      <c r="F95" s="123">
        <v>0.04</v>
      </c>
      <c r="G95" s="91">
        <f t="shared" ref="G95:G138" si="2">E95*F95</f>
        <v>0.08</v>
      </c>
    </row>
    <row r="96" spans="1:7" x14ac:dyDescent="0.3">
      <c r="A96" s="5">
        <v>2</v>
      </c>
      <c r="B96" s="5" t="s">
        <v>2706</v>
      </c>
      <c r="C96" s="5">
        <v>320</v>
      </c>
      <c r="D96" s="5" t="s">
        <v>2789</v>
      </c>
      <c r="E96" s="83">
        <v>2</v>
      </c>
      <c r="F96" s="125">
        <v>0.03</v>
      </c>
      <c r="G96" s="90">
        <f t="shared" si="2"/>
        <v>0.06</v>
      </c>
    </row>
    <row r="97" spans="1:7" x14ac:dyDescent="0.3">
      <c r="A97" s="74">
        <v>3</v>
      </c>
      <c r="B97" s="74" t="s">
        <v>2707</v>
      </c>
      <c r="C97" s="74">
        <v>0</v>
      </c>
      <c r="D97" s="74" t="s">
        <v>2790</v>
      </c>
      <c r="E97" s="84">
        <v>1</v>
      </c>
      <c r="F97" s="123">
        <v>0.05</v>
      </c>
      <c r="G97" s="91">
        <f t="shared" si="2"/>
        <v>0.05</v>
      </c>
    </row>
    <row r="98" spans="1:7" x14ac:dyDescent="0.3">
      <c r="A98" s="5">
        <v>4</v>
      </c>
      <c r="B98" s="5" t="s">
        <v>2709</v>
      </c>
      <c r="C98" s="5">
        <v>0</v>
      </c>
      <c r="D98" s="5" t="s">
        <v>2791</v>
      </c>
      <c r="E98" s="83">
        <v>1</v>
      </c>
      <c r="F98" s="125">
        <v>0.04</v>
      </c>
      <c r="G98" s="90">
        <f t="shared" si="2"/>
        <v>0.04</v>
      </c>
    </row>
    <row r="99" spans="1:7" x14ac:dyDescent="0.3">
      <c r="A99" s="74">
        <v>5</v>
      </c>
      <c r="B99" s="74" t="s">
        <v>2814</v>
      </c>
      <c r="C99" s="74">
        <v>1</v>
      </c>
      <c r="D99" s="74" t="s">
        <v>3021</v>
      </c>
      <c r="E99" s="84">
        <v>1</v>
      </c>
      <c r="F99" s="123">
        <v>0.02</v>
      </c>
      <c r="G99" s="91">
        <f t="shared" si="2"/>
        <v>0.02</v>
      </c>
    </row>
    <row r="100" spans="1:7" x14ac:dyDescent="0.3">
      <c r="A100" s="5">
        <v>6</v>
      </c>
      <c r="B100" s="5" t="s">
        <v>2713</v>
      </c>
      <c r="C100" s="5">
        <v>85</v>
      </c>
      <c r="D100" s="5" t="s">
        <v>2792</v>
      </c>
      <c r="E100" s="83">
        <v>2</v>
      </c>
      <c r="F100" s="125">
        <v>6.8000000000000005E-2</v>
      </c>
      <c r="G100" s="90">
        <f t="shared" si="2"/>
        <v>0.13600000000000001</v>
      </c>
    </row>
    <row r="101" spans="1:7" x14ac:dyDescent="0.3">
      <c r="A101" s="74">
        <v>7</v>
      </c>
      <c r="B101" s="74" t="s">
        <v>2714</v>
      </c>
      <c r="C101" s="74">
        <v>3</v>
      </c>
      <c r="D101" s="74" t="s">
        <v>2793</v>
      </c>
      <c r="E101" s="84">
        <v>2</v>
      </c>
      <c r="F101" s="123">
        <v>0.03</v>
      </c>
      <c r="G101" s="91">
        <f t="shared" si="2"/>
        <v>0.06</v>
      </c>
    </row>
    <row r="102" spans="1:7" x14ac:dyDescent="0.3">
      <c r="A102" s="5">
        <v>8</v>
      </c>
      <c r="B102" s="5" t="s">
        <v>2715</v>
      </c>
      <c r="C102" s="5">
        <v>2</v>
      </c>
      <c r="D102" s="5" t="s">
        <v>2794</v>
      </c>
      <c r="E102" s="83">
        <v>1</v>
      </c>
      <c r="F102" s="125">
        <v>0.04</v>
      </c>
      <c r="G102" s="90">
        <f t="shared" si="2"/>
        <v>0.04</v>
      </c>
    </row>
    <row r="103" spans="1:7" x14ac:dyDescent="0.3">
      <c r="A103" s="74">
        <v>9</v>
      </c>
      <c r="B103" s="74" t="s">
        <v>2716</v>
      </c>
      <c r="C103" s="74">
        <v>100</v>
      </c>
      <c r="D103" s="74" t="s">
        <v>2795</v>
      </c>
      <c r="E103" s="84">
        <v>1</v>
      </c>
      <c r="F103" s="123">
        <v>0.02</v>
      </c>
      <c r="G103" s="91">
        <f t="shared" si="2"/>
        <v>0.02</v>
      </c>
    </row>
    <row r="104" spans="1:7" x14ac:dyDescent="0.3">
      <c r="A104" s="5">
        <v>10</v>
      </c>
      <c r="B104" s="5" t="s">
        <v>2717</v>
      </c>
      <c r="C104" s="5">
        <v>2</v>
      </c>
      <c r="D104" s="5" t="s">
        <v>2793</v>
      </c>
      <c r="E104" s="83">
        <v>1</v>
      </c>
      <c r="F104" s="125">
        <v>0.03</v>
      </c>
      <c r="G104" s="90">
        <f t="shared" si="2"/>
        <v>0.03</v>
      </c>
    </row>
    <row r="105" spans="1:7" x14ac:dyDescent="0.3">
      <c r="A105" s="74">
        <v>11</v>
      </c>
      <c r="B105" s="74" t="s">
        <v>3022</v>
      </c>
      <c r="C105" s="74">
        <v>0</v>
      </c>
      <c r="D105" s="74" t="s">
        <v>3023</v>
      </c>
      <c r="E105" s="84">
        <v>1</v>
      </c>
      <c r="F105" s="123">
        <v>0.02</v>
      </c>
      <c r="G105" s="91">
        <f t="shared" si="2"/>
        <v>0.02</v>
      </c>
    </row>
    <row r="106" spans="1:7" x14ac:dyDescent="0.3">
      <c r="A106" s="5">
        <v>12</v>
      </c>
      <c r="B106" s="5" t="s">
        <v>2988</v>
      </c>
      <c r="C106" s="5">
        <v>4</v>
      </c>
      <c r="D106" s="5" t="s">
        <v>3024</v>
      </c>
      <c r="E106" s="83">
        <v>2</v>
      </c>
      <c r="F106" s="125">
        <v>0.03</v>
      </c>
      <c r="G106" s="90">
        <f t="shared" si="2"/>
        <v>0.06</v>
      </c>
    </row>
    <row r="107" spans="1:7" x14ac:dyDescent="0.3">
      <c r="A107" s="74">
        <v>13</v>
      </c>
      <c r="B107" s="74" t="s">
        <v>2989</v>
      </c>
      <c r="C107" s="74">
        <v>4</v>
      </c>
      <c r="D107" s="74" t="s">
        <v>3025</v>
      </c>
      <c r="E107" s="84">
        <v>2</v>
      </c>
      <c r="F107" s="123">
        <v>0.02</v>
      </c>
      <c r="G107" s="91">
        <f t="shared" si="2"/>
        <v>0.04</v>
      </c>
    </row>
    <row r="108" spans="1:7" x14ac:dyDescent="0.3">
      <c r="A108" s="5">
        <v>14</v>
      </c>
      <c r="B108" s="5" t="s">
        <v>2847</v>
      </c>
      <c r="C108" s="5">
        <v>0</v>
      </c>
      <c r="D108" s="5" t="s">
        <v>2990</v>
      </c>
      <c r="E108" s="83">
        <v>1</v>
      </c>
      <c r="F108" s="125">
        <v>0.03</v>
      </c>
      <c r="G108" s="90">
        <f t="shared" si="2"/>
        <v>0.03</v>
      </c>
    </row>
    <row r="109" spans="1:7" x14ac:dyDescent="0.3">
      <c r="A109" s="74">
        <v>15</v>
      </c>
      <c r="B109" s="74" t="s">
        <v>2850</v>
      </c>
      <c r="C109" s="74">
        <v>4</v>
      </c>
      <c r="D109" s="74" t="s">
        <v>3026</v>
      </c>
      <c r="E109" s="84">
        <v>2</v>
      </c>
      <c r="F109" s="123">
        <v>0.03</v>
      </c>
      <c r="G109" s="91">
        <f t="shared" si="2"/>
        <v>0.06</v>
      </c>
    </row>
    <row r="110" spans="1:7" x14ac:dyDescent="0.3">
      <c r="A110" s="5">
        <v>16</v>
      </c>
      <c r="B110" s="5" t="s">
        <v>2855</v>
      </c>
      <c r="C110" s="5">
        <v>5</v>
      </c>
      <c r="D110" s="5" t="s">
        <v>3027</v>
      </c>
      <c r="E110" s="83">
        <v>1</v>
      </c>
      <c r="F110" s="125">
        <v>0.02</v>
      </c>
      <c r="G110" s="90">
        <f t="shared" si="2"/>
        <v>0.02</v>
      </c>
    </row>
    <row r="111" spans="1:7" x14ac:dyDescent="0.3">
      <c r="A111" s="74">
        <v>17</v>
      </c>
      <c r="B111" s="74" t="s">
        <v>3028</v>
      </c>
      <c r="C111" s="74">
        <v>0</v>
      </c>
      <c r="D111" s="74" t="s">
        <v>3029</v>
      </c>
      <c r="E111" s="84">
        <v>1</v>
      </c>
      <c r="F111" s="123">
        <v>1.4999999999999999E-2</v>
      </c>
      <c r="G111" s="91">
        <f t="shared" si="2"/>
        <v>1.4999999999999999E-2</v>
      </c>
    </row>
    <row r="112" spans="1:7" x14ac:dyDescent="0.3">
      <c r="A112" s="5">
        <v>18</v>
      </c>
      <c r="B112" s="5" t="s">
        <v>2864</v>
      </c>
      <c r="C112" s="5">
        <v>5</v>
      </c>
      <c r="D112" s="5" t="s">
        <v>3030</v>
      </c>
      <c r="E112" s="83">
        <v>1</v>
      </c>
      <c r="F112" s="125">
        <v>0.01</v>
      </c>
      <c r="G112" s="90">
        <f t="shared" si="2"/>
        <v>0.01</v>
      </c>
    </row>
    <row r="113" spans="1:7" x14ac:dyDescent="0.3">
      <c r="A113" s="74">
        <v>19</v>
      </c>
      <c r="B113" s="74" t="s">
        <v>2868</v>
      </c>
      <c r="C113" s="74">
        <v>5</v>
      </c>
      <c r="D113" s="74" t="s">
        <v>3030</v>
      </c>
      <c r="E113" s="84">
        <v>1</v>
      </c>
      <c r="F113" s="123">
        <v>1.4999999999999999E-2</v>
      </c>
      <c r="G113" s="91">
        <f t="shared" si="2"/>
        <v>1.4999999999999999E-2</v>
      </c>
    </row>
    <row r="114" spans="1:7" x14ac:dyDescent="0.3">
      <c r="A114" s="5">
        <v>20</v>
      </c>
      <c r="B114" s="5" t="s">
        <v>2991</v>
      </c>
      <c r="C114" s="5">
        <v>2</v>
      </c>
      <c r="D114" s="5" t="s">
        <v>2794</v>
      </c>
      <c r="E114" s="83">
        <v>1</v>
      </c>
      <c r="F114" s="125">
        <v>0.02</v>
      </c>
      <c r="G114" s="90">
        <f t="shared" si="2"/>
        <v>0.02</v>
      </c>
    </row>
    <row r="115" spans="1:7" x14ac:dyDescent="0.3">
      <c r="A115" s="74">
        <v>21</v>
      </c>
      <c r="B115" s="74" t="s">
        <v>2992</v>
      </c>
      <c r="C115" s="74">
        <v>2</v>
      </c>
      <c r="D115" s="74" t="s">
        <v>2796</v>
      </c>
      <c r="E115" s="84">
        <v>2</v>
      </c>
      <c r="F115" s="123">
        <v>0.03</v>
      </c>
      <c r="G115" s="91">
        <f t="shared" si="2"/>
        <v>0.06</v>
      </c>
    </row>
    <row r="116" spans="1:7" x14ac:dyDescent="0.3">
      <c r="A116" s="5">
        <v>22</v>
      </c>
      <c r="B116" s="5" t="s">
        <v>2993</v>
      </c>
      <c r="C116" s="5">
        <v>30</v>
      </c>
      <c r="D116" s="5" t="s">
        <v>2994</v>
      </c>
      <c r="E116" s="83">
        <v>1</v>
      </c>
      <c r="F116" s="125">
        <v>0.03</v>
      </c>
      <c r="G116" s="90">
        <f t="shared" si="2"/>
        <v>0.03</v>
      </c>
    </row>
    <row r="117" spans="1:7" x14ac:dyDescent="0.3">
      <c r="A117" s="74">
        <v>23</v>
      </c>
      <c r="B117" s="74" t="s">
        <v>2995</v>
      </c>
      <c r="C117" s="74">
        <v>5</v>
      </c>
      <c r="D117" s="74" t="s">
        <v>3031</v>
      </c>
      <c r="E117" s="84">
        <v>1</v>
      </c>
      <c r="F117" s="123">
        <v>0.03</v>
      </c>
      <c r="G117" s="91">
        <f t="shared" si="2"/>
        <v>0.03</v>
      </c>
    </row>
    <row r="118" spans="1:7" x14ac:dyDescent="0.3">
      <c r="A118" s="5">
        <v>24</v>
      </c>
      <c r="B118" s="5" t="s">
        <v>2880</v>
      </c>
      <c r="C118" s="5">
        <v>1</v>
      </c>
      <c r="D118" s="5" t="s">
        <v>2791</v>
      </c>
      <c r="E118" s="83">
        <v>2</v>
      </c>
      <c r="F118" s="125">
        <v>0.03</v>
      </c>
      <c r="G118" s="90">
        <f t="shared" si="2"/>
        <v>0.06</v>
      </c>
    </row>
    <row r="119" spans="1:7" x14ac:dyDescent="0.3">
      <c r="A119" s="74">
        <v>25</v>
      </c>
      <c r="B119" s="74" t="s">
        <v>2996</v>
      </c>
      <c r="C119" s="74">
        <v>2</v>
      </c>
      <c r="D119" s="74" t="s">
        <v>2796</v>
      </c>
      <c r="E119" s="84">
        <v>2</v>
      </c>
      <c r="F119" s="123">
        <v>0.03</v>
      </c>
      <c r="G119" s="91">
        <f t="shared" si="2"/>
        <v>0.06</v>
      </c>
    </row>
    <row r="120" spans="1:7" x14ac:dyDescent="0.3">
      <c r="A120" s="5">
        <v>26</v>
      </c>
      <c r="B120" s="5" t="s">
        <v>2730</v>
      </c>
      <c r="C120" s="5">
        <v>5</v>
      </c>
      <c r="D120" s="5" t="s">
        <v>3032</v>
      </c>
      <c r="E120" s="83">
        <v>1</v>
      </c>
      <c r="F120" s="125">
        <v>0.02</v>
      </c>
      <c r="G120" s="90">
        <f t="shared" si="2"/>
        <v>0.02</v>
      </c>
    </row>
    <row r="121" spans="1:7" x14ac:dyDescent="0.3">
      <c r="A121" s="74">
        <v>27</v>
      </c>
      <c r="B121" s="74" t="s">
        <v>2997</v>
      </c>
      <c r="C121" s="74">
        <v>0</v>
      </c>
      <c r="D121" s="74" t="s">
        <v>2998</v>
      </c>
      <c r="E121" s="84">
        <v>1</v>
      </c>
      <c r="F121" s="123">
        <v>0.02</v>
      </c>
      <c r="G121" s="91">
        <f t="shared" si="2"/>
        <v>0.02</v>
      </c>
    </row>
    <row r="122" spans="1:7" x14ac:dyDescent="0.3">
      <c r="A122" s="5">
        <v>28</v>
      </c>
      <c r="B122" s="5" t="s">
        <v>2890</v>
      </c>
      <c r="C122" s="5">
        <v>5</v>
      </c>
      <c r="D122" s="5" t="s">
        <v>3033</v>
      </c>
      <c r="E122" s="83">
        <v>1</v>
      </c>
      <c r="F122" s="125">
        <v>0.02</v>
      </c>
      <c r="G122" s="90">
        <f t="shared" si="2"/>
        <v>0.02</v>
      </c>
    </row>
    <row r="123" spans="1:7" x14ac:dyDescent="0.3">
      <c r="A123" s="74">
        <v>29</v>
      </c>
      <c r="B123" s="74" t="s">
        <v>2999</v>
      </c>
      <c r="C123" s="74">
        <v>4</v>
      </c>
      <c r="D123" s="74" t="s">
        <v>3030</v>
      </c>
      <c r="E123" s="84">
        <v>2</v>
      </c>
      <c r="F123" s="123">
        <v>0.02</v>
      </c>
      <c r="G123" s="91">
        <f t="shared" si="2"/>
        <v>0.04</v>
      </c>
    </row>
    <row r="124" spans="1:7" x14ac:dyDescent="0.3">
      <c r="A124" s="5">
        <v>30</v>
      </c>
      <c r="B124" s="5" t="s">
        <v>3000</v>
      </c>
      <c r="C124" s="5">
        <v>4</v>
      </c>
      <c r="D124" s="5" t="s">
        <v>3034</v>
      </c>
      <c r="E124" s="83">
        <v>2</v>
      </c>
      <c r="F124" s="125">
        <v>1.4999999999999999E-2</v>
      </c>
      <c r="G124" s="90">
        <f t="shared" si="2"/>
        <v>0.03</v>
      </c>
    </row>
    <row r="125" spans="1:7" x14ac:dyDescent="0.3">
      <c r="A125" s="74">
        <v>31</v>
      </c>
      <c r="B125" s="74" t="s">
        <v>3001</v>
      </c>
      <c r="C125" s="74">
        <v>4</v>
      </c>
      <c r="D125" s="74" t="s">
        <v>3035</v>
      </c>
      <c r="E125" s="84">
        <v>2</v>
      </c>
      <c r="F125" s="123">
        <v>1.4999999999999999E-2</v>
      </c>
      <c r="G125" s="91">
        <f t="shared" si="2"/>
        <v>0.03</v>
      </c>
    </row>
    <row r="126" spans="1:7" x14ac:dyDescent="0.3">
      <c r="A126" s="5">
        <v>32</v>
      </c>
      <c r="B126" s="5" t="s">
        <v>3002</v>
      </c>
      <c r="C126" s="5">
        <v>4</v>
      </c>
      <c r="D126" s="5" t="s">
        <v>3036</v>
      </c>
      <c r="E126" s="83">
        <v>2</v>
      </c>
      <c r="F126" s="125">
        <v>1.4999999999999999E-2</v>
      </c>
      <c r="G126" s="90">
        <f t="shared" si="2"/>
        <v>0.03</v>
      </c>
    </row>
    <row r="127" spans="1:7" x14ac:dyDescent="0.3">
      <c r="A127" s="74">
        <v>33</v>
      </c>
      <c r="B127" s="74" t="s">
        <v>3037</v>
      </c>
      <c r="C127" s="74">
        <v>15</v>
      </c>
      <c r="D127" s="74" t="s">
        <v>3003</v>
      </c>
      <c r="E127" s="84">
        <v>1</v>
      </c>
      <c r="F127" s="123">
        <v>0.02</v>
      </c>
      <c r="G127" s="91">
        <f t="shared" si="2"/>
        <v>0.02</v>
      </c>
    </row>
    <row r="128" spans="1:7" x14ac:dyDescent="0.3">
      <c r="A128" s="5">
        <v>34</v>
      </c>
      <c r="B128" s="5" t="s">
        <v>2967</v>
      </c>
      <c r="C128" s="5">
        <v>90</v>
      </c>
      <c r="D128" s="5" t="s">
        <v>3004</v>
      </c>
      <c r="E128" s="83">
        <v>1</v>
      </c>
      <c r="F128" s="125">
        <v>1.4999999999999999E-2</v>
      </c>
      <c r="G128" s="90">
        <f t="shared" si="2"/>
        <v>1.4999999999999999E-2</v>
      </c>
    </row>
    <row r="129" spans="1:7" x14ac:dyDescent="0.3">
      <c r="A129" s="74">
        <v>35</v>
      </c>
      <c r="B129" s="74" t="s">
        <v>3005</v>
      </c>
      <c r="C129" s="74">
        <v>5</v>
      </c>
      <c r="D129" s="74" t="s">
        <v>3026</v>
      </c>
      <c r="E129" s="84">
        <v>1</v>
      </c>
      <c r="F129" s="123">
        <v>0.02</v>
      </c>
      <c r="G129" s="91">
        <f t="shared" si="2"/>
        <v>0.02</v>
      </c>
    </row>
    <row r="130" spans="1:7" x14ac:dyDescent="0.3">
      <c r="A130" s="5">
        <v>36</v>
      </c>
      <c r="B130" s="5" t="s">
        <v>2918</v>
      </c>
      <c r="C130" s="5">
        <v>5</v>
      </c>
      <c r="D130" s="5" t="s">
        <v>3006</v>
      </c>
      <c r="E130" s="83">
        <v>2</v>
      </c>
      <c r="F130" s="125">
        <v>0.02</v>
      </c>
      <c r="G130" s="90">
        <f t="shared" si="2"/>
        <v>0.04</v>
      </c>
    </row>
    <row r="131" spans="1:7" x14ac:dyDescent="0.3">
      <c r="A131" s="74">
        <v>37</v>
      </c>
      <c r="B131" s="74" t="s">
        <v>3007</v>
      </c>
      <c r="C131" s="74">
        <v>5</v>
      </c>
      <c r="D131" s="74" t="s">
        <v>3038</v>
      </c>
      <c r="E131" s="84">
        <v>1</v>
      </c>
      <c r="F131" s="123">
        <v>0.01</v>
      </c>
      <c r="G131" s="91">
        <f t="shared" si="2"/>
        <v>0.01</v>
      </c>
    </row>
    <row r="132" spans="1:7" x14ac:dyDescent="0.3">
      <c r="A132" s="5">
        <v>38</v>
      </c>
      <c r="B132" s="5" t="s">
        <v>2928</v>
      </c>
      <c r="C132" s="5">
        <v>0</v>
      </c>
      <c r="D132" s="5" t="s">
        <v>3008</v>
      </c>
      <c r="E132" s="83">
        <v>1</v>
      </c>
      <c r="F132" s="125">
        <v>8.0000000000000002E-3</v>
      </c>
      <c r="G132" s="90">
        <f t="shared" si="2"/>
        <v>8.0000000000000002E-3</v>
      </c>
    </row>
    <row r="133" spans="1:7" x14ac:dyDescent="0.3">
      <c r="A133" s="74">
        <v>39</v>
      </c>
      <c r="B133" s="74" t="s">
        <v>2776</v>
      </c>
      <c r="C133" s="74">
        <v>90</v>
      </c>
      <c r="D133" s="74" t="s">
        <v>2799</v>
      </c>
      <c r="E133" s="84">
        <v>1</v>
      </c>
      <c r="F133" s="123">
        <v>8.0000000000000002E-3</v>
      </c>
      <c r="G133" s="91">
        <f t="shared" si="2"/>
        <v>8.0000000000000002E-3</v>
      </c>
    </row>
    <row r="134" spans="1:7" x14ac:dyDescent="0.3">
      <c r="A134" s="5">
        <v>40</v>
      </c>
      <c r="B134" s="5" t="s">
        <v>3009</v>
      </c>
      <c r="C134" s="5">
        <v>0</v>
      </c>
      <c r="D134" s="5" t="s">
        <v>2791</v>
      </c>
      <c r="E134" s="83">
        <v>1</v>
      </c>
      <c r="F134" s="125">
        <v>0.01</v>
      </c>
      <c r="G134" s="90">
        <f t="shared" si="2"/>
        <v>0.01</v>
      </c>
    </row>
    <row r="135" spans="1:7" x14ac:dyDescent="0.3">
      <c r="A135" s="74">
        <v>41</v>
      </c>
      <c r="B135" s="74" t="s">
        <v>3010</v>
      </c>
      <c r="C135" s="74">
        <v>5</v>
      </c>
      <c r="D135" s="74" t="s">
        <v>3030</v>
      </c>
      <c r="E135" s="84">
        <v>1</v>
      </c>
      <c r="F135" s="123">
        <v>8.0000000000000002E-3</v>
      </c>
      <c r="G135" s="91">
        <f t="shared" si="2"/>
        <v>8.0000000000000002E-3</v>
      </c>
    </row>
    <row r="136" spans="1:7" x14ac:dyDescent="0.3">
      <c r="A136" s="5">
        <v>42</v>
      </c>
      <c r="B136" s="5" t="s">
        <v>3011</v>
      </c>
      <c r="C136" s="5">
        <v>4</v>
      </c>
      <c r="D136" s="5" t="s">
        <v>3030</v>
      </c>
      <c r="E136" s="83">
        <v>2</v>
      </c>
      <c r="F136" s="125">
        <v>8.0000000000000002E-3</v>
      </c>
      <c r="G136" s="90">
        <f t="shared" si="2"/>
        <v>1.6E-2</v>
      </c>
    </row>
    <row r="137" spans="1:7" x14ac:dyDescent="0.3">
      <c r="A137" s="74">
        <v>43</v>
      </c>
      <c r="B137" s="74" t="s">
        <v>2941</v>
      </c>
      <c r="C137" s="74">
        <v>1</v>
      </c>
      <c r="D137" s="74" t="s">
        <v>3039</v>
      </c>
      <c r="E137" s="84">
        <v>1</v>
      </c>
      <c r="F137" s="123">
        <v>0.01</v>
      </c>
      <c r="G137" s="91">
        <f t="shared" si="2"/>
        <v>0.01</v>
      </c>
    </row>
    <row r="138" spans="1:7" x14ac:dyDescent="0.3">
      <c r="A138" s="5">
        <v>44</v>
      </c>
      <c r="B138" s="5" t="s">
        <v>2944</v>
      </c>
      <c r="C138" s="5">
        <v>500</v>
      </c>
      <c r="D138" s="5" t="s">
        <v>3012</v>
      </c>
      <c r="E138" s="83">
        <v>1</v>
      </c>
      <c r="F138" s="125">
        <v>0.01</v>
      </c>
      <c r="G138" s="90">
        <f t="shared" si="2"/>
        <v>0.01</v>
      </c>
    </row>
    <row r="139" spans="1:7" x14ac:dyDescent="0.3">
      <c r="A139" s="5"/>
      <c r="B139" s="5"/>
      <c r="C139" s="5"/>
      <c r="D139" s="5"/>
      <c r="E139" s="5"/>
      <c r="F139" s="5"/>
      <c r="G139" s="5"/>
    </row>
    <row r="140" spans="1:7" x14ac:dyDescent="0.3">
      <c r="A140" s="388" t="s">
        <v>2736</v>
      </c>
      <c r="B140" s="389"/>
      <c r="C140" s="389"/>
      <c r="D140" s="389"/>
      <c r="E140" s="127">
        <f>ROUND(AVERAGE(E95:E138),2)</f>
        <v>1.36</v>
      </c>
      <c r="F140" s="128">
        <f>SUM(F95:F138)</f>
        <v>1.0000000000000004</v>
      </c>
      <c r="G140" s="129">
        <f>ROUND(SUM(G95:G138),2)</f>
        <v>1.43</v>
      </c>
    </row>
    <row r="143" spans="1:7" x14ac:dyDescent="0.3">
      <c r="A143" s="387" t="s">
        <v>3013</v>
      </c>
      <c r="B143" s="339"/>
      <c r="C143" s="339"/>
      <c r="D143" s="339"/>
      <c r="E143" s="339"/>
      <c r="F143" s="339"/>
      <c r="G143" s="339"/>
    </row>
    <row r="145" spans="1:11" x14ac:dyDescent="0.3">
      <c r="A145" s="1" t="s">
        <v>3014</v>
      </c>
      <c r="B145" s="82">
        <f>G140</f>
        <v>1.43</v>
      </c>
      <c r="D145" s="1" t="s">
        <v>2801</v>
      </c>
      <c r="E145" t="str">
        <f>IF(G140&gt;=4,"SEVERE",IF(G140&gt;=3.5,"CRITICAL",IF(G140&gt;=2.5,"HIGH",IF(G140&gt;=1.5,"MEDIUM","LOW"))))</f>
        <v>LOW</v>
      </c>
    </row>
    <row r="147" spans="1:11" x14ac:dyDescent="0.3">
      <c r="A147" s="386" t="s">
        <v>3040</v>
      </c>
      <c r="B147" s="339"/>
      <c r="C147" s="339"/>
      <c r="D147" s="339"/>
      <c r="E147" s="339"/>
      <c r="F147" s="339"/>
      <c r="G147" s="339"/>
    </row>
    <row r="150" spans="1:11" ht="15.6" x14ac:dyDescent="0.3">
      <c r="A150" s="384" t="s">
        <v>4692</v>
      </c>
      <c r="B150" s="384"/>
      <c r="C150" s="384"/>
      <c r="D150" s="384"/>
      <c r="E150" s="384"/>
      <c r="F150" s="384"/>
      <c r="G150" s="384"/>
      <c r="H150" s="384"/>
      <c r="I150" s="384"/>
      <c r="J150" s="384"/>
      <c r="K150" s="384"/>
    </row>
    <row r="151" spans="1:11" x14ac:dyDescent="0.3">
      <c r="A151" s="237"/>
      <c r="B151" s="237"/>
      <c r="C151" s="237"/>
      <c r="D151" s="237"/>
      <c r="E151" s="237"/>
      <c r="F151" s="237"/>
      <c r="G151" s="237"/>
      <c r="H151" s="237"/>
      <c r="I151" s="237"/>
      <c r="J151" s="237"/>
      <c r="K151" s="237"/>
    </row>
    <row r="152" spans="1:11" x14ac:dyDescent="0.3">
      <c r="A152" s="237" t="s">
        <v>4693</v>
      </c>
      <c r="B152" s="237"/>
      <c r="C152" s="237"/>
      <c r="D152" s="237"/>
      <c r="E152" s="237"/>
      <c r="F152" s="237"/>
      <c r="G152" s="237"/>
      <c r="H152" s="237"/>
      <c r="I152" s="237"/>
      <c r="J152" s="237"/>
      <c r="K152" s="237"/>
    </row>
    <row r="153" spans="1:11" x14ac:dyDescent="0.3">
      <c r="A153" s="237"/>
      <c r="B153" s="237"/>
      <c r="C153" s="237"/>
      <c r="D153" s="237"/>
      <c r="E153" s="237"/>
      <c r="F153" s="237"/>
      <c r="G153" s="237"/>
      <c r="H153" s="237"/>
      <c r="I153" s="237"/>
      <c r="J153" s="237"/>
      <c r="K153" s="237"/>
    </row>
    <row r="154" spans="1:11" x14ac:dyDescent="0.3">
      <c r="A154" s="237" t="s">
        <v>4694</v>
      </c>
      <c r="B154" s="237"/>
      <c r="C154" s="237"/>
      <c r="D154" s="237"/>
      <c r="E154" s="237"/>
      <c r="F154" s="237"/>
      <c r="G154" s="237"/>
      <c r="H154" s="237"/>
      <c r="I154" s="237"/>
      <c r="J154" s="237"/>
      <c r="K154" s="237"/>
    </row>
    <row r="155" spans="1:11" x14ac:dyDescent="0.3">
      <c r="A155" s="237"/>
      <c r="B155" s="237"/>
      <c r="C155" s="237"/>
      <c r="D155" s="237"/>
      <c r="E155" s="237"/>
      <c r="F155" s="237"/>
      <c r="G155" s="237"/>
      <c r="H155" s="237"/>
      <c r="I155" s="237"/>
      <c r="J155" s="237"/>
      <c r="K155" s="237"/>
    </row>
    <row r="156" spans="1:11" x14ac:dyDescent="0.3">
      <c r="A156" s="237" t="s">
        <v>4695</v>
      </c>
      <c r="B156" s="237"/>
      <c r="C156" s="237"/>
      <c r="D156" s="237"/>
      <c r="E156" s="237"/>
      <c r="F156" s="237"/>
      <c r="G156" s="237"/>
      <c r="H156" s="237"/>
      <c r="I156" s="237"/>
      <c r="J156" s="237"/>
      <c r="K156" s="237"/>
    </row>
    <row r="157" spans="1:11" x14ac:dyDescent="0.3">
      <c r="A157" s="237" t="s">
        <v>4696</v>
      </c>
      <c r="B157" s="237"/>
      <c r="C157" s="237"/>
      <c r="D157" s="237"/>
      <c r="E157" s="237"/>
      <c r="F157" s="237"/>
      <c r="G157" s="237"/>
      <c r="H157" s="237"/>
      <c r="I157" s="237"/>
      <c r="J157" s="237"/>
      <c r="K157" s="237"/>
    </row>
    <row r="158" spans="1:11" x14ac:dyDescent="0.3">
      <c r="A158" s="237" t="s">
        <v>4697</v>
      </c>
      <c r="B158" s="237"/>
      <c r="C158" s="237"/>
      <c r="D158" s="237"/>
      <c r="E158" s="237"/>
      <c r="F158" s="237"/>
      <c r="G158" s="237"/>
      <c r="H158" s="237"/>
      <c r="I158" s="237"/>
      <c r="J158" s="237"/>
      <c r="K158" s="237"/>
    </row>
    <row r="159" spans="1:11" x14ac:dyDescent="0.3">
      <c r="A159" s="237" t="s">
        <v>4698</v>
      </c>
      <c r="B159" s="237"/>
      <c r="C159" s="237"/>
      <c r="D159" s="237"/>
      <c r="E159" s="237"/>
      <c r="F159" s="237"/>
      <c r="G159" s="237"/>
      <c r="H159" s="237"/>
      <c r="I159" s="237"/>
      <c r="J159" s="237"/>
      <c r="K159" s="237"/>
    </row>
    <row r="160" spans="1:11" x14ac:dyDescent="0.3">
      <c r="A160" s="237"/>
      <c r="B160" s="237"/>
      <c r="C160" s="237"/>
      <c r="D160" s="237"/>
      <c r="E160" s="237"/>
      <c r="F160" s="237"/>
      <c r="G160" s="237"/>
      <c r="H160" s="237"/>
      <c r="I160" s="237"/>
      <c r="J160" s="237"/>
      <c r="K160" s="237"/>
    </row>
    <row r="161" spans="1:11" x14ac:dyDescent="0.3">
      <c r="A161" s="237" t="s">
        <v>4699</v>
      </c>
      <c r="B161" s="237"/>
      <c r="C161" s="237"/>
      <c r="D161" s="237"/>
      <c r="E161" s="237"/>
      <c r="F161" s="237"/>
      <c r="G161" s="237"/>
      <c r="H161" s="237"/>
      <c r="I161" s="237"/>
      <c r="J161" s="237"/>
      <c r="K161" s="237"/>
    </row>
    <row r="162" spans="1:11" x14ac:dyDescent="0.3">
      <c r="A162" s="237"/>
      <c r="B162" s="237"/>
      <c r="C162" s="237"/>
      <c r="D162" s="237"/>
      <c r="E162" s="237"/>
      <c r="F162" s="237"/>
      <c r="G162" s="237"/>
      <c r="H162" s="237"/>
      <c r="I162" s="237"/>
      <c r="J162" s="237"/>
      <c r="K162" s="237"/>
    </row>
    <row r="163" spans="1:11" x14ac:dyDescent="0.3">
      <c r="A163" s="237" t="s">
        <v>4700</v>
      </c>
      <c r="B163" s="237"/>
      <c r="C163" s="237"/>
      <c r="D163" s="237"/>
      <c r="E163" s="237"/>
      <c r="F163" s="237"/>
      <c r="G163" s="237"/>
      <c r="H163" s="237"/>
      <c r="I163" s="237"/>
      <c r="J163" s="237"/>
      <c r="K163" s="237"/>
    </row>
    <row r="166" spans="1:11" ht="18" x14ac:dyDescent="0.35">
      <c r="A166" s="385" t="s">
        <v>4701</v>
      </c>
      <c r="B166" s="385"/>
      <c r="C166" s="385"/>
      <c r="D166" s="385"/>
      <c r="E166" s="385"/>
      <c r="F166" s="385"/>
      <c r="G166" s="385"/>
      <c r="H166" s="385"/>
      <c r="I166" s="385"/>
      <c r="J166" s="385"/>
      <c r="K166" s="385"/>
    </row>
    <row r="168" spans="1:11" ht="15.6" x14ac:dyDescent="0.3">
      <c r="A168" s="222" t="s">
        <v>4702</v>
      </c>
      <c r="B168" s="223"/>
      <c r="C168" s="223"/>
      <c r="D168" s="223"/>
      <c r="E168" s="223"/>
      <c r="F168" s="223"/>
      <c r="G168" s="223"/>
      <c r="H168" s="223"/>
      <c r="I168" s="223"/>
      <c r="J168" s="223"/>
      <c r="K168" s="223"/>
    </row>
    <row r="169" spans="1:11" x14ac:dyDescent="0.3">
      <c r="A169" s="223" t="s">
        <v>4703</v>
      </c>
      <c r="B169" s="223"/>
      <c r="C169" s="223"/>
      <c r="D169" s="223"/>
      <c r="E169" s="223"/>
      <c r="F169" s="223"/>
      <c r="G169" s="223"/>
      <c r="H169" s="223"/>
      <c r="I169" s="223"/>
      <c r="J169" s="223"/>
      <c r="K169" s="223"/>
    </row>
    <row r="170" spans="1:11" x14ac:dyDescent="0.3">
      <c r="A170" s="223" t="s">
        <v>4704</v>
      </c>
      <c r="B170" s="223"/>
      <c r="C170" s="223"/>
      <c r="D170" s="223"/>
      <c r="E170" s="223"/>
      <c r="F170" s="223"/>
      <c r="G170" s="223"/>
      <c r="H170" s="223"/>
      <c r="I170" s="223"/>
      <c r="J170" s="223"/>
      <c r="K170" s="223"/>
    </row>
    <row r="171" spans="1:11" x14ac:dyDescent="0.3">
      <c r="A171" s="223" t="s">
        <v>4705</v>
      </c>
      <c r="B171" s="223"/>
      <c r="C171" s="223"/>
      <c r="D171" s="223"/>
      <c r="E171" s="223"/>
      <c r="F171" s="223"/>
      <c r="G171" s="223"/>
      <c r="H171" s="223"/>
      <c r="I171" s="223"/>
      <c r="J171" s="223"/>
      <c r="K171" s="223"/>
    </row>
    <row r="172" spans="1:11" x14ac:dyDescent="0.3">
      <c r="A172" s="223"/>
      <c r="B172" s="223"/>
      <c r="C172" s="223"/>
      <c r="D172" s="223"/>
      <c r="E172" s="223"/>
      <c r="F172" s="223"/>
      <c r="G172" s="223"/>
      <c r="H172" s="223"/>
      <c r="I172" s="223"/>
      <c r="J172" s="223"/>
      <c r="K172" s="223"/>
    </row>
    <row r="173" spans="1:11" ht="15.6" x14ac:dyDescent="0.3">
      <c r="A173" s="222" t="s">
        <v>4706</v>
      </c>
      <c r="B173" s="223"/>
      <c r="C173" s="223"/>
      <c r="D173" s="223"/>
      <c r="E173" s="223"/>
      <c r="F173" s="223"/>
      <c r="G173" s="223"/>
      <c r="H173" s="223"/>
      <c r="I173" s="223"/>
      <c r="J173" s="223"/>
      <c r="K173" s="223"/>
    </row>
    <row r="174" spans="1:11" x14ac:dyDescent="0.3">
      <c r="A174" s="223"/>
      <c r="B174" s="223"/>
      <c r="C174" s="223"/>
      <c r="D174" s="223"/>
      <c r="E174" s="223"/>
      <c r="F174" s="223"/>
      <c r="G174" s="223"/>
      <c r="H174" s="223"/>
      <c r="I174" s="223"/>
      <c r="J174" s="223"/>
      <c r="K174" s="223"/>
    </row>
    <row r="175" spans="1:11" x14ac:dyDescent="0.3">
      <c r="A175" s="223" t="s">
        <v>4707</v>
      </c>
      <c r="B175" s="223"/>
      <c r="C175" s="223"/>
      <c r="D175" s="223"/>
      <c r="E175" s="223"/>
      <c r="F175" s="223"/>
      <c r="G175" s="223"/>
      <c r="H175" s="223"/>
      <c r="I175" s="223"/>
      <c r="J175" s="223"/>
      <c r="K175" s="223"/>
    </row>
    <row r="176" spans="1:11" x14ac:dyDescent="0.3">
      <c r="A176" s="223"/>
      <c r="B176" s="223"/>
      <c r="C176" s="223"/>
      <c r="D176" s="223"/>
      <c r="E176" s="223"/>
      <c r="F176" s="223"/>
      <c r="G176" s="223"/>
      <c r="H176" s="223"/>
      <c r="I176" s="223"/>
      <c r="J176" s="223"/>
      <c r="K176" s="223"/>
    </row>
    <row r="177" spans="1:11" x14ac:dyDescent="0.3">
      <c r="A177" s="223" t="s">
        <v>4708</v>
      </c>
      <c r="B177" s="223"/>
      <c r="C177" s="223"/>
      <c r="D177" s="223"/>
      <c r="E177" s="223"/>
      <c r="F177" s="223"/>
      <c r="G177" s="223"/>
      <c r="H177" s="223"/>
      <c r="I177" s="223"/>
      <c r="J177" s="223"/>
      <c r="K177" s="223"/>
    </row>
    <row r="178" spans="1:11" x14ac:dyDescent="0.3">
      <c r="A178" s="223" t="s">
        <v>4709</v>
      </c>
      <c r="B178" s="223"/>
      <c r="C178" s="223"/>
      <c r="D178" s="223"/>
      <c r="E178" s="223"/>
      <c r="F178" s="223"/>
      <c r="G178" s="223"/>
      <c r="H178" s="223"/>
      <c r="I178" s="223"/>
      <c r="J178" s="223"/>
      <c r="K178" s="223"/>
    </row>
    <row r="179" spans="1:11" x14ac:dyDescent="0.3">
      <c r="A179" s="223"/>
      <c r="B179" s="223"/>
      <c r="C179" s="223"/>
      <c r="D179" s="223"/>
      <c r="E179" s="223"/>
      <c r="F179" s="223"/>
      <c r="G179" s="223"/>
      <c r="H179" s="223"/>
      <c r="I179" s="223"/>
      <c r="J179" s="223"/>
      <c r="K179" s="223"/>
    </row>
    <row r="180" spans="1:11" ht="15.6" x14ac:dyDescent="0.3">
      <c r="A180" s="222" t="s">
        <v>4710</v>
      </c>
      <c r="B180" s="223"/>
      <c r="C180" s="223"/>
      <c r="D180" s="223"/>
      <c r="E180" s="223"/>
      <c r="F180" s="223"/>
      <c r="G180" s="223"/>
      <c r="H180" s="223"/>
      <c r="I180" s="223"/>
      <c r="J180" s="223"/>
      <c r="K180" s="223"/>
    </row>
    <row r="181" spans="1:11" x14ac:dyDescent="0.3">
      <c r="A181" s="223"/>
      <c r="B181" s="223"/>
      <c r="C181" s="223"/>
      <c r="D181" s="223"/>
      <c r="E181" s="223"/>
      <c r="F181" s="223"/>
      <c r="G181" s="223"/>
      <c r="H181" s="223"/>
      <c r="I181" s="223"/>
      <c r="J181" s="223"/>
      <c r="K181" s="223"/>
    </row>
    <row r="182" spans="1:11" x14ac:dyDescent="0.3">
      <c r="A182" s="224" t="s">
        <v>4711</v>
      </c>
      <c r="B182" s="223"/>
      <c r="C182" s="223"/>
      <c r="D182" s="223"/>
      <c r="E182" s="223"/>
      <c r="F182" s="223"/>
      <c r="G182" s="223"/>
      <c r="H182" s="223"/>
      <c r="I182" s="223"/>
      <c r="J182" s="223"/>
      <c r="K182" s="223"/>
    </row>
    <row r="183" spans="1:11" x14ac:dyDescent="0.3">
      <c r="A183" s="223" t="s">
        <v>4712</v>
      </c>
      <c r="B183" s="223"/>
      <c r="C183" s="223"/>
      <c r="D183" s="223"/>
      <c r="E183" s="223"/>
      <c r="F183" s="223"/>
      <c r="G183" s="223"/>
      <c r="H183" s="223"/>
      <c r="I183" s="223"/>
      <c r="J183" s="223"/>
      <c r="K183" s="223"/>
    </row>
    <row r="184" spans="1:11" x14ac:dyDescent="0.3">
      <c r="A184" s="223" t="s">
        <v>4713</v>
      </c>
      <c r="B184" s="223"/>
      <c r="C184" s="223"/>
      <c r="D184" s="223"/>
      <c r="E184" s="223"/>
      <c r="F184" s="223"/>
      <c r="G184" s="223"/>
      <c r="H184" s="223"/>
      <c r="I184" s="223"/>
      <c r="J184" s="223"/>
      <c r="K184" s="223"/>
    </row>
    <row r="185" spans="1:11" x14ac:dyDescent="0.3">
      <c r="A185" s="223" t="s">
        <v>4714</v>
      </c>
      <c r="B185" s="223"/>
      <c r="C185" s="223"/>
      <c r="D185" s="223"/>
      <c r="E185" s="223"/>
      <c r="F185" s="223"/>
      <c r="G185" s="223"/>
      <c r="H185" s="223"/>
      <c r="I185" s="223"/>
      <c r="J185" s="223"/>
      <c r="K185" s="223"/>
    </row>
    <row r="186" spans="1:11" x14ac:dyDescent="0.3">
      <c r="A186" s="223" t="s">
        <v>4715</v>
      </c>
      <c r="B186" s="223"/>
      <c r="C186" s="223"/>
      <c r="D186" s="223"/>
      <c r="E186" s="223"/>
      <c r="F186" s="223"/>
      <c r="G186" s="223"/>
      <c r="H186" s="223"/>
      <c r="I186" s="223"/>
      <c r="J186" s="223"/>
      <c r="K186" s="223"/>
    </row>
    <row r="187" spans="1:11" x14ac:dyDescent="0.3">
      <c r="A187" s="223" t="s">
        <v>4716</v>
      </c>
      <c r="B187" s="223"/>
      <c r="C187" s="223"/>
      <c r="D187" s="223"/>
      <c r="E187" s="223"/>
      <c r="F187" s="223"/>
      <c r="G187" s="223"/>
      <c r="H187" s="223"/>
      <c r="I187" s="223"/>
      <c r="J187" s="223"/>
      <c r="K187" s="223"/>
    </row>
    <row r="188" spans="1:11" x14ac:dyDescent="0.3">
      <c r="A188" s="223" t="s">
        <v>4717</v>
      </c>
      <c r="B188" s="223"/>
      <c r="C188" s="223"/>
      <c r="D188" s="223"/>
      <c r="E188" s="223"/>
      <c r="F188" s="223"/>
      <c r="G188" s="223"/>
      <c r="H188" s="223"/>
      <c r="I188" s="223"/>
      <c r="J188" s="223"/>
      <c r="K188" s="223"/>
    </row>
    <row r="189" spans="1:11" x14ac:dyDescent="0.3">
      <c r="A189" s="223" t="s">
        <v>4718</v>
      </c>
      <c r="B189" s="223"/>
      <c r="C189" s="223"/>
      <c r="D189" s="223"/>
      <c r="E189" s="223"/>
      <c r="F189" s="223"/>
      <c r="G189" s="223"/>
      <c r="H189" s="223"/>
      <c r="I189" s="223"/>
      <c r="J189" s="223"/>
      <c r="K189" s="223"/>
    </row>
    <row r="190" spans="1:11" x14ac:dyDescent="0.3">
      <c r="A190" s="223" t="s">
        <v>4719</v>
      </c>
      <c r="B190" s="223"/>
      <c r="C190" s="223"/>
      <c r="D190" s="223"/>
      <c r="E190" s="223"/>
      <c r="F190" s="223"/>
      <c r="G190" s="223"/>
      <c r="H190" s="223"/>
      <c r="I190" s="223"/>
      <c r="J190" s="223"/>
      <c r="K190" s="223"/>
    </row>
    <row r="191" spans="1:11" x14ac:dyDescent="0.3">
      <c r="A191" s="223" t="s">
        <v>4720</v>
      </c>
      <c r="B191" s="223"/>
      <c r="C191" s="223"/>
      <c r="D191" s="223"/>
      <c r="E191" s="223"/>
      <c r="F191" s="223"/>
      <c r="G191" s="223"/>
      <c r="H191" s="223"/>
      <c r="I191" s="223"/>
      <c r="J191" s="223"/>
      <c r="K191" s="223"/>
    </row>
    <row r="192" spans="1:11" x14ac:dyDescent="0.3">
      <c r="A192" s="223" t="s">
        <v>4721</v>
      </c>
      <c r="B192" s="223"/>
      <c r="C192" s="223"/>
      <c r="D192" s="223"/>
      <c r="E192" s="223"/>
      <c r="F192" s="223"/>
      <c r="G192" s="223"/>
      <c r="H192" s="223"/>
      <c r="I192" s="223"/>
      <c r="J192" s="223"/>
      <c r="K192" s="223"/>
    </row>
    <row r="193" spans="1:11" x14ac:dyDescent="0.3">
      <c r="A193" s="223" t="s">
        <v>4723</v>
      </c>
      <c r="B193" s="223"/>
      <c r="C193" s="223"/>
      <c r="D193" s="223"/>
      <c r="E193" s="223"/>
      <c r="F193" s="223"/>
      <c r="G193" s="223"/>
      <c r="H193" s="223"/>
      <c r="I193" s="223"/>
      <c r="J193" s="223"/>
      <c r="K193" s="223"/>
    </row>
    <row r="194" spans="1:11" x14ac:dyDescent="0.3">
      <c r="A194" s="223"/>
      <c r="B194" s="223"/>
      <c r="C194" s="223"/>
      <c r="D194" s="223"/>
      <c r="E194" s="223"/>
      <c r="F194" s="223"/>
      <c r="G194" s="223"/>
      <c r="H194" s="223"/>
      <c r="I194" s="223"/>
      <c r="J194" s="223"/>
      <c r="K194" s="223"/>
    </row>
    <row r="195" spans="1:11" ht="15.6" x14ac:dyDescent="0.3">
      <c r="A195" s="222" t="s">
        <v>4722</v>
      </c>
      <c r="B195" s="223"/>
      <c r="C195" s="223"/>
      <c r="D195" s="223"/>
      <c r="E195" s="223"/>
      <c r="F195" s="223"/>
      <c r="G195" s="223"/>
      <c r="H195" s="223"/>
      <c r="I195" s="223"/>
      <c r="J195" s="223"/>
      <c r="K195" s="223"/>
    </row>
    <row r="196" spans="1:11" x14ac:dyDescent="0.3">
      <c r="A196" s="223"/>
      <c r="B196" s="223"/>
      <c r="C196" s="223"/>
      <c r="D196" s="223"/>
      <c r="E196" s="223"/>
      <c r="F196" s="223"/>
      <c r="G196" s="223"/>
      <c r="H196" s="223"/>
      <c r="I196" s="223"/>
      <c r="J196" s="223"/>
      <c r="K196" s="223"/>
    </row>
    <row r="197" spans="1:11" x14ac:dyDescent="0.3">
      <c r="A197" s="224" t="s">
        <v>4724</v>
      </c>
      <c r="B197" s="223"/>
      <c r="C197" s="223"/>
      <c r="D197" s="223"/>
      <c r="E197" s="223"/>
      <c r="F197" s="223"/>
      <c r="G197" s="223"/>
      <c r="H197" s="223"/>
      <c r="I197" s="223"/>
      <c r="J197" s="223"/>
      <c r="K197" s="223"/>
    </row>
    <row r="198" spans="1:11" x14ac:dyDescent="0.3">
      <c r="A198" s="223" t="s">
        <v>4712</v>
      </c>
      <c r="B198" s="223"/>
      <c r="C198" s="223"/>
      <c r="D198" s="223"/>
      <c r="E198" s="223"/>
      <c r="F198" s="223"/>
      <c r="G198" s="223"/>
      <c r="H198" s="223"/>
      <c r="I198" s="223"/>
      <c r="J198" s="223"/>
      <c r="K198" s="223"/>
    </row>
    <row r="199" spans="1:11" x14ac:dyDescent="0.3">
      <c r="A199" s="223" t="s">
        <v>4725</v>
      </c>
      <c r="B199" s="223"/>
      <c r="C199" s="223"/>
      <c r="D199" s="223"/>
      <c r="E199" s="223"/>
      <c r="F199" s="223"/>
      <c r="G199" s="223"/>
      <c r="H199" s="223"/>
      <c r="I199" s="223"/>
      <c r="J199" s="223"/>
      <c r="K199" s="223"/>
    </row>
    <row r="200" spans="1:11" x14ac:dyDescent="0.3">
      <c r="A200" s="223" t="s">
        <v>4726</v>
      </c>
      <c r="B200" s="223"/>
      <c r="C200" s="223"/>
      <c r="D200" s="223"/>
      <c r="E200" s="223"/>
      <c r="F200" s="223"/>
      <c r="G200" s="223"/>
      <c r="H200" s="223"/>
      <c r="I200" s="223"/>
      <c r="J200" s="223"/>
      <c r="K200" s="223"/>
    </row>
    <row r="201" spans="1:11" x14ac:dyDescent="0.3">
      <c r="A201" s="223" t="s">
        <v>4727</v>
      </c>
      <c r="B201" s="223"/>
      <c r="C201" s="223"/>
      <c r="D201" s="223"/>
      <c r="E201" s="223"/>
      <c r="F201" s="223"/>
      <c r="G201" s="223"/>
      <c r="H201" s="223"/>
      <c r="I201" s="223"/>
      <c r="J201" s="223"/>
      <c r="K201" s="223"/>
    </row>
    <row r="202" spans="1:11" x14ac:dyDescent="0.3">
      <c r="A202" s="223" t="s">
        <v>4728</v>
      </c>
      <c r="B202" s="223"/>
      <c r="C202" s="223"/>
      <c r="D202" s="223"/>
      <c r="E202" s="223"/>
      <c r="F202" s="223"/>
      <c r="G202" s="223"/>
      <c r="H202" s="223"/>
      <c r="I202" s="223"/>
      <c r="J202" s="223"/>
      <c r="K202" s="223"/>
    </row>
    <row r="203" spans="1:11" x14ac:dyDescent="0.3">
      <c r="A203" s="223" t="s">
        <v>4729</v>
      </c>
      <c r="B203" s="223"/>
      <c r="C203" s="223"/>
      <c r="D203" s="223"/>
      <c r="E203" s="223"/>
      <c r="F203" s="223"/>
      <c r="G203" s="223"/>
      <c r="H203" s="223"/>
      <c r="I203" s="223"/>
      <c r="J203" s="223"/>
      <c r="K203" s="223"/>
    </row>
    <row r="204" spans="1:11" x14ac:dyDescent="0.3">
      <c r="A204" s="223"/>
      <c r="B204" s="223"/>
      <c r="C204" s="223"/>
      <c r="D204" s="223"/>
      <c r="E204" s="223"/>
      <c r="F204" s="223"/>
      <c r="G204" s="223"/>
      <c r="H204" s="223"/>
      <c r="I204" s="223"/>
      <c r="J204" s="223"/>
      <c r="K204" s="223"/>
    </row>
    <row r="205" spans="1:11" x14ac:dyDescent="0.3">
      <c r="A205" s="223"/>
      <c r="B205" s="223"/>
      <c r="C205" s="223"/>
      <c r="D205" s="223"/>
      <c r="E205" s="223"/>
      <c r="F205" s="223"/>
      <c r="G205" s="223"/>
      <c r="H205" s="223"/>
      <c r="I205" s="223"/>
      <c r="J205" s="223"/>
      <c r="K205" s="223"/>
    </row>
    <row r="206" spans="1:11" ht="15.6" x14ac:dyDescent="0.3">
      <c r="A206" s="238" t="s">
        <v>4730</v>
      </c>
      <c r="B206" s="223"/>
      <c r="C206" s="223"/>
      <c r="D206" s="223"/>
      <c r="E206" s="223"/>
      <c r="F206" s="223"/>
      <c r="G206" s="223"/>
      <c r="H206" s="223"/>
      <c r="I206" s="223"/>
      <c r="J206" s="223"/>
      <c r="K206" s="223"/>
    </row>
    <row r="207" spans="1:11" x14ac:dyDescent="0.3">
      <c r="A207" s="223"/>
      <c r="B207" s="223"/>
      <c r="C207" s="223"/>
      <c r="D207" s="223"/>
      <c r="E207" s="223"/>
      <c r="F207" s="223"/>
      <c r="G207" s="223"/>
      <c r="H207" s="223"/>
      <c r="I207" s="223"/>
      <c r="J207" s="223"/>
      <c r="K207" s="223"/>
    </row>
    <row r="208" spans="1:11" x14ac:dyDescent="0.3">
      <c r="A208" s="223" t="s">
        <v>4731</v>
      </c>
      <c r="B208" s="223"/>
      <c r="C208" s="223"/>
      <c r="D208" s="223"/>
      <c r="E208" s="223"/>
      <c r="F208" s="223"/>
      <c r="G208" s="223"/>
      <c r="H208" s="223"/>
      <c r="I208" s="223"/>
      <c r="J208" s="223"/>
      <c r="K208" s="223"/>
    </row>
    <row r="209" spans="1:11" x14ac:dyDescent="0.3">
      <c r="A209" s="223" t="s">
        <v>4732</v>
      </c>
      <c r="B209" s="223"/>
      <c r="C209" s="223"/>
      <c r="D209" s="223"/>
      <c r="E209" s="223"/>
      <c r="F209" s="223"/>
      <c r="G209" s="223"/>
      <c r="H209" s="223"/>
      <c r="I209" s="223"/>
      <c r="J209" s="223"/>
      <c r="K209" s="223"/>
    </row>
    <row r="210" spans="1:11" x14ac:dyDescent="0.3">
      <c r="A210" s="223"/>
      <c r="B210" s="223"/>
      <c r="C210" s="223"/>
      <c r="D210" s="223"/>
      <c r="E210" s="223"/>
      <c r="F210" s="223"/>
      <c r="G210" s="223"/>
      <c r="H210" s="223"/>
      <c r="I210" s="223"/>
      <c r="J210" s="223"/>
      <c r="K210" s="223"/>
    </row>
    <row r="211" spans="1:11" x14ac:dyDescent="0.3">
      <c r="A211" s="223" t="s">
        <v>4733</v>
      </c>
      <c r="B211" s="223"/>
      <c r="C211" s="223"/>
      <c r="D211" s="223"/>
      <c r="E211" s="223"/>
      <c r="F211" s="223"/>
      <c r="G211" s="223"/>
      <c r="H211" s="223"/>
      <c r="I211" s="223"/>
      <c r="J211" s="223"/>
      <c r="K211" s="223"/>
    </row>
    <row r="212" spans="1:11" x14ac:dyDescent="0.3">
      <c r="A212" s="223" t="s">
        <v>4734</v>
      </c>
      <c r="B212" s="223"/>
      <c r="C212" s="223"/>
      <c r="D212" s="223"/>
      <c r="E212" s="223"/>
      <c r="F212" s="223"/>
      <c r="G212" s="223"/>
      <c r="H212" s="223"/>
      <c r="I212" s="223"/>
      <c r="J212" s="223"/>
      <c r="K212" s="223"/>
    </row>
    <row r="213" spans="1:11" x14ac:dyDescent="0.3">
      <c r="A213" s="223"/>
      <c r="B213" s="223"/>
      <c r="C213" s="223"/>
      <c r="D213" s="223"/>
      <c r="E213" s="223"/>
      <c r="F213" s="223"/>
      <c r="G213" s="223"/>
      <c r="H213" s="223"/>
      <c r="I213" s="223"/>
      <c r="J213" s="223"/>
      <c r="K213" s="223"/>
    </row>
    <row r="214" spans="1:11" x14ac:dyDescent="0.3">
      <c r="A214" s="223" t="s">
        <v>4735</v>
      </c>
      <c r="B214" s="223"/>
      <c r="C214" s="223"/>
      <c r="D214" s="223"/>
      <c r="E214" s="223"/>
      <c r="F214" s="223"/>
      <c r="G214" s="223"/>
      <c r="H214" s="223"/>
      <c r="I214" s="223"/>
      <c r="J214" s="223"/>
      <c r="K214" s="223"/>
    </row>
    <row r="215" spans="1:11" x14ac:dyDescent="0.3">
      <c r="A215" s="223" t="s">
        <v>4736</v>
      </c>
      <c r="B215" s="223"/>
      <c r="C215" s="223"/>
      <c r="D215" s="223"/>
      <c r="E215" s="223"/>
      <c r="F215" s="223"/>
      <c r="G215" s="223"/>
      <c r="H215" s="223"/>
      <c r="I215" s="223"/>
      <c r="J215" s="223"/>
      <c r="K215" s="223"/>
    </row>
    <row r="216" spans="1:11" x14ac:dyDescent="0.3">
      <c r="A216" s="223"/>
      <c r="B216" s="223"/>
      <c r="C216" s="223"/>
      <c r="D216" s="223"/>
      <c r="E216" s="223"/>
      <c r="F216" s="223"/>
      <c r="G216" s="223"/>
      <c r="H216" s="223"/>
      <c r="I216" s="223"/>
      <c r="J216" s="223"/>
      <c r="K216" s="223"/>
    </row>
    <row r="217" spans="1:11" x14ac:dyDescent="0.3">
      <c r="A217" s="223"/>
      <c r="B217" s="223"/>
      <c r="C217" s="223"/>
      <c r="D217" s="223"/>
      <c r="E217" s="223"/>
      <c r="F217" s="223"/>
      <c r="G217" s="223"/>
      <c r="H217" s="223"/>
      <c r="I217" s="223"/>
      <c r="J217" s="223"/>
      <c r="K217" s="223"/>
    </row>
    <row r="218" spans="1:11" ht="15.6" x14ac:dyDescent="0.3">
      <c r="A218" s="222" t="s">
        <v>4451</v>
      </c>
      <c r="B218" s="223"/>
      <c r="C218" s="223"/>
      <c r="D218" s="223"/>
      <c r="E218" s="223"/>
      <c r="F218" s="223"/>
      <c r="G218" s="223"/>
      <c r="H218" s="223"/>
      <c r="I218" s="223"/>
      <c r="J218" s="223"/>
      <c r="K218" s="223"/>
    </row>
    <row r="219" spans="1:11" x14ac:dyDescent="0.3">
      <c r="A219" s="223"/>
      <c r="B219" s="223"/>
      <c r="C219" s="223"/>
      <c r="D219" s="223"/>
      <c r="E219" s="223"/>
      <c r="F219" s="223"/>
      <c r="G219" s="223"/>
      <c r="H219" s="223"/>
      <c r="I219" s="223"/>
      <c r="J219" s="223"/>
      <c r="K219" s="223"/>
    </row>
    <row r="220" spans="1:11" x14ac:dyDescent="0.3">
      <c r="A220" s="223" t="s">
        <v>4737</v>
      </c>
      <c r="B220" s="223"/>
      <c r="C220" s="223"/>
      <c r="D220" s="223"/>
      <c r="E220" s="223"/>
      <c r="F220" s="223"/>
      <c r="G220" s="223"/>
      <c r="H220" s="223"/>
      <c r="I220" s="223"/>
      <c r="J220" s="223"/>
      <c r="K220" s="223"/>
    </row>
    <row r="221" spans="1:11" x14ac:dyDescent="0.3">
      <c r="A221" s="223" t="s">
        <v>4738</v>
      </c>
      <c r="B221" s="223"/>
      <c r="C221" s="223"/>
      <c r="D221" s="223"/>
      <c r="E221" s="223"/>
      <c r="F221" s="223"/>
      <c r="G221" s="223"/>
      <c r="H221" s="223"/>
      <c r="I221" s="223"/>
      <c r="J221" s="223"/>
      <c r="K221" s="223"/>
    </row>
    <row r="222" spans="1:11" x14ac:dyDescent="0.3">
      <c r="A222" s="223" t="s">
        <v>4739</v>
      </c>
      <c r="B222" s="223"/>
      <c r="C222" s="223"/>
      <c r="D222" s="223"/>
      <c r="E222" s="223"/>
      <c r="F222" s="223"/>
      <c r="G222" s="223"/>
      <c r="H222" s="223"/>
      <c r="I222" s="223"/>
      <c r="J222" s="223"/>
      <c r="K222" s="223"/>
    </row>
    <row r="223" spans="1:11" x14ac:dyDescent="0.3">
      <c r="A223" s="223" t="s">
        <v>4740</v>
      </c>
      <c r="B223" s="223"/>
      <c r="C223" s="223"/>
      <c r="D223" s="223"/>
      <c r="E223" s="223"/>
      <c r="F223" s="223"/>
      <c r="G223" s="223"/>
      <c r="H223" s="223"/>
      <c r="I223" s="223"/>
      <c r="J223" s="223"/>
      <c r="K223" s="223"/>
    </row>
    <row r="224" spans="1:11" x14ac:dyDescent="0.3">
      <c r="A224" s="223" t="s">
        <v>4741</v>
      </c>
      <c r="B224" s="223"/>
      <c r="C224" s="223"/>
      <c r="D224" s="223"/>
      <c r="E224" s="223"/>
      <c r="F224" s="223"/>
      <c r="G224" s="223"/>
      <c r="H224" s="223"/>
      <c r="I224" s="223"/>
      <c r="J224" s="223"/>
      <c r="K224" s="223"/>
    </row>
    <row r="225" spans="1:11" x14ac:dyDescent="0.3">
      <c r="A225" s="223"/>
      <c r="B225" s="223"/>
      <c r="C225" s="223"/>
      <c r="D225" s="223"/>
      <c r="E225" s="223"/>
      <c r="F225" s="223"/>
      <c r="G225" s="223"/>
      <c r="H225" s="223"/>
      <c r="I225" s="223"/>
      <c r="J225" s="223"/>
      <c r="K225" s="223"/>
    </row>
    <row r="226" spans="1:11" x14ac:dyDescent="0.3">
      <c r="A226" s="223" t="s">
        <v>4742</v>
      </c>
      <c r="B226" s="223"/>
      <c r="C226" s="223"/>
      <c r="D226" s="223"/>
      <c r="E226" s="223"/>
      <c r="F226" s="223"/>
      <c r="G226" s="223"/>
      <c r="H226" s="223"/>
      <c r="I226" s="223"/>
      <c r="J226" s="223"/>
      <c r="K226" s="223"/>
    </row>
    <row r="227" spans="1:11" x14ac:dyDescent="0.3">
      <c r="A227" s="223" t="s">
        <v>4743</v>
      </c>
      <c r="B227" s="223"/>
      <c r="C227" s="223"/>
      <c r="D227" s="223"/>
      <c r="E227" s="223"/>
      <c r="F227" s="223"/>
      <c r="G227" s="223"/>
      <c r="H227" s="223"/>
      <c r="I227" s="223"/>
      <c r="J227" s="223"/>
      <c r="K227" s="223"/>
    </row>
  </sheetData>
  <mergeCells count="12">
    <mergeCell ref="A150:K150"/>
    <mergeCell ref="A166:K166"/>
    <mergeCell ref="A147:G147"/>
    <mergeCell ref="A143:G143"/>
    <mergeCell ref="A66:AX66"/>
    <mergeCell ref="A83:G83"/>
    <mergeCell ref="A140:D140"/>
    <mergeCell ref="A39:A40"/>
    <mergeCell ref="A41:A46"/>
    <mergeCell ref="A47:A48"/>
    <mergeCell ref="A50:C50"/>
    <mergeCell ref="A33:A38"/>
  </mergeCells>
  <conditionalFormatting sqref="AW68:AW79">
    <cfRule type="cellIs" dxfId="32" priority="26" operator="greaterThanOrEqual">
      <formula>4</formula>
    </cfRule>
    <cfRule type="cellIs" dxfId="31" priority="27" operator="between">
      <formula>3.5</formula>
      <formula>4</formula>
    </cfRule>
    <cfRule type="cellIs" dxfId="30" priority="28" operator="between">
      <formula>2.5</formula>
      <formula>3.5</formula>
    </cfRule>
    <cfRule type="cellIs" dxfId="29" priority="29" operator="between">
      <formula>1.5</formula>
      <formula>2.5</formula>
    </cfRule>
    <cfRule type="cellIs" dxfId="28" priority="30" operator="lessThan">
      <formula>1.5</formula>
    </cfRule>
  </conditionalFormatting>
  <conditionalFormatting sqref="AX68:AX79">
    <cfRule type="containsText" dxfId="27" priority="21" operator="containsText" text="LOW">
      <formula>NOT(ISERROR(SEARCH("LOW",AX68)))</formula>
    </cfRule>
    <cfRule type="containsText" dxfId="26" priority="22" operator="containsText" text="MEDIUM">
      <formula>NOT(ISERROR(SEARCH("MEDIUM",AX68)))</formula>
    </cfRule>
    <cfRule type="containsText" dxfId="25" priority="23" operator="containsText" text="HIGH">
      <formula>NOT(ISERROR(SEARCH("HIGH",AX68)))</formula>
    </cfRule>
    <cfRule type="containsText" dxfId="24" priority="24" operator="containsText" text="CRITICAL">
      <formula>NOT(ISERROR(SEARCH("CRITICAL",AX68)))</formula>
    </cfRule>
    <cfRule type="containsText" dxfId="23" priority="25" operator="containsText" text="SEVERE">
      <formula>NOT(ISERROR(SEARCH("SEVERE",AX68)))</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8801-86FD-4AFD-8205-49D7E6C732DC}">
  <sheetPr>
    <tabColor theme="5"/>
  </sheetPr>
  <dimension ref="A1:T118"/>
  <sheetViews>
    <sheetView workbookViewId="0">
      <pane ySplit="4" topLeftCell="A31" activePane="bottomLeft" state="frozen"/>
      <selection activeCell="G26" sqref="G26"/>
      <selection pane="bottomLeft" activeCell="H16" sqref="H16"/>
    </sheetView>
  </sheetViews>
  <sheetFormatPr defaultRowHeight="14.4" x14ac:dyDescent="0.3"/>
  <cols>
    <col min="1" max="1" width="13" customWidth="1"/>
    <col min="2" max="2" width="14.77734375" customWidth="1"/>
    <col min="3" max="3" width="37" customWidth="1"/>
    <col min="4" max="4" width="16.6640625" customWidth="1"/>
    <col min="5" max="5" width="13" customWidth="1"/>
    <col min="6" max="6" width="18.5546875" customWidth="1"/>
    <col min="7" max="7" width="59.21875" customWidth="1"/>
    <col min="8" max="8" width="14.77734375" customWidth="1"/>
    <col min="9" max="9" width="11.109375" customWidth="1"/>
    <col min="10" max="10" width="14.77734375" customWidth="1"/>
    <col min="11" max="11" width="20.33203125" customWidth="1"/>
    <col min="12" max="12" width="51.88671875" customWidth="1"/>
    <col min="13" max="13" width="20.33203125" customWidth="1"/>
    <col min="14" max="14" width="16.6640625" customWidth="1"/>
    <col min="15" max="15" width="37" customWidth="1"/>
    <col min="16" max="16" width="18.5546875" customWidth="1"/>
    <col min="17" max="17" width="17.33203125" customWidth="1"/>
    <col min="18" max="18" width="18.5546875" customWidth="1"/>
    <col min="19" max="19" width="29.6640625" customWidth="1"/>
  </cols>
  <sheetData>
    <row r="1" spans="1:20" ht="21" x14ac:dyDescent="0.4">
      <c r="A1" s="390" t="s">
        <v>2322</v>
      </c>
      <c r="B1" s="368"/>
      <c r="C1" s="368"/>
      <c r="D1" s="368"/>
      <c r="E1" s="368"/>
      <c r="F1" s="368"/>
      <c r="G1" s="368"/>
      <c r="H1" s="368"/>
      <c r="I1" s="368"/>
      <c r="J1" s="368"/>
      <c r="K1" s="368"/>
      <c r="L1" s="368"/>
      <c r="M1" s="368"/>
      <c r="N1" s="368"/>
      <c r="O1" s="368"/>
      <c r="P1" s="368"/>
    </row>
    <row r="2" spans="1:20" x14ac:dyDescent="0.3">
      <c r="A2" s="391" t="s">
        <v>2323</v>
      </c>
      <c r="B2" s="391"/>
      <c r="C2" s="391"/>
      <c r="D2" s="391"/>
      <c r="E2" s="391"/>
      <c r="F2" s="391"/>
      <c r="G2" s="391"/>
      <c r="H2" s="391"/>
      <c r="I2" s="391"/>
      <c r="J2" s="391"/>
      <c r="K2" s="391"/>
      <c r="L2" s="391"/>
      <c r="M2" s="391"/>
      <c r="N2" s="391"/>
      <c r="O2" s="391"/>
      <c r="P2" s="391"/>
    </row>
    <row r="3" spans="1:20" x14ac:dyDescent="0.3">
      <c r="A3" s="2" t="s">
        <v>4173</v>
      </c>
      <c r="B3" s="1" t="s">
        <v>4125</v>
      </c>
      <c r="C3" s="220" t="s">
        <v>4174</v>
      </c>
      <c r="E3" s="1" t="s">
        <v>2801</v>
      </c>
      <c r="F3" s="220" t="s">
        <v>4096</v>
      </c>
      <c r="G3" s="1" t="s">
        <v>4198</v>
      </c>
      <c r="H3" s="220" t="s">
        <v>4096</v>
      </c>
      <c r="I3" s="1" t="s">
        <v>4205</v>
      </c>
      <c r="J3" s="220" t="s">
        <v>4096</v>
      </c>
      <c r="K3" s="1" t="s">
        <v>4201</v>
      </c>
      <c r="L3" t="str" cm="1">
        <f t="array" aca="1" ref="L3" ca="1">SUMPRODUCT((A5:A85&lt;&gt;"")*IF(C3="All Time",1,IF(C3="Today",D5:D85=TODAY(),IF(C3="This Week",(D5:D85&gt;=TODAY())*(D5:D85&lt;=TODAY()+7),IF(C3="This Month",(D5:D85&gt;=TODAY())*(D5:D85&lt;=TODAY()+30),(D5:D85&gt;=DATE(YEAR(TODAY()),1,1))*(D5:D85&lt;=DATE(YEAR(TODAY()),12,31))))))*IF(F3="All",1,IF(F3="Critical (20+)",J5:J85&gt;=20,IF(F3="High (15-19)",(J5:J85&gt;=15)*(J5:J85&lt;20),IF(F3="Medium (10-14)",(J5:J85&gt;=10)*(J5:J85&lt;15),J5:J85&lt;10))))*IF(H3="All",1,N5:N85=H3)*IF(J3="All",1,F5:F85=J3))&amp;" of "&amp;COUNTA(A5:A85)&amp;" risks"</f>
        <v>65 of 65 risks</v>
      </c>
      <c r="N3" s="221" t="s">
        <v>4206</v>
      </c>
    </row>
    <row r="4" spans="1:20" ht="25.05" customHeight="1" x14ac:dyDescent="0.3">
      <c r="A4" s="2" t="s">
        <v>2324</v>
      </c>
      <c r="B4" s="2" t="s">
        <v>103</v>
      </c>
      <c r="C4" s="2" t="s">
        <v>104</v>
      </c>
      <c r="D4" s="2" t="s">
        <v>2325</v>
      </c>
      <c r="E4" s="2" t="s">
        <v>2326</v>
      </c>
      <c r="F4" s="2" t="s">
        <v>2327</v>
      </c>
      <c r="G4" s="2" t="s">
        <v>2328</v>
      </c>
      <c r="H4" s="2" t="s">
        <v>2329</v>
      </c>
      <c r="I4" s="2" t="s">
        <v>106</v>
      </c>
      <c r="J4" s="2" t="s">
        <v>2330</v>
      </c>
      <c r="K4" s="2" t="s">
        <v>2331</v>
      </c>
      <c r="L4" s="2" t="s">
        <v>2332</v>
      </c>
      <c r="M4" s="2" t="s">
        <v>2333</v>
      </c>
      <c r="N4" s="2" t="s">
        <v>112</v>
      </c>
      <c r="O4" s="2" t="s">
        <v>114</v>
      </c>
      <c r="P4" s="2" t="s">
        <v>2695</v>
      </c>
      <c r="Q4" s="392" t="s">
        <v>2504</v>
      </c>
      <c r="R4" s="392"/>
      <c r="S4" s="392"/>
      <c r="T4" s="392"/>
    </row>
    <row r="5" spans="1:20" ht="28.8" x14ac:dyDescent="0.3">
      <c r="A5" t="s">
        <v>2334</v>
      </c>
      <c r="B5" t="s">
        <v>115</v>
      </c>
      <c r="C5" t="s">
        <v>116</v>
      </c>
      <c r="D5" s="3">
        <v>46203</v>
      </c>
      <c r="E5">
        <f t="shared" ref="E5:E35" si="0">D5-46202</f>
        <v>1</v>
      </c>
      <c r="F5" t="s">
        <v>2335</v>
      </c>
      <c r="G5" s="62" t="s">
        <v>2336</v>
      </c>
      <c r="H5">
        <v>4</v>
      </c>
      <c r="I5">
        <v>3</v>
      </c>
      <c r="J5">
        <f t="shared" ref="J5:J35" si="1">H5*I5</f>
        <v>12</v>
      </c>
      <c r="K5" t="s">
        <v>2337</v>
      </c>
      <c r="L5" s="62" t="s">
        <v>2338</v>
      </c>
      <c r="M5" t="s">
        <v>1057</v>
      </c>
      <c r="N5" t="s">
        <v>2339</v>
      </c>
      <c r="O5" s="62" t="s">
        <v>2340</v>
      </c>
      <c r="P5" t="s">
        <v>1109</v>
      </c>
    </row>
    <row r="6" spans="1:20" x14ac:dyDescent="0.3">
      <c r="A6" t="s">
        <v>2341</v>
      </c>
      <c r="B6" t="s">
        <v>115</v>
      </c>
      <c r="C6" t="s">
        <v>116</v>
      </c>
      <c r="D6" s="3">
        <v>46203</v>
      </c>
      <c r="E6">
        <f t="shared" si="0"/>
        <v>1</v>
      </c>
      <c r="F6" t="s">
        <v>2342</v>
      </c>
      <c r="G6" s="62" t="s">
        <v>2343</v>
      </c>
      <c r="H6">
        <v>5</v>
      </c>
      <c r="I6">
        <v>2</v>
      </c>
      <c r="J6">
        <f t="shared" si="1"/>
        <v>10</v>
      </c>
      <c r="K6" t="s">
        <v>2344</v>
      </c>
      <c r="L6" s="62" t="s">
        <v>2345</v>
      </c>
      <c r="M6" t="s">
        <v>1057</v>
      </c>
      <c r="N6" t="s">
        <v>2346</v>
      </c>
      <c r="O6" s="62" t="s">
        <v>2347</v>
      </c>
      <c r="P6" t="s">
        <v>1109</v>
      </c>
      <c r="Q6" s="1" t="s">
        <v>2505</v>
      </c>
    </row>
    <row r="7" spans="1:20" x14ac:dyDescent="0.3">
      <c r="A7" t="s">
        <v>2348</v>
      </c>
      <c r="B7" t="s">
        <v>132</v>
      </c>
      <c r="C7" t="s">
        <v>133</v>
      </c>
      <c r="D7" s="3">
        <v>46205</v>
      </c>
      <c r="E7">
        <f t="shared" si="0"/>
        <v>3</v>
      </c>
      <c r="F7" t="s">
        <v>2349</v>
      </c>
      <c r="G7" s="62" t="s">
        <v>2350</v>
      </c>
      <c r="H7">
        <v>2</v>
      </c>
      <c r="I7">
        <v>2</v>
      </c>
      <c r="J7">
        <f t="shared" si="1"/>
        <v>4</v>
      </c>
      <c r="K7" t="s">
        <v>2351</v>
      </c>
      <c r="L7" s="62" t="s">
        <v>2352</v>
      </c>
      <c r="M7" t="s">
        <v>622</v>
      </c>
      <c r="N7" t="s">
        <v>2353</v>
      </c>
      <c r="O7" s="62" t="s">
        <v>2354</v>
      </c>
      <c r="P7" t="s">
        <v>1056</v>
      </c>
      <c r="Q7">
        <v>1</v>
      </c>
      <c r="R7" t="s">
        <v>2506</v>
      </c>
      <c r="S7" t="s">
        <v>2507</v>
      </c>
    </row>
    <row r="8" spans="1:20" x14ac:dyDescent="0.3">
      <c r="A8" t="s">
        <v>2355</v>
      </c>
      <c r="B8" t="s">
        <v>132</v>
      </c>
      <c r="C8" t="s">
        <v>133</v>
      </c>
      <c r="D8" s="3">
        <v>46205</v>
      </c>
      <c r="E8">
        <f t="shared" si="0"/>
        <v>3</v>
      </c>
      <c r="F8" t="s">
        <v>2356</v>
      </c>
      <c r="G8" s="62" t="s">
        <v>2357</v>
      </c>
      <c r="H8">
        <v>3</v>
      </c>
      <c r="I8">
        <v>2</v>
      </c>
      <c r="J8">
        <f t="shared" si="1"/>
        <v>6</v>
      </c>
      <c r="K8" t="s">
        <v>2358</v>
      </c>
      <c r="L8" s="62" t="s">
        <v>2359</v>
      </c>
      <c r="M8" t="s">
        <v>2360</v>
      </c>
      <c r="N8" t="s">
        <v>2339</v>
      </c>
      <c r="O8" s="62" t="s">
        <v>2361</v>
      </c>
      <c r="P8" t="s">
        <v>1148</v>
      </c>
      <c r="Q8">
        <v>2</v>
      </c>
      <c r="R8" t="s">
        <v>2508</v>
      </c>
      <c r="S8" t="s">
        <v>2509</v>
      </c>
    </row>
    <row r="9" spans="1:20" x14ac:dyDescent="0.3">
      <c r="A9" t="s">
        <v>2362</v>
      </c>
      <c r="B9" t="s">
        <v>125</v>
      </c>
      <c r="C9" t="s">
        <v>126</v>
      </c>
      <c r="D9" s="3">
        <v>46207</v>
      </c>
      <c r="E9">
        <f t="shared" si="0"/>
        <v>5</v>
      </c>
      <c r="F9" t="s">
        <v>2363</v>
      </c>
      <c r="G9" s="62" t="s">
        <v>2364</v>
      </c>
      <c r="H9">
        <v>4</v>
      </c>
      <c r="I9">
        <v>4</v>
      </c>
      <c r="J9">
        <f t="shared" si="1"/>
        <v>16</v>
      </c>
      <c r="K9" t="s">
        <v>514</v>
      </c>
      <c r="L9" s="62" t="s">
        <v>2365</v>
      </c>
      <c r="M9" t="s">
        <v>2366</v>
      </c>
      <c r="N9" t="s">
        <v>2306</v>
      </c>
      <c r="O9" s="62" t="s">
        <v>2367</v>
      </c>
      <c r="P9" t="s">
        <v>1109</v>
      </c>
      <c r="Q9">
        <v>3</v>
      </c>
      <c r="R9" t="s">
        <v>2510</v>
      </c>
      <c r="S9" t="s">
        <v>2511</v>
      </c>
    </row>
    <row r="10" spans="1:20" x14ac:dyDescent="0.3">
      <c r="A10" t="s">
        <v>2368</v>
      </c>
      <c r="B10" t="s">
        <v>125</v>
      </c>
      <c r="C10" t="s">
        <v>126</v>
      </c>
      <c r="D10" s="3">
        <v>46207</v>
      </c>
      <c r="E10">
        <f t="shared" si="0"/>
        <v>5</v>
      </c>
      <c r="F10" t="s">
        <v>2337</v>
      </c>
      <c r="G10" s="62" t="s">
        <v>2369</v>
      </c>
      <c r="H10">
        <v>3</v>
      </c>
      <c r="I10">
        <v>4</v>
      </c>
      <c r="J10">
        <f t="shared" si="1"/>
        <v>12</v>
      </c>
      <c r="K10" t="s">
        <v>2370</v>
      </c>
      <c r="L10" s="62" t="s">
        <v>2371</v>
      </c>
      <c r="M10" t="s">
        <v>982</v>
      </c>
      <c r="N10" t="s">
        <v>2346</v>
      </c>
      <c r="O10" s="62" t="s">
        <v>2372</v>
      </c>
      <c r="P10" t="s">
        <v>1109</v>
      </c>
      <c r="Q10">
        <v>4</v>
      </c>
      <c r="R10" t="s">
        <v>2512</v>
      </c>
      <c r="S10" t="s">
        <v>2513</v>
      </c>
    </row>
    <row r="11" spans="1:20" x14ac:dyDescent="0.3">
      <c r="A11" t="s">
        <v>2373</v>
      </c>
      <c r="B11" t="s">
        <v>125</v>
      </c>
      <c r="C11" t="s">
        <v>126</v>
      </c>
      <c r="D11" s="3">
        <v>46207</v>
      </c>
      <c r="E11">
        <f t="shared" si="0"/>
        <v>5</v>
      </c>
      <c r="F11" t="s">
        <v>2335</v>
      </c>
      <c r="G11" s="62" t="s">
        <v>2374</v>
      </c>
      <c r="H11">
        <v>3</v>
      </c>
      <c r="I11">
        <v>3</v>
      </c>
      <c r="J11">
        <f t="shared" si="1"/>
        <v>9</v>
      </c>
      <c r="K11" t="s">
        <v>2375</v>
      </c>
      <c r="L11" s="62" t="s">
        <v>2376</v>
      </c>
      <c r="M11" t="s">
        <v>1211</v>
      </c>
      <c r="N11" t="s">
        <v>2353</v>
      </c>
      <c r="O11" s="62" t="s">
        <v>2377</v>
      </c>
      <c r="P11" t="s">
        <v>1109</v>
      </c>
      <c r="Q11">
        <v>5</v>
      </c>
      <c r="R11" t="s">
        <v>2514</v>
      </c>
      <c r="S11" t="s">
        <v>2515</v>
      </c>
    </row>
    <row r="12" spans="1:20" x14ac:dyDescent="0.3">
      <c r="A12" t="s">
        <v>2378</v>
      </c>
      <c r="B12" t="s">
        <v>150</v>
      </c>
      <c r="C12" t="s">
        <v>151</v>
      </c>
      <c r="D12" s="3">
        <v>46207</v>
      </c>
      <c r="E12">
        <f t="shared" si="0"/>
        <v>5</v>
      </c>
      <c r="F12" t="s">
        <v>2379</v>
      </c>
      <c r="G12" s="62" t="s">
        <v>2380</v>
      </c>
      <c r="H12">
        <v>3</v>
      </c>
      <c r="I12">
        <v>5</v>
      </c>
      <c r="J12">
        <f t="shared" si="1"/>
        <v>15</v>
      </c>
      <c r="K12" t="s">
        <v>2381</v>
      </c>
      <c r="L12" s="62" t="s">
        <v>2382</v>
      </c>
      <c r="M12" t="s">
        <v>2383</v>
      </c>
      <c r="N12" t="s">
        <v>2306</v>
      </c>
      <c r="O12" s="62" t="s">
        <v>2384</v>
      </c>
      <c r="P12" t="s">
        <v>1109</v>
      </c>
    </row>
    <row r="13" spans="1:20" x14ac:dyDescent="0.3">
      <c r="A13" t="s">
        <v>2385</v>
      </c>
      <c r="B13" t="s">
        <v>150</v>
      </c>
      <c r="C13" t="s">
        <v>151</v>
      </c>
      <c r="D13" s="3">
        <v>46207</v>
      </c>
      <c r="E13">
        <f t="shared" si="0"/>
        <v>5</v>
      </c>
      <c r="F13" t="s">
        <v>2349</v>
      </c>
      <c r="G13" s="62" t="s">
        <v>2386</v>
      </c>
      <c r="H13">
        <v>3</v>
      </c>
      <c r="I13">
        <v>3</v>
      </c>
      <c r="J13">
        <f t="shared" si="1"/>
        <v>9</v>
      </c>
      <c r="K13" t="s">
        <v>2387</v>
      </c>
      <c r="L13" s="62" t="s">
        <v>2388</v>
      </c>
      <c r="M13" t="s">
        <v>622</v>
      </c>
      <c r="N13" t="s">
        <v>2346</v>
      </c>
      <c r="O13" s="62" t="s">
        <v>2389</v>
      </c>
      <c r="P13" t="s">
        <v>1056</v>
      </c>
      <c r="Q13" s="1" t="s">
        <v>2516</v>
      </c>
    </row>
    <row r="14" spans="1:20" x14ac:dyDescent="0.3">
      <c r="A14" t="s">
        <v>2390</v>
      </c>
      <c r="B14" t="s">
        <v>169</v>
      </c>
      <c r="C14" t="s">
        <v>170</v>
      </c>
      <c r="D14" s="3">
        <v>46209</v>
      </c>
      <c r="E14">
        <f t="shared" si="0"/>
        <v>7</v>
      </c>
      <c r="F14" t="s">
        <v>2391</v>
      </c>
      <c r="G14" s="62" t="s">
        <v>2392</v>
      </c>
      <c r="H14">
        <v>4</v>
      </c>
      <c r="I14">
        <v>2</v>
      </c>
      <c r="J14">
        <f t="shared" si="1"/>
        <v>8</v>
      </c>
      <c r="K14" t="s">
        <v>2391</v>
      </c>
      <c r="L14" s="62" t="s">
        <v>2393</v>
      </c>
      <c r="M14" t="s">
        <v>2394</v>
      </c>
      <c r="N14" t="s">
        <v>2346</v>
      </c>
      <c r="O14" s="62" t="s">
        <v>2395</v>
      </c>
      <c r="P14" t="s">
        <v>1109</v>
      </c>
      <c r="Q14">
        <v>1</v>
      </c>
      <c r="R14" t="s">
        <v>2517</v>
      </c>
      <c r="S14" t="s">
        <v>2518</v>
      </c>
    </row>
    <row r="15" spans="1:20" x14ac:dyDescent="0.3">
      <c r="A15" t="s">
        <v>2396</v>
      </c>
      <c r="B15" t="s">
        <v>169</v>
      </c>
      <c r="C15" t="s">
        <v>170</v>
      </c>
      <c r="D15" s="3">
        <v>46209</v>
      </c>
      <c r="E15">
        <f t="shared" si="0"/>
        <v>7</v>
      </c>
      <c r="F15" t="s">
        <v>487</v>
      </c>
      <c r="G15" s="62" t="s">
        <v>2397</v>
      </c>
      <c r="H15">
        <v>2</v>
      </c>
      <c r="I15">
        <v>3</v>
      </c>
      <c r="J15">
        <f t="shared" si="1"/>
        <v>6</v>
      </c>
      <c r="K15" t="s">
        <v>2342</v>
      </c>
      <c r="L15" s="62" t="s">
        <v>2398</v>
      </c>
      <c r="M15" t="s">
        <v>2399</v>
      </c>
      <c r="N15" t="s">
        <v>2339</v>
      </c>
      <c r="O15" s="62" t="s">
        <v>2400</v>
      </c>
      <c r="P15" t="s">
        <v>1109</v>
      </c>
      <c r="Q15">
        <v>2</v>
      </c>
      <c r="R15" t="s">
        <v>2519</v>
      </c>
      <c r="S15" t="s">
        <v>2520</v>
      </c>
    </row>
    <row r="16" spans="1:20" x14ac:dyDescent="0.3">
      <c r="A16" t="s">
        <v>2401</v>
      </c>
      <c r="B16" t="s">
        <v>136</v>
      </c>
      <c r="C16" t="s">
        <v>137</v>
      </c>
      <c r="D16" s="3">
        <v>46215</v>
      </c>
      <c r="E16">
        <f t="shared" si="0"/>
        <v>13</v>
      </c>
      <c r="F16" t="s">
        <v>2402</v>
      </c>
      <c r="G16" s="62" t="s">
        <v>2403</v>
      </c>
      <c r="H16">
        <v>5</v>
      </c>
      <c r="I16">
        <v>4</v>
      </c>
      <c r="J16">
        <f t="shared" si="1"/>
        <v>20</v>
      </c>
      <c r="K16" t="s">
        <v>487</v>
      </c>
      <c r="L16" s="62" t="s">
        <v>2404</v>
      </c>
      <c r="M16" t="s">
        <v>2405</v>
      </c>
      <c r="N16" t="s">
        <v>2287</v>
      </c>
      <c r="O16" s="62" t="s">
        <v>2406</v>
      </c>
      <c r="P16" t="s">
        <v>1109</v>
      </c>
      <c r="Q16">
        <v>3</v>
      </c>
      <c r="R16" t="s">
        <v>2521</v>
      </c>
      <c r="S16" t="s">
        <v>2522</v>
      </c>
    </row>
    <row r="17" spans="1:19" x14ac:dyDescent="0.3">
      <c r="A17" t="s">
        <v>2407</v>
      </c>
      <c r="B17" t="s">
        <v>136</v>
      </c>
      <c r="C17" t="s">
        <v>137</v>
      </c>
      <c r="D17" s="3">
        <v>46215</v>
      </c>
      <c r="E17">
        <f t="shared" si="0"/>
        <v>13</v>
      </c>
      <c r="F17" t="s">
        <v>2402</v>
      </c>
      <c r="G17" s="62" t="s">
        <v>2408</v>
      </c>
      <c r="H17">
        <v>3</v>
      </c>
      <c r="I17">
        <v>3</v>
      </c>
      <c r="J17">
        <f t="shared" si="1"/>
        <v>9</v>
      </c>
      <c r="K17" t="s">
        <v>2289</v>
      </c>
      <c r="L17" s="62" t="s">
        <v>2409</v>
      </c>
      <c r="M17" t="s">
        <v>2410</v>
      </c>
      <c r="N17" t="s">
        <v>2294</v>
      </c>
      <c r="O17" s="62" t="s">
        <v>2411</v>
      </c>
      <c r="P17" t="s">
        <v>1109</v>
      </c>
      <c r="Q17">
        <v>4</v>
      </c>
      <c r="R17" t="s">
        <v>2523</v>
      </c>
      <c r="S17" t="s">
        <v>2524</v>
      </c>
    </row>
    <row r="18" spans="1:19" x14ac:dyDescent="0.3">
      <c r="A18" t="s">
        <v>2412</v>
      </c>
      <c r="B18" t="s">
        <v>136</v>
      </c>
      <c r="C18" t="s">
        <v>137</v>
      </c>
      <c r="D18" s="3">
        <v>46215</v>
      </c>
      <c r="E18">
        <f t="shared" si="0"/>
        <v>13</v>
      </c>
      <c r="F18" t="s">
        <v>2349</v>
      </c>
      <c r="G18" s="62" t="s">
        <v>2413</v>
      </c>
      <c r="H18">
        <v>3</v>
      </c>
      <c r="I18">
        <v>4</v>
      </c>
      <c r="J18">
        <f t="shared" si="1"/>
        <v>12</v>
      </c>
      <c r="K18" t="s">
        <v>2387</v>
      </c>
      <c r="L18" s="62" t="s">
        <v>2414</v>
      </c>
      <c r="M18" t="s">
        <v>2415</v>
      </c>
      <c r="N18" t="s">
        <v>2346</v>
      </c>
      <c r="O18" s="62" t="s">
        <v>2416</v>
      </c>
      <c r="P18" t="s">
        <v>1109</v>
      </c>
      <c r="Q18">
        <v>5</v>
      </c>
      <c r="R18" t="s">
        <v>2525</v>
      </c>
      <c r="S18" t="s">
        <v>2526</v>
      </c>
    </row>
    <row r="19" spans="1:19" x14ac:dyDescent="0.3">
      <c r="A19" t="s">
        <v>2417</v>
      </c>
      <c r="B19" t="s">
        <v>136</v>
      </c>
      <c r="C19" t="s">
        <v>137</v>
      </c>
      <c r="D19" s="3">
        <v>46215</v>
      </c>
      <c r="E19">
        <f t="shared" si="0"/>
        <v>13</v>
      </c>
      <c r="F19" t="s">
        <v>2335</v>
      </c>
      <c r="G19" s="62" t="s">
        <v>2418</v>
      </c>
      <c r="H19">
        <v>4</v>
      </c>
      <c r="I19">
        <v>3</v>
      </c>
      <c r="J19">
        <f t="shared" si="1"/>
        <v>12</v>
      </c>
      <c r="K19" t="s">
        <v>2419</v>
      </c>
      <c r="L19" s="62" t="s">
        <v>2420</v>
      </c>
      <c r="M19" t="s">
        <v>2421</v>
      </c>
      <c r="N19" t="s">
        <v>2353</v>
      </c>
      <c r="O19" s="62" t="s">
        <v>2422</v>
      </c>
      <c r="P19" t="s">
        <v>1109</v>
      </c>
    </row>
    <row r="20" spans="1:19" x14ac:dyDescent="0.3">
      <c r="A20" t="s">
        <v>2423</v>
      </c>
      <c r="B20" t="s">
        <v>136</v>
      </c>
      <c r="C20" t="s">
        <v>137</v>
      </c>
      <c r="D20" s="3">
        <v>46215</v>
      </c>
      <c r="E20">
        <f t="shared" si="0"/>
        <v>13</v>
      </c>
      <c r="F20" t="s">
        <v>2424</v>
      </c>
      <c r="G20" s="62" t="s">
        <v>2425</v>
      </c>
      <c r="H20">
        <v>3</v>
      </c>
      <c r="I20">
        <v>2</v>
      </c>
      <c r="J20">
        <f t="shared" si="1"/>
        <v>6</v>
      </c>
      <c r="K20" t="s">
        <v>2426</v>
      </c>
      <c r="L20" s="62" t="s">
        <v>2427</v>
      </c>
      <c r="M20" t="s">
        <v>2428</v>
      </c>
      <c r="N20" t="s">
        <v>2346</v>
      </c>
      <c r="O20" s="62" t="s">
        <v>2429</v>
      </c>
      <c r="P20" t="s">
        <v>1109</v>
      </c>
      <c r="Q20" s="1" t="s">
        <v>2527</v>
      </c>
    </row>
    <row r="21" spans="1:19" ht="28.8" x14ac:dyDescent="0.3">
      <c r="A21" t="s">
        <v>2430</v>
      </c>
      <c r="B21" t="s">
        <v>140</v>
      </c>
      <c r="C21" t="s">
        <v>141</v>
      </c>
      <c r="D21" s="3">
        <v>46219</v>
      </c>
      <c r="E21">
        <f t="shared" si="0"/>
        <v>17</v>
      </c>
      <c r="F21" t="s">
        <v>12</v>
      </c>
      <c r="G21" s="62" t="s">
        <v>2431</v>
      </c>
      <c r="H21">
        <v>2</v>
      </c>
      <c r="I21">
        <v>5</v>
      </c>
      <c r="J21">
        <f t="shared" si="1"/>
        <v>10</v>
      </c>
      <c r="K21" t="s">
        <v>12</v>
      </c>
      <c r="L21" s="62" t="s">
        <v>2432</v>
      </c>
      <c r="M21" t="s">
        <v>2433</v>
      </c>
      <c r="N21" t="s">
        <v>2306</v>
      </c>
      <c r="O21" s="62" t="s">
        <v>2434</v>
      </c>
      <c r="P21" t="s">
        <v>1109</v>
      </c>
      <c r="Q21" s="64">
        <v>46027</v>
      </c>
      <c r="R21" t="s">
        <v>118</v>
      </c>
      <c r="S21" t="s">
        <v>2528</v>
      </c>
    </row>
    <row r="22" spans="1:19" x14ac:dyDescent="0.3">
      <c r="A22" t="s">
        <v>2435</v>
      </c>
      <c r="B22" t="s">
        <v>140</v>
      </c>
      <c r="C22" t="s">
        <v>141</v>
      </c>
      <c r="D22" s="3">
        <v>46219</v>
      </c>
      <c r="E22">
        <f t="shared" si="0"/>
        <v>17</v>
      </c>
      <c r="F22" t="s">
        <v>2363</v>
      </c>
      <c r="G22" s="62" t="s">
        <v>2436</v>
      </c>
      <c r="H22">
        <v>3</v>
      </c>
      <c r="I22">
        <v>4</v>
      </c>
      <c r="J22">
        <f t="shared" si="1"/>
        <v>12</v>
      </c>
      <c r="K22" t="s">
        <v>2344</v>
      </c>
      <c r="L22" s="62" t="s">
        <v>2437</v>
      </c>
      <c r="M22" t="s">
        <v>2438</v>
      </c>
      <c r="N22" t="s">
        <v>2346</v>
      </c>
      <c r="O22" s="62" t="s">
        <v>2439</v>
      </c>
      <c r="P22" t="s">
        <v>1109</v>
      </c>
      <c r="Q22" s="65">
        <v>46184</v>
      </c>
      <c r="R22" t="s">
        <v>127</v>
      </c>
      <c r="S22" t="s">
        <v>2529</v>
      </c>
    </row>
    <row r="23" spans="1:19" ht="28.8" x14ac:dyDescent="0.3">
      <c r="A23" t="s">
        <v>2440</v>
      </c>
      <c r="B23" t="s">
        <v>140</v>
      </c>
      <c r="C23" t="s">
        <v>141</v>
      </c>
      <c r="D23" s="3">
        <v>46219</v>
      </c>
      <c r="E23">
        <f t="shared" si="0"/>
        <v>17</v>
      </c>
      <c r="F23" t="s">
        <v>2337</v>
      </c>
      <c r="G23" s="62" t="s">
        <v>2441</v>
      </c>
      <c r="H23">
        <v>4</v>
      </c>
      <c r="I23">
        <v>3</v>
      </c>
      <c r="J23">
        <f t="shared" si="1"/>
        <v>12</v>
      </c>
      <c r="K23" t="s">
        <v>2370</v>
      </c>
      <c r="L23" s="62" t="s">
        <v>2442</v>
      </c>
      <c r="M23" t="s">
        <v>982</v>
      </c>
      <c r="N23" t="s">
        <v>2353</v>
      </c>
      <c r="O23" s="62" t="s">
        <v>2443</v>
      </c>
      <c r="P23" t="s">
        <v>1109</v>
      </c>
      <c r="Q23" s="66">
        <v>46375</v>
      </c>
      <c r="R23" t="s">
        <v>128</v>
      </c>
      <c r="S23" t="s">
        <v>2530</v>
      </c>
    </row>
    <row r="24" spans="1:19" x14ac:dyDescent="0.3">
      <c r="A24" t="s">
        <v>2444</v>
      </c>
      <c r="B24" t="s">
        <v>161</v>
      </c>
      <c r="C24" t="s">
        <v>162</v>
      </c>
      <c r="D24" s="3">
        <v>46221</v>
      </c>
      <c r="E24">
        <f t="shared" si="0"/>
        <v>19</v>
      </c>
      <c r="F24" t="s">
        <v>2402</v>
      </c>
      <c r="G24" s="62" t="s">
        <v>2445</v>
      </c>
      <c r="H24">
        <v>5</v>
      </c>
      <c r="I24">
        <v>5</v>
      </c>
      <c r="J24">
        <f t="shared" si="1"/>
        <v>25</v>
      </c>
      <c r="K24" t="s">
        <v>1113</v>
      </c>
      <c r="L24" s="62" t="s">
        <v>2446</v>
      </c>
      <c r="M24" t="s">
        <v>2447</v>
      </c>
      <c r="N24" t="s">
        <v>2306</v>
      </c>
      <c r="O24" s="62" t="s">
        <v>2448</v>
      </c>
      <c r="P24" t="s">
        <v>1070</v>
      </c>
      <c r="Q24" s="67" t="s">
        <v>2531</v>
      </c>
      <c r="R24" t="s">
        <v>2166</v>
      </c>
      <c r="S24" t="s">
        <v>2532</v>
      </c>
    </row>
    <row r="25" spans="1:19" x14ac:dyDescent="0.3">
      <c r="A25" t="s">
        <v>2449</v>
      </c>
      <c r="B25" t="s">
        <v>161</v>
      </c>
      <c r="C25" t="s">
        <v>162</v>
      </c>
      <c r="D25" s="3">
        <v>46221</v>
      </c>
      <c r="E25">
        <f t="shared" si="0"/>
        <v>19</v>
      </c>
      <c r="F25" t="s">
        <v>2402</v>
      </c>
      <c r="G25" s="62" t="s">
        <v>2450</v>
      </c>
      <c r="H25">
        <v>4</v>
      </c>
      <c r="I25">
        <v>4</v>
      </c>
      <c r="J25">
        <f t="shared" si="1"/>
        <v>16</v>
      </c>
      <c r="K25" t="s">
        <v>2337</v>
      </c>
      <c r="L25" s="62" t="s">
        <v>2451</v>
      </c>
      <c r="M25" t="s">
        <v>2410</v>
      </c>
      <c r="N25" t="s">
        <v>2287</v>
      </c>
      <c r="O25" s="62" t="s">
        <v>2452</v>
      </c>
      <c r="P25" t="s">
        <v>1109</v>
      </c>
    </row>
    <row r="26" spans="1:19" ht="15.6" x14ac:dyDescent="0.3">
      <c r="A26" t="s">
        <v>2453</v>
      </c>
      <c r="B26" t="s">
        <v>161</v>
      </c>
      <c r="C26" t="s">
        <v>162</v>
      </c>
      <c r="D26" s="3">
        <v>46221</v>
      </c>
      <c r="E26">
        <f t="shared" si="0"/>
        <v>19</v>
      </c>
      <c r="F26" t="s">
        <v>2402</v>
      </c>
      <c r="G26" s="62" t="s">
        <v>2454</v>
      </c>
      <c r="H26">
        <v>3</v>
      </c>
      <c r="I26">
        <v>3</v>
      </c>
      <c r="J26">
        <f t="shared" si="1"/>
        <v>9</v>
      </c>
      <c r="K26" t="s">
        <v>514</v>
      </c>
      <c r="L26" s="62" t="s">
        <v>2455</v>
      </c>
      <c r="M26" t="s">
        <v>2366</v>
      </c>
      <c r="N26" t="s">
        <v>2294</v>
      </c>
      <c r="O26" s="62" t="s">
        <v>2456</v>
      </c>
      <c r="P26" t="s">
        <v>1109</v>
      </c>
      <c r="Q26" s="392" t="s">
        <v>2533</v>
      </c>
      <c r="R26" s="371"/>
      <c r="S26" s="371"/>
    </row>
    <row r="27" spans="1:19" x14ac:dyDescent="0.3">
      <c r="A27" t="s">
        <v>2457</v>
      </c>
      <c r="B27" t="s">
        <v>161</v>
      </c>
      <c r="C27" t="s">
        <v>162</v>
      </c>
      <c r="D27" s="3">
        <v>46221</v>
      </c>
      <c r="E27">
        <f t="shared" si="0"/>
        <v>19</v>
      </c>
      <c r="F27" t="s">
        <v>2458</v>
      </c>
      <c r="G27" s="62" t="s">
        <v>2459</v>
      </c>
      <c r="H27">
        <v>2</v>
      </c>
      <c r="I27">
        <v>5</v>
      </c>
      <c r="J27">
        <f t="shared" si="1"/>
        <v>10</v>
      </c>
      <c r="K27" t="s">
        <v>1074</v>
      </c>
      <c r="L27" s="62" t="s">
        <v>2460</v>
      </c>
      <c r="M27" t="s">
        <v>2461</v>
      </c>
      <c r="N27" t="s">
        <v>2339</v>
      </c>
      <c r="O27" s="62" t="s">
        <v>2462</v>
      </c>
      <c r="P27" t="s">
        <v>1109</v>
      </c>
      <c r="Q27" t="s">
        <v>2534</v>
      </c>
      <c r="R27" s="68">
        <f>COUNTA(A5:A35)</f>
        <v>31</v>
      </c>
    </row>
    <row r="28" spans="1:19" x14ac:dyDescent="0.3">
      <c r="A28" t="s">
        <v>2463</v>
      </c>
      <c r="B28" t="s">
        <v>161</v>
      </c>
      <c r="C28" t="s">
        <v>162</v>
      </c>
      <c r="D28" s="3">
        <v>46221</v>
      </c>
      <c r="E28">
        <f t="shared" si="0"/>
        <v>19</v>
      </c>
      <c r="F28" t="s">
        <v>2464</v>
      </c>
      <c r="G28" s="62" t="s">
        <v>2465</v>
      </c>
      <c r="H28">
        <v>3</v>
      </c>
      <c r="I28">
        <v>3</v>
      </c>
      <c r="J28">
        <f t="shared" si="1"/>
        <v>9</v>
      </c>
      <c r="K28" t="s">
        <v>2426</v>
      </c>
      <c r="L28" s="62" t="s">
        <v>2466</v>
      </c>
      <c r="M28" t="s">
        <v>2467</v>
      </c>
      <c r="N28" t="s">
        <v>2346</v>
      </c>
      <c r="O28" s="62" t="s">
        <v>2468</v>
      </c>
      <c r="P28" t="s">
        <v>1109</v>
      </c>
      <c r="Q28" t="s">
        <v>2535</v>
      </c>
      <c r="R28" s="68">
        <f>COUNTIF(J5:J35,"&gt;=20")</f>
        <v>2</v>
      </c>
    </row>
    <row r="29" spans="1:19" x14ac:dyDescent="0.3">
      <c r="A29" t="s">
        <v>2469</v>
      </c>
      <c r="B29" t="s">
        <v>161</v>
      </c>
      <c r="C29" t="s">
        <v>162</v>
      </c>
      <c r="D29" s="3">
        <v>46221</v>
      </c>
      <c r="E29">
        <f t="shared" si="0"/>
        <v>19</v>
      </c>
      <c r="F29" t="s">
        <v>2470</v>
      </c>
      <c r="G29" s="62" t="s">
        <v>2471</v>
      </c>
      <c r="H29">
        <v>2</v>
      </c>
      <c r="I29">
        <v>5</v>
      </c>
      <c r="J29">
        <f t="shared" si="1"/>
        <v>10</v>
      </c>
      <c r="K29" t="s">
        <v>2472</v>
      </c>
      <c r="L29" s="62" t="s">
        <v>2473</v>
      </c>
      <c r="M29" t="s">
        <v>2405</v>
      </c>
      <c r="N29" t="s">
        <v>2287</v>
      </c>
      <c r="O29" s="62" t="s">
        <v>2474</v>
      </c>
      <c r="P29" t="s">
        <v>1109</v>
      </c>
      <c r="Q29" t="s">
        <v>2536</v>
      </c>
      <c r="R29" s="68">
        <f>COUNTIFS(J5:J35,"&gt;=12",J5:J35,"&lt;20")</f>
        <v>11</v>
      </c>
    </row>
    <row r="30" spans="1:19" x14ac:dyDescent="0.3">
      <c r="A30" t="s">
        <v>2475</v>
      </c>
      <c r="B30" t="s">
        <v>146</v>
      </c>
      <c r="C30" t="s">
        <v>147</v>
      </c>
      <c r="D30" s="3">
        <v>46223</v>
      </c>
      <c r="E30">
        <f t="shared" si="0"/>
        <v>21</v>
      </c>
      <c r="F30" t="s">
        <v>2335</v>
      </c>
      <c r="G30" s="62" t="s">
        <v>2476</v>
      </c>
      <c r="H30">
        <v>4</v>
      </c>
      <c r="I30">
        <v>3</v>
      </c>
      <c r="J30">
        <f t="shared" si="1"/>
        <v>12</v>
      </c>
      <c r="K30" t="s">
        <v>2419</v>
      </c>
      <c r="L30" s="62" t="s">
        <v>2477</v>
      </c>
      <c r="M30" t="s">
        <v>1166</v>
      </c>
      <c r="N30" t="s">
        <v>2346</v>
      </c>
      <c r="O30" s="62" t="s">
        <v>2478</v>
      </c>
      <c r="P30" t="s">
        <v>1109</v>
      </c>
      <c r="Q30" t="s">
        <v>2537</v>
      </c>
      <c r="R30" s="68">
        <f>COUNTIFS(J5:J35,"&gt;=6",J5:J35,"&lt;12")</f>
        <v>15</v>
      </c>
    </row>
    <row r="31" spans="1:19" x14ac:dyDescent="0.3">
      <c r="A31" t="s">
        <v>2479</v>
      </c>
      <c r="B31" t="s">
        <v>146</v>
      </c>
      <c r="C31" t="s">
        <v>147</v>
      </c>
      <c r="D31" s="3">
        <v>46223</v>
      </c>
      <c r="E31">
        <f t="shared" si="0"/>
        <v>21</v>
      </c>
      <c r="F31" t="s">
        <v>2379</v>
      </c>
      <c r="G31" s="62" t="s">
        <v>2480</v>
      </c>
      <c r="H31">
        <v>2</v>
      </c>
      <c r="I31">
        <v>4</v>
      </c>
      <c r="J31">
        <f t="shared" si="1"/>
        <v>8</v>
      </c>
      <c r="K31" t="s">
        <v>2481</v>
      </c>
      <c r="L31" s="62" t="s">
        <v>2482</v>
      </c>
      <c r="M31" t="s">
        <v>2379</v>
      </c>
      <c r="N31" t="s">
        <v>2339</v>
      </c>
      <c r="O31" s="62" t="s">
        <v>2483</v>
      </c>
      <c r="P31" t="s">
        <v>1109</v>
      </c>
      <c r="Q31" t="s">
        <v>2538</v>
      </c>
      <c r="R31" s="68">
        <f>COUNTIF(J5:J35,"&lt;=5")</f>
        <v>3</v>
      </c>
    </row>
    <row r="32" spans="1:19" x14ac:dyDescent="0.3">
      <c r="A32" t="s">
        <v>2484</v>
      </c>
      <c r="B32" t="s">
        <v>153</v>
      </c>
      <c r="C32" t="s">
        <v>154</v>
      </c>
      <c r="D32" s="3">
        <v>46234</v>
      </c>
      <c r="E32">
        <f t="shared" si="0"/>
        <v>32</v>
      </c>
      <c r="F32" t="s">
        <v>2356</v>
      </c>
      <c r="G32" s="62" t="s">
        <v>2485</v>
      </c>
      <c r="H32">
        <v>2</v>
      </c>
      <c r="I32">
        <v>2</v>
      </c>
      <c r="J32">
        <f t="shared" si="1"/>
        <v>4</v>
      </c>
      <c r="K32" t="s">
        <v>2342</v>
      </c>
      <c r="L32" s="62" t="s">
        <v>2486</v>
      </c>
      <c r="M32" t="s">
        <v>2360</v>
      </c>
      <c r="N32" t="s">
        <v>2339</v>
      </c>
      <c r="O32" s="62" t="s">
        <v>2487</v>
      </c>
      <c r="P32" t="s">
        <v>1148</v>
      </c>
      <c r="R32" s="68"/>
    </row>
    <row r="33" spans="1:18" x14ac:dyDescent="0.3">
      <c r="A33" t="s">
        <v>2488</v>
      </c>
      <c r="B33" t="s">
        <v>157</v>
      </c>
      <c r="C33" t="s">
        <v>158</v>
      </c>
      <c r="D33" s="3">
        <v>46238</v>
      </c>
      <c r="E33">
        <f t="shared" si="0"/>
        <v>36</v>
      </c>
      <c r="F33" t="s">
        <v>2349</v>
      </c>
      <c r="G33" s="62" t="s">
        <v>2489</v>
      </c>
      <c r="H33">
        <v>3</v>
      </c>
      <c r="I33">
        <v>4</v>
      </c>
      <c r="J33">
        <f t="shared" si="1"/>
        <v>12</v>
      </c>
      <c r="K33" t="s">
        <v>514</v>
      </c>
      <c r="L33" s="62" t="s">
        <v>2490</v>
      </c>
      <c r="M33" t="s">
        <v>2491</v>
      </c>
      <c r="N33" t="s">
        <v>2346</v>
      </c>
      <c r="O33" s="62" t="s">
        <v>2492</v>
      </c>
      <c r="P33" t="s">
        <v>1109</v>
      </c>
      <c r="Q33" t="s">
        <v>2539</v>
      </c>
      <c r="R33" s="68">
        <f>COUNTIF(F5:F35,"Drift")</f>
        <v>5</v>
      </c>
    </row>
    <row r="34" spans="1:18" x14ac:dyDescent="0.3">
      <c r="A34" t="s">
        <v>2493</v>
      </c>
      <c r="B34" t="s">
        <v>157</v>
      </c>
      <c r="C34" t="s">
        <v>158</v>
      </c>
      <c r="D34" s="3">
        <v>46238</v>
      </c>
      <c r="E34">
        <f t="shared" si="0"/>
        <v>36</v>
      </c>
      <c r="F34" t="s">
        <v>2342</v>
      </c>
      <c r="G34" s="62" t="s">
        <v>2494</v>
      </c>
      <c r="H34">
        <v>3</v>
      </c>
      <c r="I34">
        <v>3</v>
      </c>
      <c r="J34">
        <f t="shared" si="1"/>
        <v>9</v>
      </c>
      <c r="K34" t="s">
        <v>2335</v>
      </c>
      <c r="L34" s="62" t="s">
        <v>2495</v>
      </c>
      <c r="M34" t="s">
        <v>2496</v>
      </c>
      <c r="N34" t="s">
        <v>2339</v>
      </c>
      <c r="O34" s="62" t="s">
        <v>2497</v>
      </c>
      <c r="P34" t="s">
        <v>1109</v>
      </c>
      <c r="Q34" t="s">
        <v>2540</v>
      </c>
      <c r="R34" s="68">
        <f>COUNTIF(N5:N35,"Escalated")</f>
        <v>4</v>
      </c>
    </row>
    <row r="35" spans="1:18" x14ac:dyDescent="0.3">
      <c r="A35" t="s">
        <v>2498</v>
      </c>
      <c r="B35" t="s">
        <v>165</v>
      </c>
      <c r="C35" t="s">
        <v>166</v>
      </c>
      <c r="D35" s="3">
        <v>46246</v>
      </c>
      <c r="E35">
        <f t="shared" si="0"/>
        <v>44</v>
      </c>
      <c r="F35" t="s">
        <v>2296</v>
      </c>
      <c r="G35" s="62" t="s">
        <v>2499</v>
      </c>
      <c r="H35">
        <v>2</v>
      </c>
      <c r="I35">
        <v>2</v>
      </c>
      <c r="J35">
        <f t="shared" si="1"/>
        <v>4</v>
      </c>
      <c r="K35" t="s">
        <v>2500</v>
      </c>
      <c r="L35" s="62" t="s">
        <v>2501</v>
      </c>
      <c r="M35" t="s">
        <v>2502</v>
      </c>
      <c r="N35" t="s">
        <v>2353</v>
      </c>
      <c r="O35" s="62" t="s">
        <v>2503</v>
      </c>
      <c r="P35" t="s">
        <v>1109</v>
      </c>
      <c r="Q35" t="s">
        <v>2541</v>
      </c>
      <c r="R35" s="68">
        <f>COUNTIF(N5:N35,"Open")</f>
        <v>2</v>
      </c>
    </row>
    <row r="38" spans="1:18" ht="15.6" x14ac:dyDescent="0.3">
      <c r="A38" s="384" t="s">
        <v>4633</v>
      </c>
      <c r="B38" s="384"/>
      <c r="C38" s="384"/>
      <c r="D38" s="384"/>
      <c r="E38" s="384"/>
      <c r="F38" s="384"/>
      <c r="G38" s="384"/>
      <c r="H38" s="384"/>
      <c r="I38" s="384"/>
      <c r="J38" s="384"/>
      <c r="K38" s="384"/>
      <c r="L38" s="384"/>
    </row>
    <row r="39" spans="1:18" x14ac:dyDescent="0.3">
      <c r="A39" s="237"/>
      <c r="B39" s="237"/>
      <c r="C39" s="237"/>
      <c r="D39" s="237"/>
      <c r="E39" s="237"/>
      <c r="F39" s="237"/>
      <c r="G39" s="237"/>
      <c r="H39" s="237"/>
      <c r="I39" s="237"/>
      <c r="J39" s="237"/>
      <c r="K39" s="237"/>
      <c r="L39" s="237"/>
    </row>
    <row r="40" spans="1:18" x14ac:dyDescent="0.3">
      <c r="A40" s="237" t="s">
        <v>4634</v>
      </c>
      <c r="B40" s="237"/>
      <c r="C40" s="237"/>
      <c r="D40" s="237"/>
      <c r="E40" s="237"/>
      <c r="F40" s="237"/>
      <c r="G40" s="237"/>
      <c r="H40" s="237"/>
      <c r="I40" s="237"/>
      <c r="J40" s="237"/>
      <c r="K40" s="237"/>
      <c r="L40" s="237"/>
    </row>
    <row r="41" spans="1:18" x14ac:dyDescent="0.3">
      <c r="A41" s="237"/>
      <c r="B41" s="237"/>
      <c r="C41" s="237"/>
      <c r="D41" s="237"/>
      <c r="E41" s="237"/>
      <c r="F41" s="237"/>
      <c r="G41" s="237"/>
      <c r="H41" s="237"/>
      <c r="I41" s="237"/>
      <c r="J41" s="237"/>
      <c r="K41" s="237"/>
      <c r="L41" s="237"/>
    </row>
    <row r="42" spans="1:18" x14ac:dyDescent="0.3">
      <c r="A42" s="237" t="s">
        <v>4635</v>
      </c>
      <c r="B42" s="237"/>
      <c r="C42" s="237"/>
      <c r="D42" s="237"/>
      <c r="E42" s="237"/>
      <c r="F42" s="237"/>
      <c r="G42" s="237"/>
      <c r="H42" s="237"/>
      <c r="I42" s="237"/>
      <c r="J42" s="237"/>
      <c r="K42" s="237"/>
      <c r="L42" s="237"/>
    </row>
    <row r="43" spans="1:18" x14ac:dyDescent="0.3">
      <c r="A43" s="237" t="s">
        <v>4636</v>
      </c>
      <c r="B43" s="237"/>
      <c r="C43" s="237"/>
      <c r="D43" s="237"/>
      <c r="E43" s="237"/>
      <c r="F43" s="237"/>
      <c r="G43" s="237"/>
      <c r="H43" s="237"/>
      <c r="I43" s="237"/>
      <c r="J43" s="237"/>
      <c r="K43" s="237"/>
      <c r="L43" s="237"/>
    </row>
    <row r="44" spans="1:18" x14ac:dyDescent="0.3">
      <c r="A44" s="237" t="s">
        <v>4637</v>
      </c>
      <c r="B44" s="237"/>
      <c r="C44" s="237"/>
      <c r="D44" s="237"/>
      <c r="E44" s="237"/>
      <c r="F44" s="237"/>
      <c r="G44" s="237"/>
      <c r="H44" s="237"/>
      <c r="I44" s="237"/>
      <c r="J44" s="237"/>
      <c r="K44" s="237"/>
      <c r="L44" s="237"/>
    </row>
    <row r="45" spans="1:18" x14ac:dyDescent="0.3">
      <c r="A45" s="237" t="s">
        <v>4638</v>
      </c>
      <c r="B45" s="237"/>
      <c r="C45" s="237"/>
      <c r="D45" s="237"/>
      <c r="E45" s="237"/>
      <c r="F45" s="237"/>
      <c r="G45" s="237"/>
      <c r="H45" s="237"/>
      <c r="I45" s="237"/>
      <c r="J45" s="237"/>
      <c r="K45" s="237"/>
      <c r="L45" s="237"/>
    </row>
    <row r="46" spans="1:18" x14ac:dyDescent="0.3">
      <c r="A46" s="237" t="s">
        <v>4639</v>
      </c>
      <c r="B46" s="237"/>
      <c r="C46" s="237"/>
      <c r="D46" s="237"/>
      <c r="E46" s="237"/>
      <c r="F46" s="237"/>
      <c r="G46" s="237"/>
      <c r="H46" s="237"/>
      <c r="I46" s="237"/>
      <c r="J46" s="237"/>
      <c r="K46" s="237"/>
      <c r="L46" s="237"/>
    </row>
    <row r="47" spans="1:18" x14ac:dyDescent="0.3">
      <c r="A47" s="237"/>
      <c r="B47" s="237"/>
      <c r="C47" s="237"/>
      <c r="D47" s="237"/>
      <c r="E47" s="237"/>
      <c r="F47" s="237"/>
      <c r="G47" s="237"/>
      <c r="H47" s="237"/>
      <c r="I47" s="237"/>
      <c r="J47" s="237"/>
      <c r="K47" s="237"/>
      <c r="L47" s="237"/>
    </row>
    <row r="48" spans="1:18" x14ac:dyDescent="0.3">
      <c r="A48" s="237" t="s">
        <v>4640</v>
      </c>
      <c r="B48" s="237"/>
      <c r="C48" s="237"/>
      <c r="D48" s="237"/>
      <c r="E48" s="237"/>
      <c r="F48" s="237"/>
      <c r="G48" s="237"/>
      <c r="H48" s="237"/>
      <c r="I48" s="237"/>
      <c r="J48" s="237"/>
      <c r="K48" s="237"/>
      <c r="L48" s="237"/>
    </row>
    <row r="49" spans="1:12" x14ac:dyDescent="0.3">
      <c r="A49" s="237"/>
      <c r="B49" s="237"/>
      <c r="C49" s="237"/>
      <c r="D49" s="237"/>
      <c r="E49" s="237"/>
      <c r="F49" s="237"/>
      <c r="G49" s="237"/>
      <c r="H49" s="237"/>
      <c r="I49" s="237"/>
      <c r="J49" s="237"/>
      <c r="K49" s="237"/>
      <c r="L49" s="237"/>
    </row>
    <row r="50" spans="1:12" x14ac:dyDescent="0.3">
      <c r="A50" s="237" t="s">
        <v>4641</v>
      </c>
      <c r="B50" s="237"/>
      <c r="C50" s="237"/>
      <c r="D50" s="237"/>
      <c r="E50" s="237"/>
      <c r="F50" s="237"/>
      <c r="G50" s="237"/>
      <c r="H50" s="237"/>
      <c r="I50" s="237"/>
      <c r="J50" s="237"/>
      <c r="K50" s="237"/>
      <c r="L50" s="237"/>
    </row>
    <row r="53" spans="1:12" ht="18" x14ac:dyDescent="0.35">
      <c r="A53" s="385" t="s">
        <v>4642</v>
      </c>
      <c r="B53" s="385"/>
      <c r="C53" s="385"/>
      <c r="D53" s="385"/>
      <c r="E53" s="385"/>
      <c r="F53" s="385"/>
      <c r="G53" s="385"/>
      <c r="H53" s="385"/>
      <c r="I53" s="385"/>
      <c r="J53" s="385"/>
      <c r="K53" s="385"/>
      <c r="L53" s="385"/>
    </row>
    <row r="55" spans="1:12" ht="15.6" x14ac:dyDescent="0.3">
      <c r="A55" s="222" t="s">
        <v>4218</v>
      </c>
      <c r="B55" s="223"/>
      <c r="C55" s="223"/>
      <c r="D55" s="223"/>
      <c r="E55" s="223"/>
      <c r="F55" s="223"/>
      <c r="G55" s="223"/>
      <c r="H55" s="223"/>
      <c r="I55" s="223"/>
      <c r="J55" s="223"/>
      <c r="K55" s="223"/>
      <c r="L55" s="223"/>
    </row>
    <row r="56" spans="1:12" x14ac:dyDescent="0.3">
      <c r="A56" s="223" t="s">
        <v>4643</v>
      </c>
      <c r="B56" s="223"/>
      <c r="C56" s="223"/>
      <c r="D56" s="223"/>
      <c r="E56" s="223"/>
      <c r="F56" s="223"/>
      <c r="G56" s="223"/>
      <c r="H56" s="223"/>
      <c r="I56" s="223"/>
      <c r="J56" s="223"/>
      <c r="K56" s="223"/>
      <c r="L56" s="223"/>
    </row>
    <row r="57" spans="1:12" x14ac:dyDescent="0.3">
      <c r="A57" s="223" t="s">
        <v>4644</v>
      </c>
      <c r="B57" s="223"/>
      <c r="C57" s="223"/>
      <c r="D57" s="223"/>
      <c r="E57" s="223"/>
      <c r="F57" s="223"/>
      <c r="G57" s="223"/>
      <c r="H57" s="223"/>
      <c r="I57" s="223"/>
      <c r="J57" s="223"/>
      <c r="K57" s="223"/>
      <c r="L57" s="223"/>
    </row>
    <row r="58" spans="1:12" x14ac:dyDescent="0.3">
      <c r="A58" s="223" t="s">
        <v>4645</v>
      </c>
      <c r="B58" s="223"/>
      <c r="C58" s="223"/>
      <c r="D58" s="223"/>
      <c r="E58" s="223"/>
      <c r="F58" s="223"/>
      <c r="G58" s="223"/>
      <c r="H58" s="223"/>
      <c r="I58" s="223"/>
      <c r="J58" s="223"/>
      <c r="K58" s="223"/>
      <c r="L58" s="223"/>
    </row>
    <row r="59" spans="1:12" x14ac:dyDescent="0.3">
      <c r="A59" s="223"/>
      <c r="B59" s="223"/>
      <c r="C59" s="223"/>
      <c r="D59" s="223"/>
      <c r="E59" s="223"/>
      <c r="F59" s="223"/>
      <c r="G59" s="223"/>
      <c r="H59" s="223"/>
      <c r="I59" s="223"/>
      <c r="J59" s="223"/>
      <c r="K59" s="223"/>
      <c r="L59" s="223"/>
    </row>
    <row r="60" spans="1:12" ht="15.6" x14ac:dyDescent="0.3">
      <c r="A60" s="222" t="s">
        <v>4646</v>
      </c>
      <c r="B60" s="223"/>
      <c r="C60" s="223"/>
      <c r="D60" s="223"/>
      <c r="E60" s="223"/>
      <c r="F60" s="223"/>
      <c r="G60" s="223"/>
      <c r="H60" s="223"/>
      <c r="I60" s="223"/>
      <c r="J60" s="223"/>
      <c r="K60" s="223"/>
      <c r="L60" s="223"/>
    </row>
    <row r="61" spans="1:12" x14ac:dyDescent="0.3">
      <c r="A61" s="223"/>
      <c r="B61" s="223"/>
      <c r="C61" s="223"/>
      <c r="D61" s="223"/>
      <c r="E61" s="223"/>
      <c r="F61" s="223"/>
      <c r="G61" s="223"/>
      <c r="H61" s="223"/>
      <c r="I61" s="223"/>
      <c r="J61" s="223"/>
      <c r="K61" s="223"/>
      <c r="L61" s="223"/>
    </row>
    <row r="62" spans="1:12" x14ac:dyDescent="0.3">
      <c r="A62" s="223" t="s">
        <v>4647</v>
      </c>
      <c r="B62" s="223"/>
      <c r="C62" s="223"/>
      <c r="D62" s="223"/>
      <c r="E62" s="223"/>
      <c r="F62" s="223"/>
      <c r="G62" s="223"/>
      <c r="H62" s="223"/>
      <c r="I62" s="223"/>
      <c r="J62" s="223"/>
      <c r="K62" s="223"/>
      <c r="L62" s="223"/>
    </row>
    <row r="63" spans="1:12" x14ac:dyDescent="0.3">
      <c r="A63" s="223"/>
      <c r="B63" s="223"/>
      <c r="C63" s="223"/>
      <c r="D63" s="223"/>
      <c r="E63" s="223"/>
      <c r="F63" s="223"/>
      <c r="G63" s="223"/>
      <c r="H63" s="223"/>
      <c r="I63" s="223"/>
      <c r="J63" s="223"/>
      <c r="K63" s="223"/>
      <c r="L63" s="223"/>
    </row>
    <row r="64" spans="1:12" x14ac:dyDescent="0.3">
      <c r="A64" s="223" t="s">
        <v>4648</v>
      </c>
      <c r="B64" s="223"/>
      <c r="C64" s="223"/>
      <c r="D64" s="223"/>
      <c r="E64" s="223"/>
      <c r="F64" s="223"/>
      <c r="G64" s="223"/>
      <c r="H64" s="223"/>
      <c r="I64" s="223"/>
      <c r="J64" s="223"/>
      <c r="K64" s="223"/>
      <c r="L64" s="223"/>
    </row>
    <row r="65" spans="1:12" x14ac:dyDescent="0.3">
      <c r="A65" s="223" t="s">
        <v>4649</v>
      </c>
      <c r="B65" s="223"/>
      <c r="C65" s="223"/>
      <c r="D65" s="223"/>
      <c r="E65" s="223"/>
      <c r="F65" s="223"/>
      <c r="G65" s="223"/>
      <c r="H65" s="223"/>
      <c r="I65" s="223"/>
      <c r="J65" s="223"/>
      <c r="K65" s="223"/>
      <c r="L65" s="223"/>
    </row>
    <row r="66" spans="1:12" x14ac:dyDescent="0.3">
      <c r="A66" s="223" t="s">
        <v>4650</v>
      </c>
      <c r="B66" s="223"/>
      <c r="C66" s="223"/>
      <c r="D66" s="223"/>
      <c r="E66" s="223"/>
      <c r="F66" s="223"/>
      <c r="G66" s="223"/>
      <c r="H66" s="223"/>
      <c r="I66" s="223"/>
      <c r="J66" s="223"/>
      <c r="K66" s="223"/>
      <c r="L66" s="223"/>
    </row>
    <row r="67" spans="1:12" x14ac:dyDescent="0.3">
      <c r="A67" s="223" t="s">
        <v>4651</v>
      </c>
      <c r="B67" s="223"/>
      <c r="C67" s="223"/>
      <c r="D67" s="223"/>
      <c r="E67" s="223"/>
      <c r="F67" s="223"/>
      <c r="G67" s="223"/>
      <c r="H67" s="223"/>
      <c r="I67" s="223"/>
      <c r="J67" s="223"/>
      <c r="K67" s="223"/>
      <c r="L67" s="223"/>
    </row>
    <row r="68" spans="1:12" x14ac:dyDescent="0.3">
      <c r="A68" s="223" t="s">
        <v>4652</v>
      </c>
      <c r="B68" s="223"/>
      <c r="C68" s="223"/>
      <c r="D68" s="223"/>
      <c r="E68" s="223"/>
      <c r="F68" s="223"/>
      <c r="G68" s="223"/>
      <c r="H68" s="223"/>
      <c r="I68" s="223"/>
      <c r="J68" s="223"/>
      <c r="K68" s="223"/>
      <c r="L68" s="223"/>
    </row>
    <row r="69" spans="1:12" x14ac:dyDescent="0.3">
      <c r="A69" s="223" t="s">
        <v>4653</v>
      </c>
      <c r="B69" s="223"/>
      <c r="C69" s="223"/>
      <c r="D69" s="223"/>
      <c r="E69" s="223"/>
      <c r="F69" s="223"/>
      <c r="G69" s="223"/>
      <c r="H69" s="223"/>
      <c r="I69" s="223"/>
      <c r="J69" s="223"/>
      <c r="K69" s="223"/>
      <c r="L69" s="223"/>
    </row>
    <row r="70" spans="1:12" x14ac:dyDescent="0.3">
      <c r="A70" s="223"/>
      <c r="B70" s="223"/>
      <c r="C70" s="223"/>
      <c r="D70" s="223"/>
      <c r="E70" s="223"/>
      <c r="F70" s="223"/>
      <c r="G70" s="223"/>
      <c r="H70" s="223"/>
      <c r="I70" s="223"/>
      <c r="J70" s="223"/>
      <c r="K70" s="223"/>
      <c r="L70" s="223"/>
    </row>
    <row r="71" spans="1:12" ht="15.6" x14ac:dyDescent="0.3">
      <c r="A71" s="222" t="s">
        <v>4654</v>
      </c>
      <c r="B71" s="223"/>
      <c r="C71" s="223"/>
      <c r="D71" s="223"/>
      <c r="E71" s="223"/>
      <c r="F71" s="223"/>
      <c r="G71" s="223"/>
      <c r="H71" s="223"/>
      <c r="I71" s="223"/>
      <c r="J71" s="223"/>
      <c r="K71" s="223"/>
      <c r="L71" s="223"/>
    </row>
    <row r="72" spans="1:12" x14ac:dyDescent="0.3">
      <c r="A72" s="223"/>
      <c r="B72" s="223"/>
      <c r="C72" s="223"/>
      <c r="D72" s="223"/>
      <c r="E72" s="223"/>
      <c r="F72" s="223"/>
      <c r="G72" s="223"/>
      <c r="H72" s="223"/>
      <c r="I72" s="223"/>
      <c r="J72" s="223"/>
      <c r="K72" s="223"/>
      <c r="L72" s="223"/>
    </row>
    <row r="73" spans="1:12" x14ac:dyDescent="0.3">
      <c r="A73" s="224" t="s">
        <v>4655</v>
      </c>
      <c r="B73" s="223"/>
      <c r="C73" s="223"/>
      <c r="D73" s="223"/>
      <c r="E73" s="223"/>
      <c r="F73" s="223"/>
      <c r="G73" s="223"/>
      <c r="H73" s="223"/>
      <c r="I73" s="223"/>
      <c r="J73" s="223"/>
      <c r="K73" s="223"/>
      <c r="L73" s="223"/>
    </row>
    <row r="74" spans="1:12" x14ac:dyDescent="0.3">
      <c r="A74" s="223" t="s">
        <v>4656</v>
      </c>
      <c r="B74" s="223"/>
      <c r="C74" s="223"/>
      <c r="D74" s="223"/>
      <c r="E74" s="223"/>
      <c r="F74" s="223"/>
      <c r="G74" s="223"/>
      <c r="H74" s="223"/>
      <c r="I74" s="223"/>
      <c r="J74" s="223"/>
      <c r="K74" s="223"/>
      <c r="L74" s="223"/>
    </row>
    <row r="75" spans="1:12" x14ac:dyDescent="0.3">
      <c r="A75" s="223" t="s">
        <v>4657</v>
      </c>
      <c r="B75" s="223"/>
      <c r="C75" s="223"/>
      <c r="D75" s="223"/>
      <c r="E75" s="223"/>
      <c r="F75" s="223"/>
      <c r="G75" s="223"/>
      <c r="H75" s="223"/>
      <c r="I75" s="223"/>
      <c r="J75" s="223"/>
      <c r="K75" s="223"/>
      <c r="L75" s="223"/>
    </row>
    <row r="76" spans="1:12" x14ac:dyDescent="0.3">
      <c r="A76" s="223" t="s">
        <v>4658</v>
      </c>
      <c r="B76" s="223"/>
      <c r="C76" s="223"/>
      <c r="D76" s="223"/>
      <c r="E76" s="223"/>
      <c r="F76" s="223"/>
      <c r="G76" s="223"/>
      <c r="H76" s="223"/>
      <c r="I76" s="223"/>
      <c r="J76" s="223"/>
      <c r="K76" s="223"/>
      <c r="L76" s="223"/>
    </row>
    <row r="77" spans="1:12" x14ac:dyDescent="0.3">
      <c r="A77" s="223" t="s">
        <v>4659</v>
      </c>
      <c r="B77" s="223"/>
      <c r="C77" s="223"/>
      <c r="D77" s="223"/>
      <c r="E77" s="223"/>
      <c r="F77" s="223"/>
      <c r="G77" s="223"/>
      <c r="H77" s="223"/>
      <c r="I77" s="223"/>
      <c r="J77" s="223"/>
      <c r="K77" s="223"/>
      <c r="L77" s="223"/>
    </row>
    <row r="78" spans="1:12" x14ac:dyDescent="0.3">
      <c r="A78" s="223" t="s">
        <v>4660</v>
      </c>
      <c r="B78" s="223"/>
      <c r="C78" s="223"/>
      <c r="D78" s="223"/>
      <c r="E78" s="223"/>
      <c r="F78" s="223"/>
      <c r="G78" s="223"/>
      <c r="H78" s="223"/>
      <c r="I78" s="223"/>
      <c r="J78" s="223"/>
      <c r="K78" s="223"/>
      <c r="L78" s="223"/>
    </row>
    <row r="79" spans="1:12" x14ac:dyDescent="0.3">
      <c r="A79" s="223"/>
      <c r="B79" s="223"/>
      <c r="C79" s="223"/>
      <c r="D79" s="223"/>
      <c r="E79" s="223"/>
      <c r="F79" s="223"/>
      <c r="G79" s="223"/>
      <c r="H79" s="223"/>
      <c r="I79" s="223"/>
      <c r="J79" s="223"/>
      <c r="K79" s="223"/>
      <c r="L79" s="223"/>
    </row>
    <row r="80" spans="1:12" ht="15.6" x14ac:dyDescent="0.3">
      <c r="A80" s="222" t="s">
        <v>4661</v>
      </c>
      <c r="B80" s="223"/>
      <c r="C80" s="223"/>
      <c r="D80" s="223"/>
      <c r="E80" s="223"/>
      <c r="F80" s="223"/>
      <c r="G80" s="223"/>
      <c r="H80" s="223"/>
      <c r="I80" s="223"/>
      <c r="J80" s="223"/>
      <c r="K80" s="223"/>
      <c r="L80" s="223"/>
    </row>
    <row r="81" spans="1:12" x14ac:dyDescent="0.3">
      <c r="A81" s="223"/>
      <c r="B81" s="223"/>
      <c r="C81" s="223"/>
      <c r="D81" s="223"/>
      <c r="E81" s="223"/>
      <c r="F81" s="223"/>
      <c r="G81" s="223"/>
      <c r="H81" s="223"/>
      <c r="I81" s="223"/>
      <c r="J81" s="223"/>
      <c r="K81" s="223"/>
      <c r="L81" s="223"/>
    </row>
    <row r="82" spans="1:12" x14ac:dyDescent="0.3">
      <c r="A82" s="223" t="s">
        <v>4662</v>
      </c>
      <c r="B82" s="223"/>
      <c r="C82" s="223"/>
      <c r="D82" s="223"/>
      <c r="E82" s="223"/>
      <c r="F82" s="223"/>
      <c r="G82" s="223"/>
      <c r="H82" s="223"/>
      <c r="I82" s="223"/>
      <c r="J82" s="223"/>
      <c r="K82" s="223"/>
      <c r="L82" s="223"/>
    </row>
    <row r="83" spans="1:12" x14ac:dyDescent="0.3">
      <c r="A83" s="223" t="s">
        <v>4663</v>
      </c>
      <c r="B83" s="223"/>
      <c r="C83" s="223"/>
      <c r="D83" s="223"/>
      <c r="E83" s="223"/>
      <c r="F83" s="223"/>
      <c r="G83" s="223"/>
      <c r="H83" s="223"/>
      <c r="I83" s="223"/>
      <c r="J83" s="223"/>
      <c r="K83" s="223"/>
      <c r="L83" s="223"/>
    </row>
    <row r="84" spans="1:12" x14ac:dyDescent="0.3">
      <c r="A84" s="223" t="s">
        <v>4664</v>
      </c>
      <c r="B84" s="223"/>
      <c r="C84" s="223"/>
      <c r="D84" s="223"/>
      <c r="E84" s="223"/>
      <c r="F84" s="223"/>
      <c r="G84" s="223"/>
      <c r="H84" s="223"/>
      <c r="I84" s="223"/>
      <c r="J84" s="223"/>
      <c r="K84" s="223"/>
      <c r="L84" s="223"/>
    </row>
    <row r="85" spans="1:12" x14ac:dyDescent="0.3">
      <c r="A85" s="223" t="s">
        <v>4665</v>
      </c>
      <c r="B85" s="223"/>
      <c r="C85" s="223"/>
      <c r="D85" s="223"/>
      <c r="E85" s="223"/>
      <c r="F85" s="223"/>
      <c r="G85" s="223"/>
      <c r="H85" s="223"/>
      <c r="I85" s="223"/>
      <c r="J85" s="223"/>
      <c r="K85" s="223"/>
      <c r="L85" s="223"/>
    </row>
    <row r="86" spans="1:12" x14ac:dyDescent="0.3">
      <c r="A86" s="223" t="s">
        <v>4666</v>
      </c>
      <c r="B86" s="223"/>
      <c r="C86" s="223"/>
      <c r="D86" s="223"/>
      <c r="E86" s="223"/>
      <c r="F86" s="223"/>
      <c r="G86" s="223"/>
      <c r="H86" s="223"/>
      <c r="I86" s="223"/>
      <c r="J86" s="223"/>
      <c r="K86" s="223"/>
      <c r="L86" s="223"/>
    </row>
    <row r="87" spans="1:12" x14ac:dyDescent="0.3">
      <c r="A87" s="223"/>
      <c r="B87" s="223"/>
      <c r="C87" s="223"/>
      <c r="D87" s="223"/>
      <c r="E87" s="223"/>
      <c r="F87" s="223"/>
      <c r="G87" s="223"/>
      <c r="H87" s="223"/>
      <c r="I87" s="223"/>
      <c r="J87" s="223"/>
      <c r="K87" s="223"/>
      <c r="L87" s="223"/>
    </row>
    <row r="88" spans="1:12" x14ac:dyDescent="0.3">
      <c r="A88" s="223" t="s">
        <v>4667</v>
      </c>
      <c r="B88" s="223"/>
      <c r="C88" s="223"/>
      <c r="D88" s="223"/>
      <c r="E88" s="223"/>
      <c r="F88" s="223"/>
      <c r="G88" s="223"/>
      <c r="H88" s="223"/>
      <c r="I88" s="223"/>
      <c r="J88" s="223"/>
      <c r="K88" s="223"/>
      <c r="L88" s="223"/>
    </row>
    <row r="89" spans="1:12" x14ac:dyDescent="0.3">
      <c r="A89" s="223" t="s">
        <v>4668</v>
      </c>
      <c r="B89" s="223"/>
      <c r="C89" s="223"/>
      <c r="D89" s="223"/>
      <c r="E89" s="223"/>
      <c r="F89" s="223"/>
      <c r="G89" s="223"/>
      <c r="H89" s="223"/>
      <c r="I89" s="223"/>
      <c r="J89" s="223"/>
      <c r="K89" s="223"/>
      <c r="L89" s="223"/>
    </row>
    <row r="90" spans="1:12" x14ac:dyDescent="0.3">
      <c r="A90" s="223" t="s">
        <v>4669</v>
      </c>
      <c r="B90" s="223"/>
      <c r="C90" s="223"/>
      <c r="D90" s="223"/>
      <c r="E90" s="223"/>
      <c r="F90" s="223"/>
      <c r="G90" s="223"/>
      <c r="H90" s="223"/>
      <c r="I90" s="223"/>
      <c r="J90" s="223"/>
      <c r="K90" s="223"/>
      <c r="L90" s="223"/>
    </row>
    <row r="91" spans="1:12" x14ac:dyDescent="0.3">
      <c r="A91" s="223" t="s">
        <v>4670</v>
      </c>
      <c r="B91" s="223"/>
      <c r="C91" s="223"/>
      <c r="D91" s="223"/>
      <c r="E91" s="223"/>
      <c r="F91" s="223"/>
      <c r="G91" s="223"/>
      <c r="H91" s="223"/>
      <c r="I91" s="223"/>
      <c r="J91" s="223"/>
      <c r="K91" s="223"/>
      <c r="L91" s="223"/>
    </row>
    <row r="92" spans="1:12" x14ac:dyDescent="0.3">
      <c r="A92" s="223"/>
      <c r="B92" s="223"/>
      <c r="C92" s="223"/>
      <c r="D92" s="223"/>
      <c r="E92" s="223"/>
      <c r="F92" s="223"/>
      <c r="G92" s="223"/>
      <c r="H92" s="223"/>
      <c r="I92" s="223"/>
      <c r="J92" s="223"/>
      <c r="K92" s="223"/>
      <c r="L92" s="223"/>
    </row>
    <row r="93" spans="1:12" ht="15.6" x14ac:dyDescent="0.3">
      <c r="A93" s="222" t="s">
        <v>4671</v>
      </c>
      <c r="B93" s="223"/>
      <c r="C93" s="223"/>
      <c r="D93" s="223"/>
      <c r="E93" s="223"/>
      <c r="F93" s="223"/>
      <c r="G93" s="223"/>
      <c r="H93" s="223"/>
      <c r="I93" s="223"/>
      <c r="J93" s="223"/>
      <c r="K93" s="223"/>
      <c r="L93" s="223"/>
    </row>
    <row r="94" spans="1:12" x14ac:dyDescent="0.3">
      <c r="A94" s="223"/>
      <c r="B94" s="223"/>
      <c r="C94" s="223"/>
      <c r="D94" s="223"/>
      <c r="E94" s="223"/>
      <c r="F94" s="223"/>
      <c r="G94" s="223"/>
      <c r="H94" s="223"/>
      <c r="I94" s="223"/>
      <c r="J94" s="223"/>
      <c r="K94" s="223"/>
      <c r="L94" s="223"/>
    </row>
    <row r="95" spans="1:12" x14ac:dyDescent="0.3">
      <c r="A95" s="223" t="s">
        <v>4672</v>
      </c>
      <c r="B95" s="223"/>
      <c r="C95" s="223"/>
      <c r="D95" s="223"/>
      <c r="E95" s="223"/>
      <c r="F95" s="223"/>
      <c r="G95" s="223"/>
      <c r="H95" s="223"/>
      <c r="I95" s="223"/>
      <c r="J95" s="223"/>
      <c r="K95" s="223"/>
      <c r="L95" s="223"/>
    </row>
    <row r="96" spans="1:12" x14ac:dyDescent="0.3">
      <c r="A96" s="223" t="s">
        <v>4673</v>
      </c>
      <c r="B96" s="223"/>
      <c r="C96" s="223"/>
      <c r="D96" s="223"/>
      <c r="E96" s="223"/>
      <c r="F96" s="223"/>
      <c r="G96" s="223"/>
      <c r="H96" s="223"/>
      <c r="I96" s="223"/>
      <c r="J96" s="223"/>
      <c r="K96" s="223"/>
      <c r="L96" s="223"/>
    </row>
    <row r="97" spans="1:12" x14ac:dyDescent="0.3">
      <c r="A97" s="223" t="s">
        <v>4674</v>
      </c>
      <c r="B97" s="223"/>
      <c r="C97" s="223"/>
      <c r="D97" s="223"/>
      <c r="E97" s="223"/>
      <c r="F97" s="223"/>
      <c r="G97" s="223"/>
      <c r="H97" s="223"/>
      <c r="I97" s="223"/>
      <c r="J97" s="223"/>
      <c r="K97" s="223"/>
      <c r="L97" s="223"/>
    </row>
    <row r="98" spans="1:12" x14ac:dyDescent="0.3">
      <c r="A98" s="223" t="s">
        <v>4675</v>
      </c>
      <c r="B98" s="223"/>
      <c r="C98" s="223"/>
      <c r="D98" s="223"/>
      <c r="E98" s="223"/>
      <c r="F98" s="223"/>
      <c r="G98" s="223"/>
      <c r="H98" s="223"/>
      <c r="I98" s="223"/>
      <c r="J98" s="223"/>
      <c r="K98" s="223"/>
      <c r="L98" s="223"/>
    </row>
    <row r="99" spans="1:12" x14ac:dyDescent="0.3">
      <c r="A99" s="223" t="s">
        <v>4676</v>
      </c>
      <c r="B99" s="223"/>
      <c r="C99" s="223"/>
      <c r="D99" s="223"/>
      <c r="E99" s="223"/>
      <c r="F99" s="223"/>
      <c r="G99" s="223"/>
      <c r="H99" s="223"/>
      <c r="I99" s="223"/>
      <c r="J99" s="223"/>
      <c r="K99" s="223"/>
      <c r="L99" s="223"/>
    </row>
    <row r="100" spans="1:12" x14ac:dyDescent="0.3">
      <c r="A100" s="223" t="s">
        <v>4677</v>
      </c>
      <c r="B100" s="223"/>
      <c r="C100" s="223"/>
      <c r="D100" s="223"/>
      <c r="E100" s="223"/>
      <c r="F100" s="223"/>
      <c r="G100" s="223"/>
      <c r="H100" s="223"/>
      <c r="I100" s="223"/>
      <c r="J100" s="223"/>
      <c r="K100" s="223"/>
      <c r="L100" s="223"/>
    </row>
    <row r="101" spans="1:12" x14ac:dyDescent="0.3">
      <c r="A101" s="223" t="s">
        <v>4678</v>
      </c>
      <c r="B101" s="223"/>
      <c r="C101" s="223"/>
      <c r="D101" s="223"/>
      <c r="E101" s="223"/>
      <c r="F101" s="223"/>
      <c r="G101" s="223"/>
      <c r="H101" s="223"/>
      <c r="I101" s="223"/>
      <c r="J101" s="223"/>
      <c r="K101" s="223"/>
      <c r="L101" s="223"/>
    </row>
    <row r="102" spans="1:12" x14ac:dyDescent="0.3">
      <c r="A102" s="223" t="s">
        <v>4679</v>
      </c>
      <c r="B102" s="223"/>
      <c r="C102" s="223"/>
      <c r="D102" s="223"/>
      <c r="E102" s="223"/>
      <c r="F102" s="223"/>
      <c r="G102" s="223"/>
      <c r="H102" s="223"/>
      <c r="I102" s="223"/>
      <c r="J102" s="223"/>
      <c r="K102" s="223"/>
      <c r="L102" s="223"/>
    </row>
    <row r="103" spans="1:12" x14ac:dyDescent="0.3">
      <c r="A103" s="223" t="s">
        <v>4680</v>
      </c>
      <c r="B103" s="223"/>
      <c r="C103" s="223"/>
      <c r="D103" s="223"/>
      <c r="E103" s="223"/>
      <c r="F103" s="223"/>
      <c r="G103" s="223"/>
      <c r="H103" s="223"/>
      <c r="I103" s="223"/>
      <c r="J103" s="223"/>
      <c r="K103" s="223"/>
      <c r="L103" s="223"/>
    </row>
    <row r="104" spans="1:12" x14ac:dyDescent="0.3">
      <c r="A104" s="223" t="s">
        <v>4681</v>
      </c>
      <c r="B104" s="223"/>
      <c r="C104" s="223"/>
      <c r="D104" s="223"/>
      <c r="E104" s="223"/>
      <c r="F104" s="223"/>
      <c r="G104" s="223"/>
      <c r="H104" s="223"/>
      <c r="I104" s="223"/>
      <c r="J104" s="223"/>
      <c r="K104" s="223"/>
      <c r="L104" s="223"/>
    </row>
    <row r="105" spans="1:12" x14ac:dyDescent="0.3">
      <c r="A105" s="223"/>
      <c r="B105" s="223"/>
      <c r="C105" s="223"/>
      <c r="D105" s="223"/>
      <c r="E105" s="223"/>
      <c r="F105" s="223"/>
      <c r="G105" s="223"/>
      <c r="H105" s="223"/>
      <c r="I105" s="223"/>
      <c r="J105" s="223"/>
      <c r="K105" s="223"/>
      <c r="L105" s="223"/>
    </row>
    <row r="106" spans="1:12" ht="15.6" x14ac:dyDescent="0.3">
      <c r="A106" s="222" t="s">
        <v>4451</v>
      </c>
      <c r="B106" s="223"/>
      <c r="C106" s="223"/>
      <c r="D106" s="223"/>
      <c r="E106" s="223"/>
      <c r="F106" s="223"/>
      <c r="G106" s="223"/>
      <c r="H106" s="223"/>
      <c r="I106" s="223"/>
      <c r="J106" s="223"/>
      <c r="K106" s="223"/>
      <c r="L106" s="223"/>
    </row>
    <row r="107" spans="1:12" x14ac:dyDescent="0.3">
      <c r="A107" s="223"/>
      <c r="B107" s="223"/>
      <c r="C107" s="223"/>
      <c r="D107" s="223"/>
      <c r="E107" s="223"/>
      <c r="F107" s="223"/>
      <c r="G107" s="223"/>
      <c r="H107" s="223"/>
      <c r="I107" s="223"/>
      <c r="J107" s="223"/>
      <c r="K107" s="223"/>
      <c r="L107" s="223"/>
    </row>
    <row r="108" spans="1:12" x14ac:dyDescent="0.3">
      <c r="A108" s="223" t="s">
        <v>4682</v>
      </c>
      <c r="B108" s="223"/>
      <c r="C108" s="223"/>
      <c r="D108" s="223"/>
      <c r="E108" s="223"/>
      <c r="F108" s="223"/>
      <c r="G108" s="223"/>
      <c r="H108" s="223"/>
      <c r="I108" s="223"/>
      <c r="J108" s="223"/>
      <c r="K108" s="223"/>
      <c r="L108" s="223"/>
    </row>
    <row r="109" spans="1:12" x14ac:dyDescent="0.3">
      <c r="A109" s="223" t="s">
        <v>4683</v>
      </c>
      <c r="B109" s="223"/>
      <c r="C109" s="223"/>
      <c r="D109" s="223"/>
      <c r="E109" s="223"/>
      <c r="F109" s="223"/>
      <c r="G109" s="223"/>
      <c r="H109" s="223"/>
      <c r="I109" s="223"/>
      <c r="J109" s="223"/>
      <c r="K109" s="223"/>
      <c r="L109" s="223"/>
    </row>
    <row r="110" spans="1:12" x14ac:dyDescent="0.3">
      <c r="A110" s="223" t="s">
        <v>4684</v>
      </c>
      <c r="B110" s="223"/>
      <c r="C110" s="223"/>
      <c r="D110" s="223"/>
      <c r="E110" s="223"/>
      <c r="F110" s="223"/>
      <c r="G110" s="223"/>
      <c r="H110" s="223"/>
      <c r="I110" s="223"/>
      <c r="J110" s="223"/>
      <c r="K110" s="223"/>
      <c r="L110" s="223"/>
    </row>
    <row r="111" spans="1:12" x14ac:dyDescent="0.3">
      <c r="A111" s="223" t="s">
        <v>4685</v>
      </c>
      <c r="B111" s="223"/>
      <c r="C111" s="223"/>
      <c r="D111" s="223"/>
      <c r="E111" s="223"/>
      <c r="F111" s="223"/>
      <c r="G111" s="223"/>
      <c r="H111" s="223"/>
      <c r="I111" s="223"/>
      <c r="J111" s="223"/>
      <c r="K111" s="223"/>
      <c r="L111" s="223"/>
    </row>
    <row r="112" spans="1:12" x14ac:dyDescent="0.3">
      <c r="A112" s="223" t="s">
        <v>4686</v>
      </c>
      <c r="B112" s="223"/>
      <c r="C112" s="223"/>
      <c r="D112" s="223"/>
      <c r="E112" s="223"/>
      <c r="F112" s="223"/>
      <c r="G112" s="223"/>
      <c r="H112" s="223"/>
      <c r="I112" s="223"/>
      <c r="J112" s="223"/>
      <c r="K112" s="223"/>
      <c r="L112" s="223"/>
    </row>
    <row r="113" spans="1:12" x14ac:dyDescent="0.3">
      <c r="A113" s="223" t="s">
        <v>4687</v>
      </c>
      <c r="B113" s="223"/>
      <c r="C113" s="223"/>
      <c r="D113" s="223"/>
      <c r="E113" s="223"/>
      <c r="F113" s="223"/>
      <c r="G113" s="223"/>
      <c r="H113" s="223"/>
      <c r="I113" s="223"/>
      <c r="J113" s="223"/>
      <c r="K113" s="223"/>
      <c r="L113" s="223"/>
    </row>
    <row r="114" spans="1:12" x14ac:dyDescent="0.3">
      <c r="A114" s="223" t="s">
        <v>4688</v>
      </c>
      <c r="B114" s="223"/>
      <c r="C114" s="223"/>
      <c r="D114" s="223"/>
      <c r="E114" s="223"/>
      <c r="F114" s="223"/>
      <c r="G114" s="223"/>
      <c r="H114" s="223"/>
      <c r="I114" s="223"/>
      <c r="J114" s="223"/>
      <c r="K114" s="223"/>
      <c r="L114" s="223"/>
    </row>
    <row r="115" spans="1:12" x14ac:dyDescent="0.3">
      <c r="A115" s="223"/>
      <c r="B115" s="223"/>
      <c r="C115" s="223"/>
      <c r="D115" s="223"/>
      <c r="E115" s="223"/>
      <c r="F115" s="223"/>
      <c r="G115" s="223"/>
      <c r="H115" s="223"/>
      <c r="I115" s="223"/>
      <c r="J115" s="223"/>
      <c r="K115" s="223"/>
      <c r="L115" s="223"/>
    </row>
    <row r="116" spans="1:12" x14ac:dyDescent="0.3">
      <c r="A116" s="223" t="s">
        <v>4689</v>
      </c>
      <c r="B116" s="223"/>
      <c r="C116" s="223"/>
      <c r="D116" s="223"/>
      <c r="E116" s="223"/>
      <c r="F116" s="223"/>
      <c r="G116" s="223"/>
      <c r="H116" s="223"/>
      <c r="I116" s="223"/>
      <c r="J116" s="223"/>
      <c r="K116" s="223"/>
      <c r="L116" s="223"/>
    </row>
    <row r="117" spans="1:12" x14ac:dyDescent="0.3">
      <c r="A117" s="223" t="s">
        <v>4690</v>
      </c>
      <c r="B117" s="223"/>
      <c r="C117" s="223"/>
      <c r="D117" s="223"/>
      <c r="E117" s="223"/>
      <c r="F117" s="223"/>
      <c r="G117" s="223"/>
      <c r="H117" s="223"/>
      <c r="I117" s="223"/>
      <c r="J117" s="223"/>
      <c r="K117" s="223"/>
      <c r="L117" s="223"/>
    </row>
    <row r="118" spans="1:12" x14ac:dyDescent="0.3">
      <c r="A118" s="223" t="s">
        <v>4691</v>
      </c>
      <c r="B118" s="223"/>
      <c r="C118" s="223"/>
      <c r="D118" s="223"/>
      <c r="E118" s="223"/>
      <c r="F118" s="223"/>
      <c r="G118" s="223"/>
      <c r="H118" s="223"/>
      <c r="I118" s="223"/>
      <c r="J118" s="223"/>
      <c r="K118" s="223"/>
      <c r="L118" s="223"/>
    </row>
  </sheetData>
  <mergeCells count="6">
    <mergeCell ref="A53:L53"/>
    <mergeCell ref="A1:P1"/>
    <mergeCell ref="A2:P2"/>
    <mergeCell ref="Q4:T4"/>
    <mergeCell ref="Q26:S26"/>
    <mergeCell ref="A38:L38"/>
  </mergeCells>
  <conditionalFormatting sqref="A5:T36 M37:T85 A38">
    <cfRule type="expression" dxfId="22" priority="43">
      <formula>OR(AND($C$3&lt;&gt;"All Time",IF($C$3="Today",$D5&lt;&gt;TODAY(),IF($C$3="This Week",OR($D5&lt;TODAY(),$D5&gt;TODAY()+7),IF($C$3="This Month",OR($D5&lt;TODAY(),$D5&gt;TODAY()+30),OR($D5&lt;DATE(YEAR(TODAY()),1,1),$D5&gt;DATE(YEAR(TODAY()),12,31)))))),AND($F$3&lt;&gt;"All",IF($F$3="Critical (20+)",$J5&lt;20,IF($F$3="High (15-19)",OR($J5&lt;15,$J5&gt;=20),IF($F$3="Medium (10-14)",OR($J5&lt;10,$J5&gt;=15),$J5&gt;=10)))),AND($H$3&lt;&gt;"All",$N5&lt;&gt;$H$3),AND($J$3&lt;&gt;"All",$F5&lt;&gt;$J$3))</formula>
    </cfRule>
  </conditionalFormatting>
  <dataValidations disablePrompts="1" count="4">
    <dataValidation type="list" allowBlank="1" showInputMessage="1" showErrorMessage="1" sqref="C3" xr:uid="{FC6BE5AB-2C9A-4361-A599-01A8F206FA88}">
      <formula1>"All Time,Today,This Week,This Month,This Year"</formula1>
    </dataValidation>
    <dataValidation type="list" allowBlank="1" showInputMessage="1" showErrorMessage="1" sqref="F3" xr:uid="{B1FA848F-636E-43A3-B402-EEABB18B769A}">
      <formula1>"All,Critical (20+),High (15-19),Medium (10-14),Low (&lt;10)"</formula1>
    </dataValidation>
    <dataValidation type="list" allowBlank="1" showInputMessage="1" showErrorMessage="1" sqref="H3" xr:uid="{750991F6-1BB1-434E-899C-4135037A0BF7}">
      <formula1>"All,Open,Monitoring,Mitigating,Closed,Accepted"</formula1>
    </dataValidation>
    <dataValidation type="list" allowBlank="1" showInputMessage="1" showErrorMessage="1" sqref="J3" xr:uid="{3B67159B-5A2B-406A-8FCE-1C258AF1E38F}">
      <formula1>"All,Resource,Schedule,Technical,Integration,Compliance,Security,Vendor,Data"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A8137-84A3-47C4-A685-553698133E1D}">
  <sheetPr>
    <tabColor theme="5"/>
  </sheetPr>
  <dimension ref="A1:N74"/>
  <sheetViews>
    <sheetView workbookViewId="0">
      <pane ySplit="4" topLeftCell="A5" activePane="bottomLeft" state="frozen"/>
      <selection activeCell="G26" sqref="G26"/>
      <selection pane="bottomLeft" activeCell="H20" sqref="H20"/>
    </sheetView>
  </sheetViews>
  <sheetFormatPr defaultRowHeight="14.4" x14ac:dyDescent="0.3"/>
  <cols>
    <col min="1" max="1" width="13" customWidth="1"/>
    <col min="2" max="2" width="14.77734375" customWidth="1"/>
    <col min="3" max="3" width="37" customWidth="1"/>
    <col min="4" max="4" width="29.6640625" customWidth="1"/>
    <col min="5" max="5" width="14.77734375" customWidth="1"/>
    <col min="6" max="6" width="18.5546875" customWidth="1"/>
    <col min="7" max="7" width="22.21875" customWidth="1"/>
    <col min="8" max="8" width="18.5546875" customWidth="1"/>
    <col min="9" max="9" width="13" customWidth="1"/>
    <col min="10" max="10" width="64.77734375" customWidth="1"/>
    <col min="11" max="11" width="55.5546875" customWidth="1"/>
    <col min="12" max="12" width="51.88671875" customWidth="1"/>
    <col min="13" max="14" width="16.6640625" customWidth="1"/>
  </cols>
  <sheetData>
    <row r="1" spans="1:14" ht="21" x14ac:dyDescent="0.4">
      <c r="A1" s="390" t="s">
        <v>2273</v>
      </c>
      <c r="B1" s="368"/>
      <c r="C1" s="368"/>
      <c r="D1" s="368"/>
      <c r="E1" s="368"/>
      <c r="F1" s="368"/>
      <c r="G1" s="368"/>
      <c r="H1" s="368"/>
      <c r="I1" s="368"/>
      <c r="J1" s="368"/>
      <c r="K1" s="368"/>
    </row>
    <row r="2" spans="1:14" x14ac:dyDescent="0.3">
      <c r="A2" s="391" t="s">
        <v>2274</v>
      </c>
      <c r="B2" s="391"/>
      <c r="C2" s="391"/>
      <c r="D2" s="391"/>
      <c r="E2" s="391"/>
      <c r="F2" s="391"/>
      <c r="G2" s="391"/>
      <c r="H2" s="391"/>
      <c r="I2" s="391"/>
      <c r="J2" s="391"/>
      <c r="K2" s="391"/>
    </row>
    <row r="3" spans="1:14" x14ac:dyDescent="0.3">
      <c r="A3" s="2" t="s">
        <v>4173</v>
      </c>
      <c r="B3" s="1" t="s">
        <v>4176</v>
      </c>
      <c r="C3" s="220" t="s">
        <v>4096</v>
      </c>
      <c r="D3" s="1" t="s">
        <v>4207</v>
      </c>
      <c r="E3" s="220" t="s">
        <v>4096</v>
      </c>
      <c r="F3" s="1" t="s">
        <v>4208</v>
      </c>
      <c r="G3" s="220" t="s">
        <v>4096</v>
      </c>
      <c r="H3" s="1" t="s">
        <v>4209</v>
      </c>
      <c r="I3" s="220" t="s">
        <v>4096</v>
      </c>
      <c r="J3" s="1" t="s">
        <v>4198</v>
      </c>
      <c r="K3" s="220" t="s">
        <v>4096</v>
      </c>
      <c r="L3" s="1" t="s">
        <v>4201</v>
      </c>
      <c r="M3" t="str" cm="1">
        <f t="array" ref="M3">SUMPRODUCT((A5:A62&lt;&gt;"")*IF(C3="All",1,D5:D62=C3)*IF(E3="All",1,E5:E62=E3)*IF(G3="All",1,F5:F62=G3)*IF(I3="All",1,I5:I62=I3)*IF(K3="All",1,M5:M50=K3))&amp;" of "&amp;COUNTA(A5:A62)&amp;" drifts"</f>
        <v>40 of 40 drifts</v>
      </c>
      <c r="N3" s="221" t="s">
        <v>4210</v>
      </c>
    </row>
    <row r="4" spans="1:14" ht="25.05" customHeight="1" x14ac:dyDescent="0.3">
      <c r="A4" s="2" t="s">
        <v>2275</v>
      </c>
      <c r="B4" s="2" t="s">
        <v>103</v>
      </c>
      <c r="C4" s="2" t="s">
        <v>104</v>
      </c>
      <c r="D4" s="2" t="s">
        <v>2</v>
      </c>
      <c r="E4" s="2" t="s">
        <v>487</v>
      </c>
      <c r="F4" s="2" t="s">
        <v>4208</v>
      </c>
      <c r="G4" s="2" t="s">
        <v>2276</v>
      </c>
      <c r="H4" s="2" t="s">
        <v>2277</v>
      </c>
      <c r="I4" s="2" t="s">
        <v>2278</v>
      </c>
      <c r="J4" s="2" t="s">
        <v>1919</v>
      </c>
      <c r="K4" s="2" t="s">
        <v>2279</v>
      </c>
      <c r="L4" s="2" t="s">
        <v>2280</v>
      </c>
      <c r="M4" s="2" t="s">
        <v>112</v>
      </c>
      <c r="N4" s="2" t="s">
        <v>2281</v>
      </c>
    </row>
    <row r="5" spans="1:14" ht="28.8" x14ac:dyDescent="0.3">
      <c r="A5" t="s">
        <v>2282</v>
      </c>
      <c r="B5" t="s">
        <v>136</v>
      </c>
      <c r="C5" t="s">
        <v>137</v>
      </c>
      <c r="D5" t="s">
        <v>56</v>
      </c>
      <c r="E5" t="s">
        <v>29</v>
      </c>
      <c r="F5" t="s">
        <v>1113</v>
      </c>
      <c r="G5" t="s">
        <v>2283</v>
      </c>
      <c r="H5" s="3">
        <v>46200</v>
      </c>
      <c r="I5" t="s">
        <v>128</v>
      </c>
      <c r="J5" s="62" t="s">
        <v>2284</v>
      </c>
      <c r="K5" s="62" t="s">
        <v>2285</v>
      </c>
      <c r="L5" s="62" t="s">
        <v>2286</v>
      </c>
      <c r="M5" t="s">
        <v>2287</v>
      </c>
      <c r="N5" s="3">
        <v>46210</v>
      </c>
    </row>
    <row r="6" spans="1:14" ht="28.8" x14ac:dyDescent="0.3">
      <c r="A6" t="s">
        <v>2288</v>
      </c>
      <c r="B6" t="s">
        <v>136</v>
      </c>
      <c r="C6" t="s">
        <v>137</v>
      </c>
      <c r="D6" t="s">
        <v>56</v>
      </c>
      <c r="E6" t="s">
        <v>30</v>
      </c>
      <c r="F6" t="s">
        <v>2289</v>
      </c>
      <c r="G6" t="s">
        <v>2290</v>
      </c>
      <c r="H6" s="3">
        <v>46201</v>
      </c>
      <c r="I6" t="s">
        <v>127</v>
      </c>
      <c r="J6" s="62" t="s">
        <v>2291</v>
      </c>
      <c r="K6" s="62" t="s">
        <v>2292</v>
      </c>
      <c r="L6" s="62" t="s">
        <v>2293</v>
      </c>
      <c r="M6" t="s">
        <v>2294</v>
      </c>
      <c r="N6" s="3">
        <v>46208</v>
      </c>
    </row>
    <row r="7" spans="1:14" ht="28.8" x14ac:dyDescent="0.3">
      <c r="A7" t="s">
        <v>2295</v>
      </c>
      <c r="B7" t="s">
        <v>136</v>
      </c>
      <c r="C7" t="s">
        <v>137</v>
      </c>
      <c r="D7" t="s">
        <v>56</v>
      </c>
      <c r="E7" t="s">
        <v>28</v>
      </c>
      <c r="F7" t="s">
        <v>2296</v>
      </c>
      <c r="G7" t="s">
        <v>2297</v>
      </c>
      <c r="H7" s="3">
        <v>46198</v>
      </c>
      <c r="I7" t="s">
        <v>118</v>
      </c>
      <c r="J7" s="62" t="s">
        <v>2298</v>
      </c>
      <c r="K7" s="62" t="s">
        <v>2299</v>
      </c>
      <c r="L7" s="62" t="s">
        <v>2300</v>
      </c>
      <c r="M7" t="s">
        <v>122</v>
      </c>
      <c r="N7" s="3">
        <v>46206</v>
      </c>
    </row>
    <row r="8" spans="1:14" ht="28.8" x14ac:dyDescent="0.3">
      <c r="A8" t="s">
        <v>2301</v>
      </c>
      <c r="B8" t="s">
        <v>161</v>
      </c>
      <c r="C8" t="s">
        <v>162</v>
      </c>
      <c r="D8" t="s">
        <v>36</v>
      </c>
      <c r="E8" t="s">
        <v>30</v>
      </c>
      <c r="F8" t="s">
        <v>1113</v>
      </c>
      <c r="G8" t="s">
        <v>2302</v>
      </c>
      <c r="H8" s="3">
        <v>46199</v>
      </c>
      <c r="I8" t="s">
        <v>2166</v>
      </c>
      <c r="J8" s="62" t="s">
        <v>2303</v>
      </c>
      <c r="K8" s="62" t="s">
        <v>2304</v>
      </c>
      <c r="L8" s="62" t="s">
        <v>2305</v>
      </c>
      <c r="M8" t="s">
        <v>2306</v>
      </c>
      <c r="N8" s="3">
        <v>46212</v>
      </c>
    </row>
    <row r="9" spans="1:14" ht="28.8" x14ac:dyDescent="0.3">
      <c r="A9" t="s">
        <v>2307</v>
      </c>
      <c r="B9" t="s">
        <v>161</v>
      </c>
      <c r="C9" t="s">
        <v>162</v>
      </c>
      <c r="D9" t="s">
        <v>36</v>
      </c>
      <c r="E9" t="s">
        <v>29</v>
      </c>
      <c r="F9" t="s">
        <v>2289</v>
      </c>
      <c r="G9" t="s">
        <v>2308</v>
      </c>
      <c r="H9" s="3">
        <v>46200</v>
      </c>
      <c r="I9" t="s">
        <v>128</v>
      </c>
      <c r="J9" s="62" t="s">
        <v>2309</v>
      </c>
      <c r="K9" s="62" t="s">
        <v>2310</v>
      </c>
      <c r="L9" s="62" t="s">
        <v>2311</v>
      </c>
      <c r="M9" t="s">
        <v>2287</v>
      </c>
      <c r="N9" s="3">
        <v>46207</v>
      </c>
    </row>
    <row r="10" spans="1:14" ht="28.8" x14ac:dyDescent="0.3">
      <c r="A10" t="s">
        <v>2312</v>
      </c>
      <c r="B10" t="s">
        <v>161</v>
      </c>
      <c r="C10" t="s">
        <v>162</v>
      </c>
      <c r="D10" t="s">
        <v>36</v>
      </c>
      <c r="E10" t="s">
        <v>29</v>
      </c>
      <c r="F10" t="s">
        <v>514</v>
      </c>
      <c r="G10" t="s">
        <v>2313</v>
      </c>
      <c r="H10" s="3">
        <v>46201</v>
      </c>
      <c r="I10" t="s">
        <v>127</v>
      </c>
      <c r="J10" s="62" t="s">
        <v>2314</v>
      </c>
      <c r="K10" s="62" t="s">
        <v>2315</v>
      </c>
      <c r="L10" s="62" t="s">
        <v>2316</v>
      </c>
      <c r="M10" t="s">
        <v>2294</v>
      </c>
      <c r="N10" s="3">
        <v>46209</v>
      </c>
    </row>
    <row r="11" spans="1:14" ht="28.8" x14ac:dyDescent="0.3">
      <c r="A11" t="s">
        <v>2317</v>
      </c>
      <c r="B11" t="s">
        <v>161</v>
      </c>
      <c r="C11" t="s">
        <v>162</v>
      </c>
      <c r="D11" t="s">
        <v>36</v>
      </c>
      <c r="E11" t="s">
        <v>28</v>
      </c>
      <c r="F11" t="s">
        <v>12</v>
      </c>
      <c r="G11" t="s">
        <v>2318</v>
      </c>
      <c r="H11" s="3">
        <v>46195</v>
      </c>
      <c r="I11" t="s">
        <v>127</v>
      </c>
      <c r="J11" s="62" t="s">
        <v>2319</v>
      </c>
      <c r="K11" s="62" t="s">
        <v>2320</v>
      </c>
      <c r="L11" s="62" t="s">
        <v>2321</v>
      </c>
      <c r="M11" t="s">
        <v>2287</v>
      </c>
      <c r="N11" s="3">
        <v>46205</v>
      </c>
    </row>
    <row r="15" spans="1:14" ht="18" x14ac:dyDescent="0.35">
      <c r="A15" s="384" t="s">
        <v>4744</v>
      </c>
      <c r="B15" s="384"/>
      <c r="C15" s="384"/>
      <c r="D15" s="384"/>
      <c r="E15" s="384"/>
      <c r="F15" s="384"/>
      <c r="G15" s="384"/>
      <c r="H15" s="384"/>
      <c r="I15" s="384"/>
      <c r="J15" s="384"/>
      <c r="K15" s="161"/>
      <c r="L15" s="161"/>
      <c r="M15" s="161"/>
      <c r="N15" s="161"/>
    </row>
    <row r="16" spans="1:14" x14ac:dyDescent="0.3">
      <c r="A16" s="237"/>
      <c r="B16" s="237"/>
      <c r="C16" s="237"/>
      <c r="D16" s="237"/>
      <c r="E16" s="237"/>
      <c r="F16" s="237"/>
      <c r="G16" s="237"/>
      <c r="H16" s="237"/>
      <c r="I16" s="237"/>
      <c r="J16" s="237"/>
    </row>
    <row r="17" spans="1:14" x14ac:dyDescent="0.3">
      <c r="A17" s="237" t="s">
        <v>4745</v>
      </c>
      <c r="B17" s="237"/>
      <c r="C17" s="237"/>
      <c r="D17" s="237"/>
      <c r="E17" s="237"/>
      <c r="F17" s="237"/>
      <c r="G17" s="237"/>
      <c r="H17" s="237"/>
      <c r="I17" s="237"/>
      <c r="J17" s="237"/>
      <c r="K17" s="223"/>
      <c r="L17" s="223"/>
      <c r="M17" s="223"/>
      <c r="N17" s="223"/>
    </row>
    <row r="18" spans="1:14" x14ac:dyDescent="0.3">
      <c r="A18" s="237"/>
      <c r="B18" s="237"/>
      <c r="C18" s="237"/>
      <c r="D18" s="237"/>
      <c r="E18" s="237"/>
      <c r="F18" s="237"/>
      <c r="G18" s="237"/>
      <c r="H18" s="237"/>
      <c r="I18" s="237"/>
      <c r="J18" s="237"/>
      <c r="K18" s="223"/>
      <c r="L18" s="223"/>
      <c r="M18" s="223"/>
      <c r="N18" s="223"/>
    </row>
    <row r="19" spans="1:14" x14ac:dyDescent="0.3">
      <c r="A19" s="237" t="s">
        <v>4746</v>
      </c>
      <c r="B19" s="237"/>
      <c r="C19" s="237"/>
      <c r="D19" s="237"/>
      <c r="E19" s="237"/>
      <c r="F19" s="237"/>
      <c r="G19" s="237"/>
      <c r="H19" s="237"/>
      <c r="I19" s="237"/>
      <c r="J19" s="237"/>
      <c r="K19" s="223"/>
      <c r="L19" s="223"/>
      <c r="M19" s="223"/>
      <c r="N19" s="223"/>
    </row>
    <row r="20" spans="1:14" x14ac:dyDescent="0.3">
      <c r="A20" s="237"/>
      <c r="B20" s="237"/>
      <c r="C20" s="237"/>
      <c r="D20" s="237"/>
      <c r="E20" s="237"/>
      <c r="F20" s="237"/>
      <c r="G20" s="237"/>
      <c r="H20" s="237"/>
      <c r="I20" s="237"/>
      <c r="J20" s="237"/>
      <c r="K20" s="223"/>
      <c r="L20" s="223"/>
      <c r="M20" s="223"/>
      <c r="N20" s="223"/>
    </row>
    <row r="21" spans="1:14" x14ac:dyDescent="0.3">
      <c r="A21" s="237" t="s">
        <v>4747</v>
      </c>
      <c r="B21" s="237"/>
      <c r="C21" s="237"/>
      <c r="D21" s="237"/>
      <c r="E21" s="237"/>
      <c r="F21" s="237"/>
      <c r="G21" s="237"/>
      <c r="H21" s="237"/>
      <c r="I21" s="237"/>
      <c r="J21" s="237"/>
      <c r="K21" s="223"/>
      <c r="L21" s="223"/>
      <c r="M21" s="223"/>
      <c r="N21" s="223"/>
    </row>
    <row r="22" spans="1:14" x14ac:dyDescent="0.3">
      <c r="A22" s="237"/>
      <c r="B22" s="237"/>
      <c r="C22" s="237"/>
      <c r="D22" s="237"/>
      <c r="E22" s="237"/>
      <c r="F22" s="237"/>
      <c r="G22" s="237"/>
      <c r="H22" s="237"/>
      <c r="I22" s="237"/>
      <c r="J22" s="237"/>
      <c r="K22" s="223"/>
      <c r="L22" s="223"/>
      <c r="M22" s="223"/>
      <c r="N22" s="223"/>
    </row>
    <row r="23" spans="1:14" x14ac:dyDescent="0.3">
      <c r="A23" s="237" t="s">
        <v>4748</v>
      </c>
      <c r="B23" s="237"/>
      <c r="C23" s="237"/>
      <c r="D23" s="237"/>
      <c r="E23" s="237"/>
      <c r="F23" s="237"/>
      <c r="G23" s="237"/>
      <c r="H23" s="237"/>
      <c r="I23" s="237"/>
      <c r="J23" s="237"/>
      <c r="K23" s="223"/>
      <c r="L23" s="223"/>
      <c r="M23" s="223"/>
      <c r="N23" s="223"/>
    </row>
    <row r="24" spans="1:14" x14ac:dyDescent="0.3">
      <c r="K24" s="223"/>
      <c r="L24" s="223"/>
      <c r="M24" s="223"/>
      <c r="N24" s="223"/>
    </row>
    <row r="25" spans="1:14" x14ac:dyDescent="0.3">
      <c r="K25" s="223"/>
      <c r="L25" s="223"/>
      <c r="M25" s="223"/>
      <c r="N25" s="223"/>
    </row>
    <row r="26" spans="1:14" x14ac:dyDescent="0.3">
      <c r="K26" s="223"/>
      <c r="L26" s="223"/>
      <c r="M26" s="223"/>
      <c r="N26" s="223"/>
    </row>
    <row r="27" spans="1:14" ht="18" x14ac:dyDescent="0.35">
      <c r="A27" s="161" t="s">
        <v>4220</v>
      </c>
      <c r="B27" s="161"/>
      <c r="C27" s="161"/>
      <c r="D27" s="161"/>
      <c r="E27" s="161"/>
      <c r="F27" s="161"/>
      <c r="G27" s="161"/>
      <c r="H27" s="161"/>
      <c r="I27" s="161"/>
      <c r="J27" s="161"/>
      <c r="K27" s="223"/>
      <c r="L27" s="223"/>
      <c r="M27" s="223"/>
      <c r="N27" s="223"/>
    </row>
    <row r="28" spans="1:14" x14ac:dyDescent="0.3">
      <c r="K28" s="223"/>
      <c r="L28" s="223"/>
      <c r="M28" s="223"/>
      <c r="N28" s="223"/>
    </row>
    <row r="29" spans="1:14" ht="15.6" x14ac:dyDescent="0.3">
      <c r="A29" s="222" t="s">
        <v>4221</v>
      </c>
      <c r="B29" s="223"/>
      <c r="C29" s="223"/>
      <c r="D29" s="223"/>
      <c r="E29" s="223"/>
      <c r="F29" s="223"/>
      <c r="G29" s="223"/>
      <c r="H29" s="223"/>
      <c r="I29" s="223"/>
      <c r="J29" s="223"/>
      <c r="K29" s="223"/>
      <c r="L29" s="223"/>
      <c r="M29" s="223"/>
      <c r="N29" s="223"/>
    </row>
    <row r="30" spans="1:14" x14ac:dyDescent="0.3">
      <c r="A30" s="223" t="s">
        <v>4222</v>
      </c>
      <c r="B30" s="223"/>
      <c r="C30" s="223"/>
      <c r="D30" s="223"/>
      <c r="E30" s="223"/>
      <c r="F30" s="223"/>
      <c r="G30" s="223"/>
      <c r="H30" s="223"/>
      <c r="I30" s="223"/>
      <c r="J30" s="223"/>
      <c r="K30" s="223"/>
      <c r="L30" s="223"/>
      <c r="M30" s="223"/>
      <c r="N30" s="223"/>
    </row>
    <row r="31" spans="1:14" x14ac:dyDescent="0.3">
      <c r="A31" s="223" t="s">
        <v>4223</v>
      </c>
      <c r="B31" s="223"/>
      <c r="C31" s="223"/>
      <c r="D31" s="223"/>
      <c r="E31" s="223"/>
      <c r="F31" s="223"/>
      <c r="G31" s="223"/>
      <c r="H31" s="223"/>
      <c r="I31" s="223"/>
      <c r="J31" s="223"/>
      <c r="K31" s="223"/>
      <c r="L31" s="223"/>
      <c r="M31" s="223"/>
      <c r="N31" s="223"/>
    </row>
    <row r="32" spans="1:14" x14ac:dyDescent="0.3">
      <c r="A32" s="223" t="s">
        <v>4224</v>
      </c>
      <c r="B32" s="223"/>
      <c r="C32" s="223"/>
      <c r="D32" s="223"/>
      <c r="E32" s="223"/>
      <c r="F32" s="223"/>
      <c r="G32" s="223"/>
      <c r="H32" s="223"/>
      <c r="I32" s="223"/>
      <c r="J32" s="223"/>
      <c r="K32" s="223"/>
      <c r="L32" s="223"/>
      <c r="M32" s="223"/>
      <c r="N32" s="223"/>
    </row>
    <row r="33" spans="1:14" x14ac:dyDescent="0.3">
      <c r="A33" s="223"/>
      <c r="B33" s="223"/>
      <c r="C33" s="223"/>
      <c r="D33" s="223"/>
      <c r="E33" s="223"/>
      <c r="F33" s="223"/>
      <c r="G33" s="223"/>
      <c r="H33" s="223"/>
      <c r="I33" s="223"/>
      <c r="J33" s="223"/>
      <c r="K33" s="223"/>
      <c r="L33" s="223"/>
      <c r="M33" s="223"/>
      <c r="N33" s="223"/>
    </row>
    <row r="34" spans="1:14" x14ac:dyDescent="0.3">
      <c r="A34" s="223" t="s">
        <v>4225</v>
      </c>
      <c r="B34" s="223"/>
      <c r="C34" s="223"/>
      <c r="D34" s="223"/>
      <c r="E34" s="223"/>
      <c r="F34" s="223"/>
      <c r="G34" s="223"/>
      <c r="H34" s="223"/>
      <c r="I34" s="223"/>
      <c r="J34" s="223"/>
      <c r="K34" s="223"/>
      <c r="L34" s="223"/>
      <c r="M34" s="223"/>
      <c r="N34" s="223"/>
    </row>
    <row r="35" spans="1:14" x14ac:dyDescent="0.3">
      <c r="A35" s="223" t="s">
        <v>4226</v>
      </c>
      <c r="B35" s="223"/>
      <c r="C35" s="223"/>
      <c r="D35" s="223"/>
      <c r="E35" s="223"/>
      <c r="F35" s="223"/>
      <c r="G35" s="223"/>
      <c r="H35" s="223"/>
      <c r="I35" s="223"/>
      <c r="J35" s="223"/>
      <c r="K35" s="223"/>
      <c r="L35" s="223"/>
      <c r="M35" s="223"/>
      <c r="N35" s="223"/>
    </row>
    <row r="36" spans="1:14" x14ac:dyDescent="0.3">
      <c r="A36" s="223" t="s">
        <v>4227</v>
      </c>
      <c r="B36" s="223"/>
      <c r="C36" s="223"/>
      <c r="D36" s="223"/>
      <c r="E36" s="223"/>
      <c r="F36" s="223"/>
      <c r="G36" s="223"/>
      <c r="H36" s="223"/>
      <c r="I36" s="223"/>
      <c r="J36" s="223"/>
      <c r="K36" s="223"/>
      <c r="L36" s="223"/>
      <c r="M36" s="223"/>
      <c r="N36" s="223"/>
    </row>
    <row r="37" spans="1:14" x14ac:dyDescent="0.3">
      <c r="A37" s="223" t="s">
        <v>4228</v>
      </c>
      <c r="B37" s="223"/>
      <c r="C37" s="223"/>
      <c r="D37" s="223"/>
      <c r="E37" s="223"/>
      <c r="F37" s="223"/>
      <c r="G37" s="223"/>
      <c r="H37" s="223"/>
      <c r="I37" s="223"/>
      <c r="J37" s="223"/>
      <c r="K37" s="223"/>
      <c r="L37" s="223"/>
      <c r="M37" s="223"/>
      <c r="N37" s="223"/>
    </row>
    <row r="38" spans="1:14" x14ac:dyDescent="0.3">
      <c r="A38" s="223" t="s">
        <v>4229</v>
      </c>
      <c r="B38" s="223"/>
      <c r="C38" s="223"/>
      <c r="D38" s="223"/>
      <c r="E38" s="223"/>
      <c r="F38" s="223"/>
      <c r="G38" s="223"/>
      <c r="H38" s="223"/>
      <c r="I38" s="223"/>
      <c r="J38" s="223"/>
      <c r="K38" s="223"/>
      <c r="L38" s="223"/>
      <c r="M38" s="223"/>
      <c r="N38" s="223"/>
    </row>
    <row r="39" spans="1:14" x14ac:dyDescent="0.3">
      <c r="A39" s="223"/>
      <c r="B39" s="223"/>
      <c r="C39" s="223"/>
      <c r="D39" s="223"/>
      <c r="E39" s="223"/>
      <c r="F39" s="223"/>
      <c r="G39" s="223"/>
      <c r="H39" s="223"/>
      <c r="I39" s="223"/>
      <c r="J39" s="223"/>
      <c r="K39" s="223"/>
      <c r="L39" s="223"/>
      <c r="M39" s="223"/>
      <c r="N39" s="223"/>
    </row>
    <row r="40" spans="1:14" ht="15.6" x14ac:dyDescent="0.3">
      <c r="A40" s="222" t="s">
        <v>4230</v>
      </c>
      <c r="B40" s="223"/>
      <c r="C40" s="223"/>
      <c r="D40" s="223"/>
      <c r="E40" s="223"/>
      <c r="F40" s="223"/>
      <c r="G40" s="223"/>
      <c r="H40" s="223"/>
      <c r="I40" s="223"/>
      <c r="J40" s="223"/>
      <c r="K40" s="223"/>
      <c r="L40" s="223"/>
      <c r="M40" s="223"/>
      <c r="N40" s="223"/>
    </row>
    <row r="41" spans="1:14" x14ac:dyDescent="0.3">
      <c r="A41" s="223"/>
      <c r="B41" s="223"/>
      <c r="C41" s="223"/>
      <c r="D41" s="223"/>
      <c r="E41" s="223"/>
      <c r="F41" s="223"/>
      <c r="G41" s="223"/>
      <c r="H41" s="223"/>
      <c r="I41" s="223"/>
      <c r="J41" s="223"/>
      <c r="K41" s="223"/>
      <c r="L41" s="223"/>
      <c r="M41" s="223"/>
      <c r="N41" s="223"/>
    </row>
    <row r="42" spans="1:14" x14ac:dyDescent="0.3">
      <c r="A42" s="224" t="s">
        <v>2700</v>
      </c>
      <c r="B42" s="224" t="s">
        <v>4231</v>
      </c>
      <c r="C42" s="224" t="s">
        <v>4232</v>
      </c>
      <c r="D42" s="223"/>
      <c r="E42" s="223"/>
      <c r="F42" s="223"/>
      <c r="G42" s="223"/>
      <c r="H42" s="223"/>
      <c r="I42" s="223"/>
      <c r="J42" s="223"/>
      <c r="K42" s="223"/>
      <c r="L42" s="223"/>
      <c r="M42" s="223"/>
      <c r="N42" s="223"/>
    </row>
    <row r="43" spans="1:14" x14ac:dyDescent="0.3">
      <c r="A43" s="223" t="s">
        <v>1113</v>
      </c>
      <c r="B43" s="223" t="s">
        <v>4233</v>
      </c>
      <c r="C43" s="223" t="s">
        <v>4234</v>
      </c>
      <c r="D43" s="223"/>
      <c r="E43" s="223"/>
      <c r="F43" s="223"/>
      <c r="G43" s="223"/>
      <c r="H43" s="223"/>
      <c r="I43" s="223"/>
      <c r="J43" s="223"/>
      <c r="K43" s="223"/>
      <c r="L43" s="223"/>
      <c r="M43" s="223"/>
      <c r="N43" s="223"/>
    </row>
    <row r="44" spans="1:14" x14ac:dyDescent="0.3">
      <c r="A44" s="223" t="s">
        <v>2289</v>
      </c>
      <c r="B44" s="223" t="s">
        <v>4235</v>
      </c>
      <c r="C44" s="223" t="s">
        <v>4236</v>
      </c>
      <c r="D44" s="223"/>
      <c r="E44" s="223"/>
      <c r="F44" s="223"/>
      <c r="G44" s="223"/>
      <c r="H44" s="223"/>
      <c r="I44" s="223"/>
      <c r="J44" s="223"/>
      <c r="K44" s="223"/>
      <c r="L44" s="223"/>
      <c r="M44" s="223"/>
      <c r="N44" s="223"/>
    </row>
    <row r="45" spans="1:14" x14ac:dyDescent="0.3">
      <c r="A45" s="223" t="s">
        <v>2283</v>
      </c>
      <c r="B45" s="223" t="s">
        <v>4237</v>
      </c>
      <c r="C45" s="223" t="s">
        <v>4238</v>
      </c>
      <c r="D45" s="223"/>
      <c r="E45" s="223"/>
      <c r="F45" s="223"/>
      <c r="G45" s="223"/>
      <c r="H45" s="223"/>
      <c r="I45" s="223"/>
      <c r="J45" s="223"/>
      <c r="K45" s="223"/>
      <c r="L45" s="223"/>
      <c r="M45" s="223"/>
      <c r="N45" s="223"/>
    </row>
    <row r="46" spans="1:14" x14ac:dyDescent="0.3">
      <c r="A46" s="223" t="s">
        <v>2296</v>
      </c>
      <c r="B46" s="223" t="s">
        <v>4239</v>
      </c>
      <c r="C46" s="223" t="s">
        <v>4240</v>
      </c>
      <c r="D46" s="223"/>
      <c r="E46" s="223"/>
      <c r="F46" s="223"/>
      <c r="G46" s="223"/>
      <c r="H46" s="223"/>
      <c r="I46" s="223"/>
      <c r="J46" s="223"/>
      <c r="K46" s="223"/>
      <c r="L46" s="223"/>
      <c r="M46" s="223"/>
      <c r="N46" s="223"/>
    </row>
    <row r="47" spans="1:14" x14ac:dyDescent="0.3">
      <c r="A47" s="223" t="s">
        <v>514</v>
      </c>
      <c r="B47" s="223" t="s">
        <v>4241</v>
      </c>
      <c r="C47" s="223" t="s">
        <v>4242</v>
      </c>
      <c r="D47" s="223"/>
      <c r="E47" s="223"/>
      <c r="F47" s="223"/>
      <c r="G47" s="223"/>
      <c r="H47" s="223"/>
      <c r="I47" s="223"/>
      <c r="J47" s="223"/>
      <c r="K47" s="223"/>
      <c r="L47" s="223"/>
      <c r="M47" s="223"/>
      <c r="N47" s="223"/>
    </row>
    <row r="48" spans="1:14" x14ac:dyDescent="0.3">
      <c r="A48" s="223" t="s">
        <v>12</v>
      </c>
      <c r="B48" s="223" t="s">
        <v>4243</v>
      </c>
      <c r="C48" s="223" t="s">
        <v>4244</v>
      </c>
      <c r="D48" s="223"/>
      <c r="E48" s="223"/>
      <c r="F48" s="223"/>
      <c r="G48" s="223"/>
      <c r="H48" s="223"/>
      <c r="I48" s="223"/>
      <c r="J48" s="223"/>
      <c r="K48" s="223"/>
      <c r="L48" s="223"/>
      <c r="M48" s="223"/>
      <c r="N48" s="223"/>
    </row>
    <row r="49" spans="1:14" x14ac:dyDescent="0.3">
      <c r="A49" s="223"/>
      <c r="B49" s="223"/>
      <c r="C49" s="223"/>
      <c r="D49" s="223"/>
      <c r="E49" s="223"/>
      <c r="F49" s="223"/>
      <c r="G49" s="223"/>
      <c r="H49" s="223"/>
      <c r="I49" s="223"/>
      <c r="J49" s="223"/>
      <c r="K49" s="223"/>
      <c r="L49" s="223"/>
      <c r="M49" s="223"/>
      <c r="N49" s="223"/>
    </row>
    <row r="50" spans="1:14" ht="15.6" x14ac:dyDescent="0.3">
      <c r="A50" s="222" t="s">
        <v>4219</v>
      </c>
      <c r="B50" s="223"/>
      <c r="C50" s="223"/>
      <c r="D50" s="223"/>
      <c r="E50" s="223"/>
      <c r="F50" s="223"/>
      <c r="G50" s="223"/>
      <c r="H50" s="223"/>
      <c r="I50" s="223"/>
      <c r="J50" s="223"/>
      <c r="K50" s="223"/>
      <c r="L50" s="223"/>
      <c r="M50" s="223"/>
      <c r="N50" s="223"/>
    </row>
    <row r="51" spans="1:14" x14ac:dyDescent="0.3">
      <c r="A51" s="223"/>
      <c r="B51" s="223"/>
      <c r="C51" s="223"/>
      <c r="D51" s="223"/>
      <c r="E51" s="223"/>
      <c r="F51" s="223"/>
      <c r="G51" s="223"/>
      <c r="H51" s="223"/>
      <c r="I51" s="223"/>
      <c r="J51" s="223"/>
      <c r="K51" s="223"/>
      <c r="L51" s="223"/>
      <c r="M51" s="223"/>
      <c r="N51" s="223"/>
    </row>
    <row r="52" spans="1:14" x14ac:dyDescent="0.3">
      <c r="A52" s="223" t="s">
        <v>4245</v>
      </c>
      <c r="B52" s="223"/>
      <c r="C52" s="223"/>
      <c r="D52" s="223"/>
      <c r="E52" s="223"/>
      <c r="F52" s="223"/>
      <c r="G52" s="223"/>
      <c r="H52" s="223"/>
      <c r="I52" s="223"/>
      <c r="J52" s="223"/>
      <c r="K52" s="223"/>
      <c r="L52" s="223"/>
      <c r="M52" s="223"/>
      <c r="N52" s="223"/>
    </row>
    <row r="53" spans="1:14" x14ac:dyDescent="0.3">
      <c r="A53" s="223" t="s">
        <v>4246</v>
      </c>
      <c r="B53" s="223"/>
      <c r="C53" s="223"/>
      <c r="D53" s="223"/>
      <c r="E53" s="223"/>
      <c r="F53" s="223"/>
      <c r="G53" s="223"/>
      <c r="H53" s="223"/>
      <c r="I53" s="223"/>
      <c r="J53" s="223"/>
      <c r="K53" s="223"/>
      <c r="L53" s="223"/>
      <c r="M53" s="223"/>
      <c r="N53" s="223"/>
    </row>
    <row r="54" spans="1:14" x14ac:dyDescent="0.3">
      <c r="A54" s="223" t="s">
        <v>4247</v>
      </c>
      <c r="B54" s="223"/>
      <c r="C54" s="223"/>
      <c r="D54" s="223"/>
      <c r="E54" s="223"/>
      <c r="F54" s="223"/>
      <c r="G54" s="223"/>
      <c r="H54" s="223"/>
      <c r="I54" s="223"/>
      <c r="J54" s="223"/>
      <c r="K54" s="223"/>
      <c r="L54" s="223"/>
      <c r="M54" s="223"/>
      <c r="N54" s="223"/>
    </row>
    <row r="55" spans="1:14" x14ac:dyDescent="0.3">
      <c r="A55" s="223" t="s">
        <v>4248</v>
      </c>
      <c r="B55" s="223"/>
      <c r="C55" s="223"/>
      <c r="D55" s="223"/>
      <c r="E55" s="223"/>
      <c r="F55" s="223"/>
      <c r="G55" s="223"/>
      <c r="H55" s="223"/>
      <c r="I55" s="223"/>
      <c r="J55" s="223"/>
      <c r="K55" s="223"/>
      <c r="L55" s="223"/>
      <c r="M55" s="223"/>
      <c r="N55" s="223"/>
    </row>
    <row r="56" spans="1:14" x14ac:dyDescent="0.3">
      <c r="A56" s="223"/>
      <c r="B56" s="223"/>
      <c r="C56" s="223"/>
      <c r="D56" s="223"/>
      <c r="E56" s="223"/>
      <c r="F56" s="223"/>
      <c r="G56" s="223"/>
      <c r="H56" s="223"/>
      <c r="I56" s="223"/>
      <c r="J56" s="223"/>
      <c r="K56" s="223"/>
      <c r="L56" s="223"/>
      <c r="M56" s="223"/>
      <c r="N56" s="223"/>
    </row>
    <row r="57" spans="1:14" x14ac:dyDescent="0.3">
      <c r="A57" s="223" t="s">
        <v>4249</v>
      </c>
      <c r="B57" s="223"/>
      <c r="C57" s="223"/>
      <c r="D57" s="223"/>
      <c r="E57" s="223"/>
      <c r="F57" s="223"/>
      <c r="G57" s="223"/>
      <c r="H57" s="223"/>
      <c r="I57" s="223"/>
      <c r="J57" s="223"/>
      <c r="K57" s="223"/>
      <c r="L57" s="223"/>
      <c r="M57" s="223"/>
      <c r="N57" s="223"/>
    </row>
    <row r="58" spans="1:14" x14ac:dyDescent="0.3">
      <c r="A58" s="223" t="s">
        <v>4250</v>
      </c>
      <c r="B58" s="223"/>
      <c r="C58" s="223"/>
      <c r="D58" s="223"/>
      <c r="E58" s="223"/>
      <c r="F58" s="223"/>
      <c r="G58" s="223"/>
      <c r="H58" s="223"/>
      <c r="I58" s="223"/>
      <c r="J58" s="223"/>
      <c r="K58" s="223"/>
      <c r="L58" s="223"/>
      <c r="M58" s="223"/>
      <c r="N58" s="223"/>
    </row>
    <row r="59" spans="1:14" x14ac:dyDescent="0.3">
      <c r="A59" s="223" t="s">
        <v>4251</v>
      </c>
      <c r="B59" s="223"/>
      <c r="C59" s="223"/>
      <c r="D59" s="223"/>
      <c r="E59" s="223"/>
      <c r="F59" s="223"/>
      <c r="G59" s="223"/>
      <c r="H59" s="223"/>
      <c r="I59" s="223"/>
      <c r="J59" s="223"/>
      <c r="K59" s="223"/>
      <c r="L59" s="223"/>
      <c r="M59" s="223"/>
      <c r="N59" s="223"/>
    </row>
    <row r="60" spans="1:14" x14ac:dyDescent="0.3">
      <c r="A60" s="223" t="s">
        <v>4252</v>
      </c>
      <c r="B60" s="223"/>
      <c r="C60" s="223"/>
      <c r="D60" s="223"/>
      <c r="E60" s="223"/>
      <c r="F60" s="223"/>
      <c r="G60" s="223"/>
      <c r="H60" s="223"/>
      <c r="I60" s="223"/>
      <c r="J60" s="223"/>
      <c r="K60" s="223"/>
      <c r="L60" s="223"/>
      <c r="M60" s="223"/>
      <c r="N60" s="223"/>
    </row>
    <row r="61" spans="1:14" x14ac:dyDescent="0.3">
      <c r="A61" s="223"/>
      <c r="B61" s="223"/>
      <c r="C61" s="223"/>
      <c r="D61" s="223"/>
      <c r="E61" s="223"/>
      <c r="F61" s="223"/>
      <c r="G61" s="223"/>
      <c r="H61" s="223"/>
      <c r="I61" s="223"/>
      <c r="J61" s="223"/>
      <c r="K61" s="223"/>
      <c r="L61" s="223"/>
      <c r="M61" s="223"/>
      <c r="N61" s="223"/>
    </row>
    <row r="62" spans="1:14" x14ac:dyDescent="0.3">
      <c r="A62" s="223" t="s">
        <v>4253</v>
      </c>
      <c r="B62" s="223"/>
      <c r="C62" s="223"/>
      <c r="D62" s="223"/>
      <c r="E62" s="223"/>
      <c r="F62" s="223"/>
      <c r="G62" s="223"/>
      <c r="H62" s="223"/>
      <c r="I62" s="223"/>
      <c r="J62" s="223"/>
      <c r="K62" s="223"/>
      <c r="L62" s="223"/>
      <c r="M62" s="223"/>
      <c r="N62" s="223"/>
    </row>
    <row r="63" spans="1:14" x14ac:dyDescent="0.3">
      <c r="A63" s="223" t="s">
        <v>4254</v>
      </c>
      <c r="B63" s="223"/>
      <c r="C63" s="223"/>
      <c r="D63" s="223"/>
      <c r="E63" s="223"/>
      <c r="F63" s="223"/>
      <c r="G63" s="223"/>
      <c r="H63" s="223"/>
      <c r="I63" s="223"/>
      <c r="J63" s="223"/>
    </row>
    <row r="64" spans="1:14" x14ac:dyDescent="0.3">
      <c r="A64" s="223" t="s">
        <v>4255</v>
      </c>
      <c r="B64" s="223"/>
      <c r="C64" s="223"/>
      <c r="D64" s="223"/>
      <c r="E64" s="223"/>
      <c r="F64" s="223"/>
      <c r="G64" s="223"/>
      <c r="H64" s="223"/>
      <c r="I64" s="223"/>
      <c r="J64" s="223"/>
    </row>
    <row r="65" spans="1:10" x14ac:dyDescent="0.3">
      <c r="A65" s="223" t="s">
        <v>4256</v>
      </c>
      <c r="B65" s="223"/>
      <c r="C65" s="223"/>
      <c r="D65" s="223"/>
      <c r="E65" s="223"/>
      <c r="F65" s="223"/>
      <c r="G65" s="223"/>
      <c r="H65" s="223"/>
      <c r="I65" s="223"/>
      <c r="J65" s="223"/>
    </row>
    <row r="66" spans="1:10" x14ac:dyDescent="0.3">
      <c r="A66" s="223"/>
      <c r="B66" s="223"/>
      <c r="C66" s="223"/>
      <c r="D66" s="223"/>
      <c r="E66" s="223"/>
      <c r="F66" s="223"/>
      <c r="G66" s="223"/>
      <c r="H66" s="223"/>
      <c r="I66" s="223"/>
      <c r="J66" s="223"/>
    </row>
    <row r="67" spans="1:10" x14ac:dyDescent="0.3">
      <c r="A67" s="225" t="s">
        <v>4257</v>
      </c>
      <c r="B67" s="223"/>
      <c r="C67" s="223"/>
      <c r="D67" s="223"/>
      <c r="E67" s="223"/>
      <c r="F67" s="223"/>
      <c r="G67" s="223"/>
      <c r="H67" s="223"/>
      <c r="I67" s="223"/>
      <c r="J67" s="223"/>
    </row>
    <row r="68" spans="1:10" x14ac:dyDescent="0.3">
      <c r="A68" s="223"/>
      <c r="B68" s="223"/>
      <c r="C68" s="223"/>
      <c r="D68" s="223"/>
      <c r="E68" s="223"/>
      <c r="F68" s="223"/>
      <c r="G68" s="223"/>
      <c r="H68" s="223"/>
      <c r="I68" s="223"/>
      <c r="J68" s="223"/>
    </row>
    <row r="69" spans="1:10" x14ac:dyDescent="0.3">
      <c r="A69" s="223" t="s">
        <v>4258</v>
      </c>
      <c r="B69" s="223"/>
      <c r="C69" s="223"/>
      <c r="D69" s="223"/>
      <c r="E69" s="223"/>
      <c r="F69" s="223"/>
      <c r="G69" s="223"/>
      <c r="H69" s="223"/>
      <c r="I69" s="223"/>
      <c r="J69" s="223"/>
    </row>
    <row r="70" spans="1:10" x14ac:dyDescent="0.3">
      <c r="A70" s="223" t="s">
        <v>4259</v>
      </c>
      <c r="B70" s="223"/>
      <c r="C70" s="223"/>
      <c r="D70" s="223"/>
      <c r="E70" s="223"/>
      <c r="F70" s="223"/>
      <c r="G70" s="223"/>
      <c r="H70" s="223"/>
      <c r="I70" s="223"/>
      <c r="J70" s="223"/>
    </row>
    <row r="71" spans="1:10" x14ac:dyDescent="0.3">
      <c r="A71" s="223" t="s">
        <v>4260</v>
      </c>
      <c r="B71" s="223"/>
      <c r="C71" s="223"/>
      <c r="D71" s="223"/>
      <c r="E71" s="223"/>
      <c r="F71" s="223"/>
      <c r="G71" s="223"/>
      <c r="H71" s="223"/>
      <c r="I71" s="223"/>
      <c r="J71" s="223"/>
    </row>
    <row r="72" spans="1:10" x14ac:dyDescent="0.3">
      <c r="A72" s="223" t="s">
        <v>4261</v>
      </c>
      <c r="B72" s="223"/>
      <c r="C72" s="223"/>
      <c r="D72" s="223"/>
      <c r="E72" s="223"/>
      <c r="F72" s="223"/>
      <c r="G72" s="223"/>
      <c r="H72" s="223"/>
      <c r="I72" s="223"/>
      <c r="J72" s="223"/>
    </row>
    <row r="73" spans="1:10" x14ac:dyDescent="0.3">
      <c r="A73" s="223" t="s">
        <v>4262</v>
      </c>
      <c r="B73" s="223"/>
      <c r="C73" s="223"/>
      <c r="D73" s="223"/>
      <c r="E73" s="223"/>
      <c r="F73" s="223"/>
      <c r="G73" s="223"/>
      <c r="H73" s="223"/>
      <c r="I73" s="223"/>
      <c r="J73" s="223"/>
    </row>
    <row r="74" spans="1:10" x14ac:dyDescent="0.3">
      <c r="A74" s="223" t="s">
        <v>4263</v>
      </c>
      <c r="B74" s="223"/>
      <c r="C74" s="223"/>
      <c r="D74" s="223"/>
      <c r="E74" s="223"/>
      <c r="F74" s="223"/>
      <c r="G74" s="223"/>
      <c r="H74" s="223"/>
      <c r="I74" s="223"/>
      <c r="J74" s="223"/>
    </row>
  </sheetData>
  <mergeCells count="3">
    <mergeCell ref="A1:K1"/>
    <mergeCell ref="A2:K2"/>
    <mergeCell ref="A15:J15"/>
  </mergeCells>
  <conditionalFormatting sqref="A27 A28:J62">
    <cfRule type="expression" dxfId="21" priority="166">
      <formula>OR(AND($C$3&lt;&gt;"All",$D27&lt;&gt;$C$3),AND($E$3&lt;&gt;"All",$E27&lt;&gt;$E$3),AND($G$3&lt;&gt;"All",$F27&lt;&gt;$G$3),AND($I$3&lt;&gt;"All",$I27&lt;&gt;$I$3),AND($K$3&lt;&gt;"All",$M15&lt;&gt;$K$3))</formula>
    </cfRule>
  </conditionalFormatting>
  <conditionalFormatting sqref="A16:J16">
    <cfRule type="expression" dxfId="20" priority="56">
      <formula>OR(AND($C$3&lt;&gt;"All",$D16&lt;&gt;$C$3),AND($E$3&lt;&gt;"All",$E16&lt;&gt;$E$3),AND($G$3&lt;&gt;"All",$F16&lt;&gt;$G$3),AND($I$3&lt;&gt;"All",$I16&lt;&gt;$I$3),AND($K$3&lt;&gt;"All",$M15&lt;&gt;$K$3))</formula>
    </cfRule>
  </conditionalFormatting>
  <conditionalFormatting sqref="A17:J17">
    <cfRule type="expression" dxfId="19" priority="61">
      <formula>OR(AND($C$3&lt;&gt;"All",$D17&lt;&gt;$C$3),AND($E$3&lt;&gt;"All",$E17&lt;&gt;$E$3),AND($G$3&lt;&gt;"All",$F17&lt;&gt;$G$3),AND($I$3&lt;&gt;"All",$I17&lt;&gt;$I$3),AND($K$3&lt;&gt;"All",$M15&lt;&gt;$K$3))</formula>
    </cfRule>
  </conditionalFormatting>
  <conditionalFormatting sqref="A18:J18">
    <cfRule type="expression" dxfId="18" priority="67">
      <formula>OR(AND($C$3&lt;&gt;"All",$D18&lt;&gt;$C$3),AND($E$3&lt;&gt;"All",$E18&lt;&gt;$E$3),AND($G$3&lt;&gt;"All",$F18&lt;&gt;$G$3),AND($I$3&lt;&gt;"All",$I18&lt;&gt;$I$3),AND($K$3&lt;&gt;"All",$M15&lt;&gt;$K$3))</formula>
    </cfRule>
  </conditionalFormatting>
  <conditionalFormatting sqref="A19:J19">
    <cfRule type="expression" dxfId="17" priority="74">
      <formula>OR(AND($C$3&lt;&gt;"All",$D19&lt;&gt;$C$3),AND($E$3&lt;&gt;"All",$E19&lt;&gt;$E$3),AND($G$3&lt;&gt;"All",$F19&lt;&gt;$G$3),AND($I$3&lt;&gt;"All",$I19&lt;&gt;$I$3),AND($K$3&lt;&gt;"All",$M15&lt;&gt;$K$3))</formula>
    </cfRule>
  </conditionalFormatting>
  <conditionalFormatting sqref="A20:J20">
    <cfRule type="expression" dxfId="16" priority="82">
      <formula>OR(AND($C$3&lt;&gt;"All",$D20&lt;&gt;$C$3),AND($E$3&lt;&gt;"All",$E20&lt;&gt;$E$3),AND($G$3&lt;&gt;"All",$F20&lt;&gt;$G$3),AND($I$3&lt;&gt;"All",$I20&lt;&gt;$I$3),AND($K$3&lt;&gt;"All",$M15&lt;&gt;$K$3))</formula>
    </cfRule>
  </conditionalFormatting>
  <conditionalFormatting sqref="A21:J21">
    <cfRule type="expression" dxfId="15" priority="91">
      <formula>OR(AND($C$3&lt;&gt;"All",$D21&lt;&gt;$C$3),AND($E$3&lt;&gt;"All",$E21&lt;&gt;$E$3),AND($G$3&lt;&gt;"All",$F21&lt;&gt;$G$3),AND($I$3&lt;&gt;"All",$I21&lt;&gt;$I$3),AND($K$3&lt;&gt;"All",$M15&lt;&gt;$K$3))</formula>
    </cfRule>
  </conditionalFormatting>
  <conditionalFormatting sqref="A22:J22">
    <cfRule type="expression" dxfId="14" priority="101">
      <formula>OR(AND($C$3&lt;&gt;"All",$D22&lt;&gt;$C$3),AND($E$3&lt;&gt;"All",$E22&lt;&gt;$E$3),AND($G$3&lt;&gt;"All",$F22&lt;&gt;$G$3),AND($I$3&lt;&gt;"All",$I22&lt;&gt;$I$3),AND($K$3&lt;&gt;"All",$M15&lt;&gt;$K$3))</formula>
    </cfRule>
  </conditionalFormatting>
  <conditionalFormatting sqref="A23:J23">
    <cfRule type="expression" dxfId="13" priority="112">
      <formula>OR(AND($C$3&lt;&gt;"All",$D23&lt;&gt;$C$3),AND($E$3&lt;&gt;"All",$E23&lt;&gt;$E$3),AND($G$3&lt;&gt;"All",$F23&lt;&gt;$G$3),AND($I$3&lt;&gt;"All",$I23&lt;&gt;$I$3),AND($K$3&lt;&gt;"All",$M15&lt;&gt;$K$3))</formula>
    </cfRule>
  </conditionalFormatting>
  <conditionalFormatting sqref="A24:J24">
    <cfRule type="expression" dxfId="12" priority="124">
      <formula>OR(AND($C$3&lt;&gt;"All",$D24&lt;&gt;$C$3),AND($E$3&lt;&gt;"All",$E24&lt;&gt;$E$3),AND($G$3&lt;&gt;"All",$F24&lt;&gt;$G$3),AND($I$3&lt;&gt;"All",$I24&lt;&gt;$I$3),AND($K$3&lt;&gt;"All",$M15&lt;&gt;$K$3))</formula>
    </cfRule>
  </conditionalFormatting>
  <conditionalFormatting sqref="A25:J25">
    <cfRule type="expression" dxfId="11" priority="137">
      <formula>OR(AND($C$3&lt;&gt;"All",$D25&lt;&gt;$C$3),AND($E$3&lt;&gt;"All",$E25&lt;&gt;$E$3),AND($G$3&lt;&gt;"All",$F25&lt;&gt;$G$3),AND($I$3&lt;&gt;"All",$I25&lt;&gt;$I$3),AND($K$3&lt;&gt;"All",$M15&lt;&gt;$K$3))</formula>
    </cfRule>
  </conditionalFormatting>
  <conditionalFormatting sqref="A26:J26">
    <cfRule type="expression" dxfId="10" priority="151">
      <formula>OR(AND($C$3&lt;&gt;"All",$D26&lt;&gt;$C$3),AND($E$3&lt;&gt;"All",$E26&lt;&gt;$E$3),AND($G$3&lt;&gt;"All",$F26&lt;&gt;$G$3),AND($I$3&lt;&gt;"All",$I26&lt;&gt;$I$3),AND($K$3&lt;&gt;"All",$M15&lt;&gt;$K$3))</formula>
    </cfRule>
  </conditionalFormatting>
  <conditionalFormatting sqref="A5:O14 A15">
    <cfRule type="expression" dxfId="9" priority="1">
      <formula>OR(AND($C$3&lt;&gt;"All",$D5&lt;&gt;$C$3),AND($E$3&lt;&gt;"All",$E5&lt;&gt;$E$3),AND($G$3&lt;&gt;"All",$F5&lt;&gt;$G$3),AND($I$3&lt;&gt;"All",$I5&lt;&gt;$I$3),AND($K$3&lt;&gt;"All",$M5&lt;&gt;$K$3))</formula>
    </cfRule>
  </conditionalFormatting>
  <conditionalFormatting sqref="O15 K16:O50">
    <cfRule type="expression" dxfId="8" priority="164">
      <formula>OR(AND($C$3&lt;&gt;"All",$D27&lt;&gt;$C$3),AND($E$3&lt;&gt;"All",$E27&lt;&gt;$E$3),AND($G$3&lt;&gt;"All",$F27&lt;&gt;$G$3),AND($I$3&lt;&gt;"All",$I27&lt;&gt;$I$3),AND($K$3&lt;&gt;"All",$M15&lt;&gt;$K$3))</formula>
    </cfRule>
  </conditionalFormatting>
  <dataValidations count="5">
    <dataValidation type="list" allowBlank="1" showInputMessage="1" showErrorMessage="1" sqref="C3" xr:uid="{3B5434CA-C7B4-412E-B0ED-C0E1641B0DAD}">
      <formula1>_xlfn._LONGTEXT("All,SAP S/4HANA Finance (FICO),Anaplan,Oracle Hyperion HFM,Kyriba,Coupa,Zuora,RevPro,Blue Yonder WMS,Manhattan Associates,SAP EWM,Kinaxis,Salesforce Sales Cloud,Zendesk,HubSpot CRM,AVEVA MES,Siemens Opcenter,Rockwell FactoryTalk,Plex,Datadog,ServiceNow IT","SM,Splunk,Jira,SAP SuccessFactors,Workday HCM,UKG Pro,Cornerstone OnDemand,DocuSign CLM,Mitratech,Thomson Reuters,Ironclad,Okta,CyberArk,CrowdStrike Falcon,Sailpoint")</formula1>
    </dataValidation>
    <dataValidation type="list" allowBlank="1" showInputMessage="1" showErrorMessage="1" sqref="E3" xr:uid="{9736279B-B048-48FD-BCC3-EB04A93B03AE}">
      <formula1>"All,Dev,Test,UAT,Pre-prod,Prod,DR"</formula1>
    </dataValidation>
    <dataValidation type="list" allowBlank="1" showInputMessage="1" showErrorMessage="1" sqref="G3" xr:uid="{29308789-CC27-4CD7-9F26-C01830A0AB49}">
      <formula1>"All,Infrastructure,Configuration,Data,Code,Security"</formula1>
    </dataValidation>
    <dataValidation type="list" allowBlank="1" showInputMessage="1" showErrorMessage="1" sqref="I3" xr:uid="{5A33E6D2-1CCD-4C5D-93E2-C7F9A3588E7D}">
      <formula1>"All,Critical,High,Medium,Low"</formula1>
    </dataValidation>
    <dataValidation type="list" allowBlank="1" showInputMessage="1" showErrorMessage="1" sqref="K3" xr:uid="{D3A09BDB-31DE-4FE4-9585-7F39F7286727}">
      <formula1>"All,Open,In Progress,Resolved,Accepted"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C78D0-DCB7-406E-9614-C6300F5E4079}">
  <sheetPr>
    <tabColor theme="5"/>
  </sheetPr>
  <dimension ref="A1:K95"/>
  <sheetViews>
    <sheetView workbookViewId="0">
      <selection activeCell="H16" sqref="H16"/>
    </sheetView>
  </sheetViews>
  <sheetFormatPr defaultRowHeight="14.4" x14ac:dyDescent="0.3"/>
  <cols>
    <col min="1" max="1" width="13" customWidth="1"/>
    <col min="2" max="2" width="20.33203125" customWidth="1"/>
    <col min="3" max="3" width="33.33203125" customWidth="1"/>
    <col min="4" max="4" width="22.21875" customWidth="1"/>
    <col min="5" max="5" width="33.33203125" customWidth="1"/>
    <col min="6" max="6" width="18.5546875" customWidth="1"/>
    <col min="7" max="7" width="14.77734375" customWidth="1"/>
    <col min="8" max="8" width="22.21875" customWidth="1"/>
    <col min="9" max="9" width="37" customWidth="1"/>
  </cols>
  <sheetData>
    <row r="1" spans="1:10" ht="21" x14ac:dyDescent="0.4">
      <c r="A1" s="393" t="s">
        <v>2580</v>
      </c>
      <c r="B1" s="368"/>
      <c r="C1" s="368"/>
      <c r="D1" s="368"/>
      <c r="E1" s="368"/>
      <c r="F1" s="368"/>
      <c r="G1" s="368"/>
      <c r="H1" s="368"/>
      <c r="I1" s="368"/>
    </row>
    <row r="2" spans="1:10" ht="56.4" customHeight="1" x14ac:dyDescent="0.3">
      <c r="A2" s="2" t="s">
        <v>4173</v>
      </c>
      <c r="B2" s="1" t="s">
        <v>4211</v>
      </c>
      <c r="C2" s="220" t="s">
        <v>4096</v>
      </c>
      <c r="D2" s="1" t="s">
        <v>4198</v>
      </c>
      <c r="E2" s="220" t="s">
        <v>4096</v>
      </c>
      <c r="F2" s="1" t="s">
        <v>4212</v>
      </c>
      <c r="G2" s="220" t="s">
        <v>4096</v>
      </c>
      <c r="H2" s="1" t="s">
        <v>4201</v>
      </c>
      <c r="I2" t="str" cm="1">
        <f t="array" ref="I2">SUMPRODUCT((A4:A95&lt;&gt;"")*IF(C2="All",1,F4:F95=C2)*IF(E2="All",1,G4:G95=E2)*IF(G2="All",1,H4:H95=G2))&amp;" of "&amp;COUNTA(A4:A95)&amp;" dependencies"</f>
        <v>73 of 73 dependencies</v>
      </c>
      <c r="J2" s="221" t="s">
        <v>4213</v>
      </c>
    </row>
    <row r="3" spans="1:10" x14ac:dyDescent="0.3">
      <c r="A3" s="61" t="s">
        <v>2581</v>
      </c>
      <c r="B3" s="61" t="s">
        <v>103</v>
      </c>
      <c r="C3" s="61" t="s">
        <v>104</v>
      </c>
      <c r="D3" s="61" t="s">
        <v>2582</v>
      </c>
      <c r="E3" s="61" t="s">
        <v>2583</v>
      </c>
      <c r="F3" s="61" t="s">
        <v>2584</v>
      </c>
      <c r="G3" s="61" t="s">
        <v>112</v>
      </c>
      <c r="H3" s="61" t="s">
        <v>2585</v>
      </c>
      <c r="I3" s="61" t="s">
        <v>114</v>
      </c>
    </row>
    <row r="4" spans="1:10" x14ac:dyDescent="0.3">
      <c r="A4" t="s">
        <v>2586</v>
      </c>
      <c r="B4" t="s">
        <v>157</v>
      </c>
      <c r="C4" t="s">
        <v>158</v>
      </c>
      <c r="D4" t="s">
        <v>150</v>
      </c>
      <c r="E4" t="s">
        <v>151</v>
      </c>
      <c r="F4" t="s">
        <v>2587</v>
      </c>
      <c r="G4" t="s">
        <v>2588</v>
      </c>
      <c r="H4" t="s">
        <v>2589</v>
      </c>
      <c r="I4" t="s">
        <v>2590</v>
      </c>
    </row>
    <row r="5" spans="1:10" x14ac:dyDescent="0.3">
      <c r="A5" t="s">
        <v>2591</v>
      </c>
      <c r="B5" t="s">
        <v>171</v>
      </c>
      <c r="C5" t="s">
        <v>172</v>
      </c>
      <c r="D5" t="s">
        <v>169</v>
      </c>
      <c r="E5" t="s">
        <v>170</v>
      </c>
      <c r="F5" t="s">
        <v>2592</v>
      </c>
      <c r="G5" t="s">
        <v>2577</v>
      </c>
      <c r="H5" t="s">
        <v>2593</v>
      </c>
      <c r="I5" t="s">
        <v>2594</v>
      </c>
    </row>
    <row r="6" spans="1:10" x14ac:dyDescent="0.3">
      <c r="A6" t="s">
        <v>2595</v>
      </c>
      <c r="B6" t="s">
        <v>183</v>
      </c>
      <c r="C6" t="s">
        <v>184</v>
      </c>
      <c r="D6" t="s">
        <v>175</v>
      </c>
      <c r="E6" t="s">
        <v>176</v>
      </c>
      <c r="F6" t="s">
        <v>2349</v>
      </c>
      <c r="G6" t="s">
        <v>2551</v>
      </c>
      <c r="H6" t="s">
        <v>2596</v>
      </c>
      <c r="I6" t="s">
        <v>2597</v>
      </c>
    </row>
    <row r="7" spans="1:10" x14ac:dyDescent="0.3">
      <c r="A7" t="s">
        <v>2598</v>
      </c>
      <c r="B7" t="s">
        <v>183</v>
      </c>
      <c r="C7" t="s">
        <v>184</v>
      </c>
      <c r="D7" t="s">
        <v>169</v>
      </c>
      <c r="E7" t="s">
        <v>170</v>
      </c>
      <c r="F7" t="s">
        <v>2296</v>
      </c>
      <c r="G7" t="s">
        <v>2599</v>
      </c>
      <c r="H7" t="s">
        <v>2600</v>
      </c>
      <c r="I7" t="s">
        <v>2601</v>
      </c>
    </row>
    <row r="8" spans="1:10" x14ac:dyDescent="0.3">
      <c r="A8" t="s">
        <v>2602</v>
      </c>
      <c r="B8" t="s">
        <v>197</v>
      </c>
      <c r="C8" t="s">
        <v>198</v>
      </c>
      <c r="D8" t="s">
        <v>190</v>
      </c>
      <c r="E8" t="s">
        <v>191</v>
      </c>
      <c r="F8" t="s">
        <v>514</v>
      </c>
      <c r="G8" t="s">
        <v>2588</v>
      </c>
      <c r="H8" t="s">
        <v>2603</v>
      </c>
      <c r="I8" t="s">
        <v>2604</v>
      </c>
    </row>
    <row r="9" spans="1:10" x14ac:dyDescent="0.3">
      <c r="A9" t="s">
        <v>2605</v>
      </c>
      <c r="B9" t="s">
        <v>209</v>
      </c>
      <c r="C9" t="s">
        <v>210</v>
      </c>
      <c r="D9" t="s">
        <v>200</v>
      </c>
      <c r="E9" t="s">
        <v>201</v>
      </c>
      <c r="F9" t="s">
        <v>2587</v>
      </c>
      <c r="G9" t="s">
        <v>2588</v>
      </c>
      <c r="H9" t="s">
        <v>2589</v>
      </c>
      <c r="I9" t="s">
        <v>2606</v>
      </c>
    </row>
    <row r="10" spans="1:10" x14ac:dyDescent="0.3">
      <c r="A10" t="s">
        <v>2607</v>
      </c>
      <c r="B10" t="s">
        <v>209</v>
      </c>
      <c r="C10" t="s">
        <v>210</v>
      </c>
      <c r="D10" t="s">
        <v>195</v>
      </c>
      <c r="E10" t="s">
        <v>196</v>
      </c>
      <c r="F10" t="s">
        <v>2592</v>
      </c>
      <c r="G10" t="s">
        <v>2577</v>
      </c>
      <c r="H10" t="s">
        <v>2593</v>
      </c>
      <c r="I10" t="s">
        <v>2608</v>
      </c>
    </row>
    <row r="11" spans="1:10" x14ac:dyDescent="0.3">
      <c r="A11" t="s">
        <v>2609</v>
      </c>
      <c r="B11" t="s">
        <v>219</v>
      </c>
      <c r="C11" t="s">
        <v>220</v>
      </c>
      <c r="D11" t="s">
        <v>214</v>
      </c>
      <c r="E11" t="s">
        <v>215</v>
      </c>
      <c r="F11" t="s">
        <v>2349</v>
      </c>
      <c r="G11" t="s">
        <v>2551</v>
      </c>
      <c r="H11" t="s">
        <v>2596</v>
      </c>
      <c r="I11" t="s">
        <v>2610</v>
      </c>
    </row>
    <row r="12" spans="1:10" x14ac:dyDescent="0.3">
      <c r="A12" t="s">
        <v>2611</v>
      </c>
      <c r="B12" t="s">
        <v>228</v>
      </c>
      <c r="C12" t="s">
        <v>229</v>
      </c>
      <c r="D12" t="s">
        <v>221</v>
      </c>
      <c r="E12" t="s">
        <v>222</v>
      </c>
      <c r="F12" t="s">
        <v>2296</v>
      </c>
      <c r="G12" t="s">
        <v>2599</v>
      </c>
      <c r="H12" t="s">
        <v>2600</v>
      </c>
      <c r="I12" t="s">
        <v>2612</v>
      </c>
    </row>
    <row r="13" spans="1:10" x14ac:dyDescent="0.3">
      <c r="A13" t="s">
        <v>2613</v>
      </c>
      <c r="B13" t="s">
        <v>228</v>
      </c>
      <c r="C13" t="s">
        <v>229</v>
      </c>
      <c r="D13" t="s">
        <v>217</v>
      </c>
      <c r="E13" t="s">
        <v>218</v>
      </c>
      <c r="F13" t="s">
        <v>514</v>
      </c>
      <c r="G13" t="s">
        <v>2588</v>
      </c>
      <c r="H13" t="s">
        <v>2603</v>
      </c>
      <c r="I13" t="s">
        <v>2614</v>
      </c>
    </row>
    <row r="14" spans="1:10" x14ac:dyDescent="0.3">
      <c r="A14" t="s">
        <v>2615</v>
      </c>
      <c r="B14" t="s">
        <v>236</v>
      </c>
      <c r="C14" t="s">
        <v>237</v>
      </c>
      <c r="D14" t="s">
        <v>232</v>
      </c>
      <c r="E14" t="s">
        <v>233</v>
      </c>
      <c r="F14" t="s">
        <v>2587</v>
      </c>
      <c r="G14" t="s">
        <v>2588</v>
      </c>
      <c r="H14" t="s">
        <v>2589</v>
      </c>
      <c r="I14" t="s">
        <v>2590</v>
      </c>
    </row>
    <row r="15" spans="1:10" x14ac:dyDescent="0.3">
      <c r="A15" t="s">
        <v>2616</v>
      </c>
      <c r="B15" t="s">
        <v>249</v>
      </c>
      <c r="C15" t="s">
        <v>250</v>
      </c>
      <c r="D15" t="s">
        <v>239</v>
      </c>
      <c r="E15" t="s">
        <v>240</v>
      </c>
      <c r="F15" t="s">
        <v>2592</v>
      </c>
      <c r="G15" t="s">
        <v>2577</v>
      </c>
      <c r="H15" t="s">
        <v>2593</v>
      </c>
      <c r="I15" t="s">
        <v>2594</v>
      </c>
    </row>
    <row r="16" spans="1:10" x14ac:dyDescent="0.3">
      <c r="A16" t="s">
        <v>2617</v>
      </c>
      <c r="B16" t="s">
        <v>249</v>
      </c>
      <c r="C16" t="s">
        <v>250</v>
      </c>
      <c r="D16" t="s">
        <v>234</v>
      </c>
      <c r="E16" t="s">
        <v>235</v>
      </c>
      <c r="F16" t="s">
        <v>2349</v>
      </c>
      <c r="G16" t="s">
        <v>2551</v>
      </c>
      <c r="H16" t="s">
        <v>2596</v>
      </c>
      <c r="I16" t="s">
        <v>2597</v>
      </c>
    </row>
    <row r="17" spans="1:11" x14ac:dyDescent="0.3">
      <c r="A17" t="s">
        <v>2618</v>
      </c>
      <c r="B17" t="s">
        <v>258</v>
      </c>
      <c r="C17" t="s">
        <v>259</v>
      </c>
      <c r="D17" t="s">
        <v>251</v>
      </c>
      <c r="E17" t="s">
        <v>252</v>
      </c>
      <c r="F17" t="s">
        <v>2296</v>
      </c>
      <c r="G17" t="s">
        <v>2599</v>
      </c>
      <c r="H17" t="s">
        <v>2600</v>
      </c>
      <c r="I17" t="s">
        <v>2601</v>
      </c>
    </row>
    <row r="18" spans="1:11" x14ac:dyDescent="0.3">
      <c r="A18" t="s">
        <v>2619</v>
      </c>
      <c r="B18" t="s">
        <v>268</v>
      </c>
      <c r="C18" t="s">
        <v>269</v>
      </c>
      <c r="D18" t="s">
        <v>260</v>
      </c>
      <c r="E18" t="s">
        <v>261</v>
      </c>
      <c r="F18" t="s">
        <v>514</v>
      </c>
      <c r="G18" t="s">
        <v>2588</v>
      </c>
      <c r="H18" t="s">
        <v>2603</v>
      </c>
      <c r="I18" t="s">
        <v>2604</v>
      </c>
    </row>
    <row r="19" spans="1:11" x14ac:dyDescent="0.3">
      <c r="A19" t="s">
        <v>2620</v>
      </c>
      <c r="B19" t="s">
        <v>268</v>
      </c>
      <c r="C19" t="s">
        <v>269</v>
      </c>
      <c r="D19" t="s">
        <v>255</v>
      </c>
      <c r="E19" t="s">
        <v>256</v>
      </c>
      <c r="F19" t="s">
        <v>2587</v>
      </c>
      <c r="G19" t="s">
        <v>2588</v>
      </c>
      <c r="H19" t="s">
        <v>2589</v>
      </c>
      <c r="I19" t="s">
        <v>2606</v>
      </c>
    </row>
    <row r="20" spans="1:11" x14ac:dyDescent="0.3">
      <c r="A20" t="s">
        <v>2621</v>
      </c>
      <c r="B20" t="s">
        <v>278</v>
      </c>
      <c r="C20" t="s">
        <v>279</v>
      </c>
      <c r="D20" t="s">
        <v>273</v>
      </c>
      <c r="E20" t="s">
        <v>274</v>
      </c>
      <c r="F20" t="s">
        <v>2592</v>
      </c>
      <c r="G20" t="s">
        <v>2577</v>
      </c>
      <c r="H20" t="s">
        <v>2593</v>
      </c>
      <c r="I20" t="s">
        <v>2608</v>
      </c>
    </row>
    <row r="21" spans="1:11" x14ac:dyDescent="0.3">
      <c r="A21" t="s">
        <v>2622</v>
      </c>
      <c r="B21" t="s">
        <v>286</v>
      </c>
      <c r="C21" t="s">
        <v>287</v>
      </c>
      <c r="D21" t="s">
        <v>280</v>
      </c>
      <c r="E21" t="s">
        <v>281</v>
      </c>
      <c r="F21" t="s">
        <v>2349</v>
      </c>
      <c r="G21" t="s">
        <v>2551</v>
      </c>
      <c r="H21" t="s">
        <v>2596</v>
      </c>
      <c r="I21" t="s">
        <v>2610</v>
      </c>
    </row>
    <row r="22" spans="1:11" x14ac:dyDescent="0.3">
      <c r="A22" t="s">
        <v>2623</v>
      </c>
      <c r="B22" t="s">
        <v>286</v>
      </c>
      <c r="C22" t="s">
        <v>287</v>
      </c>
      <c r="D22" t="s">
        <v>276</v>
      </c>
      <c r="E22" t="s">
        <v>277</v>
      </c>
      <c r="F22" t="s">
        <v>2296</v>
      </c>
      <c r="G22" t="s">
        <v>2599</v>
      </c>
      <c r="H22" t="s">
        <v>2600</v>
      </c>
      <c r="I22" t="s">
        <v>2612</v>
      </c>
    </row>
    <row r="23" spans="1:11" x14ac:dyDescent="0.3">
      <c r="A23" t="s">
        <v>2624</v>
      </c>
      <c r="B23" t="s">
        <v>296</v>
      </c>
      <c r="C23" t="s">
        <v>297</v>
      </c>
      <c r="D23" t="s">
        <v>290</v>
      </c>
      <c r="E23" t="s">
        <v>291</v>
      </c>
      <c r="F23" t="s">
        <v>514</v>
      </c>
      <c r="G23" t="s">
        <v>2588</v>
      </c>
      <c r="H23" t="s">
        <v>2603</v>
      </c>
      <c r="I23" t="s">
        <v>2614</v>
      </c>
    </row>
    <row r="24" spans="1:11" x14ac:dyDescent="0.3">
      <c r="A24" t="s">
        <v>2625</v>
      </c>
      <c r="B24" t="s">
        <v>306</v>
      </c>
      <c r="C24" t="s">
        <v>307</v>
      </c>
      <c r="D24" t="s">
        <v>299</v>
      </c>
      <c r="E24" t="s">
        <v>300</v>
      </c>
      <c r="F24" t="s">
        <v>2587</v>
      </c>
      <c r="G24" t="s">
        <v>2588</v>
      </c>
      <c r="H24" t="s">
        <v>2589</v>
      </c>
      <c r="I24" t="s">
        <v>2590</v>
      </c>
    </row>
    <row r="25" spans="1:11" x14ac:dyDescent="0.3">
      <c r="A25" t="s">
        <v>2626</v>
      </c>
      <c r="B25" t="s">
        <v>306</v>
      </c>
      <c r="C25" t="s">
        <v>307</v>
      </c>
      <c r="D25" t="s">
        <v>292</v>
      </c>
      <c r="E25" t="s">
        <v>293</v>
      </c>
      <c r="F25" t="s">
        <v>2592</v>
      </c>
      <c r="G25" t="s">
        <v>2577</v>
      </c>
      <c r="H25" t="s">
        <v>2593</v>
      </c>
      <c r="I25" t="s">
        <v>2594</v>
      </c>
    </row>
    <row r="26" spans="1:11" x14ac:dyDescent="0.3">
      <c r="A26" t="s">
        <v>2627</v>
      </c>
      <c r="B26" t="s">
        <v>315</v>
      </c>
      <c r="C26" t="s">
        <v>316</v>
      </c>
      <c r="D26" t="s">
        <v>311</v>
      </c>
      <c r="E26" t="s">
        <v>312</v>
      </c>
      <c r="F26" t="s">
        <v>2349</v>
      </c>
      <c r="G26" t="s">
        <v>2551</v>
      </c>
      <c r="H26" t="s">
        <v>2596</v>
      </c>
      <c r="I26" t="s">
        <v>2597</v>
      </c>
    </row>
    <row r="27" spans="1:11" x14ac:dyDescent="0.3">
      <c r="A27" t="s">
        <v>2628</v>
      </c>
      <c r="B27" t="s">
        <v>323</v>
      </c>
      <c r="C27" t="s">
        <v>324</v>
      </c>
      <c r="D27" t="s">
        <v>317</v>
      </c>
      <c r="E27" t="s">
        <v>318</v>
      </c>
      <c r="F27" t="s">
        <v>2296</v>
      </c>
      <c r="G27" t="s">
        <v>2599</v>
      </c>
      <c r="H27" t="s">
        <v>2600</v>
      </c>
      <c r="I27" t="s">
        <v>2601</v>
      </c>
    </row>
    <row r="28" spans="1:11" x14ac:dyDescent="0.3">
      <c r="A28" t="s">
        <v>2629</v>
      </c>
      <c r="B28" t="s">
        <v>323</v>
      </c>
      <c r="C28" t="s">
        <v>324</v>
      </c>
      <c r="D28" t="s">
        <v>313</v>
      </c>
      <c r="E28" t="s">
        <v>314</v>
      </c>
      <c r="F28" t="s">
        <v>514</v>
      </c>
      <c r="G28" t="s">
        <v>2588</v>
      </c>
      <c r="H28" t="s">
        <v>2603</v>
      </c>
      <c r="I28" t="s">
        <v>2604</v>
      </c>
    </row>
    <row r="29" spans="1:11" x14ac:dyDescent="0.3">
      <c r="A29" t="s">
        <v>2630</v>
      </c>
      <c r="B29" t="s">
        <v>331</v>
      </c>
      <c r="C29" t="s">
        <v>332</v>
      </c>
      <c r="D29" t="s">
        <v>329</v>
      </c>
      <c r="E29" t="s">
        <v>330</v>
      </c>
      <c r="F29" t="s">
        <v>2587</v>
      </c>
      <c r="G29" t="s">
        <v>2588</v>
      </c>
      <c r="H29" t="s">
        <v>2589</v>
      </c>
      <c r="I29" t="s">
        <v>2606</v>
      </c>
    </row>
    <row r="32" spans="1:11" ht="15.6" x14ac:dyDescent="0.3">
      <c r="A32" s="384" t="s">
        <v>4749</v>
      </c>
      <c r="B32" s="384"/>
      <c r="C32" s="384"/>
      <c r="D32" s="384"/>
      <c r="E32" s="384"/>
      <c r="F32" s="384"/>
      <c r="G32" s="384"/>
      <c r="H32" s="384"/>
      <c r="I32" s="384"/>
      <c r="J32" s="384"/>
      <c r="K32" s="384"/>
    </row>
    <row r="33" spans="1:11" x14ac:dyDescent="0.3">
      <c r="A33" s="237"/>
      <c r="B33" s="237"/>
      <c r="C33" s="237"/>
      <c r="D33" s="237"/>
      <c r="E33" s="237"/>
      <c r="F33" s="237"/>
      <c r="G33" s="237"/>
      <c r="H33" s="237"/>
      <c r="I33" s="237"/>
      <c r="J33" s="237"/>
      <c r="K33" s="237"/>
    </row>
    <row r="34" spans="1:11" x14ac:dyDescent="0.3">
      <c r="A34" s="237" t="s">
        <v>4750</v>
      </c>
      <c r="B34" s="237"/>
      <c r="C34" s="237"/>
      <c r="D34" s="237"/>
      <c r="E34" s="237"/>
      <c r="F34" s="237"/>
      <c r="G34" s="237"/>
      <c r="H34" s="237"/>
      <c r="I34" s="237"/>
      <c r="J34" s="237"/>
      <c r="K34" s="237"/>
    </row>
    <row r="35" spans="1:11" x14ac:dyDescent="0.3">
      <c r="A35" s="237"/>
      <c r="B35" s="237"/>
      <c r="C35" s="237"/>
      <c r="D35" s="237"/>
      <c r="E35" s="237"/>
      <c r="F35" s="237"/>
      <c r="G35" s="237"/>
      <c r="H35" s="237"/>
      <c r="I35" s="237"/>
      <c r="J35" s="237"/>
      <c r="K35" s="237"/>
    </row>
    <row r="36" spans="1:11" x14ac:dyDescent="0.3">
      <c r="A36" s="237" t="s">
        <v>4751</v>
      </c>
      <c r="B36" s="237"/>
      <c r="C36" s="237"/>
      <c r="D36" s="237"/>
      <c r="E36" s="237"/>
      <c r="F36" s="237"/>
      <c r="G36" s="237"/>
      <c r="H36" s="237"/>
      <c r="I36" s="237"/>
      <c r="J36" s="237"/>
      <c r="K36" s="237"/>
    </row>
    <row r="37" spans="1:11" x14ac:dyDescent="0.3">
      <c r="A37" s="237"/>
      <c r="B37" s="237"/>
      <c r="C37" s="237"/>
      <c r="D37" s="237"/>
      <c r="E37" s="237"/>
      <c r="F37" s="237"/>
      <c r="G37" s="237"/>
      <c r="H37" s="237"/>
      <c r="I37" s="237"/>
      <c r="J37" s="237"/>
      <c r="K37" s="237"/>
    </row>
    <row r="38" spans="1:11" x14ac:dyDescent="0.3">
      <c r="A38" s="237" t="s">
        <v>4752</v>
      </c>
      <c r="B38" s="237"/>
      <c r="C38" s="237"/>
      <c r="D38" s="237"/>
      <c r="E38" s="237"/>
      <c r="F38" s="237"/>
      <c r="G38" s="237"/>
      <c r="H38" s="237"/>
      <c r="I38" s="237"/>
      <c r="J38" s="237"/>
      <c r="K38" s="237"/>
    </row>
    <row r="39" spans="1:11" x14ac:dyDescent="0.3">
      <c r="A39" s="237"/>
      <c r="B39" s="237"/>
      <c r="C39" s="237"/>
      <c r="D39" s="237"/>
      <c r="E39" s="237"/>
      <c r="F39" s="237"/>
      <c r="G39" s="237"/>
      <c r="H39" s="237"/>
      <c r="I39" s="237"/>
      <c r="J39" s="237"/>
      <c r="K39" s="237"/>
    </row>
    <row r="40" spans="1:11" x14ac:dyDescent="0.3">
      <c r="A40" s="237" t="s">
        <v>4748</v>
      </c>
      <c r="B40" s="237"/>
      <c r="C40" s="237"/>
      <c r="D40" s="237"/>
      <c r="E40" s="237"/>
      <c r="F40" s="237"/>
      <c r="G40" s="237"/>
      <c r="H40" s="237"/>
      <c r="I40" s="237"/>
      <c r="J40" s="237"/>
      <c r="K40" s="237"/>
    </row>
    <row r="42" spans="1:11" ht="18" x14ac:dyDescent="0.35">
      <c r="A42" s="385" t="s">
        <v>4264</v>
      </c>
      <c r="B42" s="385"/>
      <c r="C42" s="385"/>
      <c r="D42" s="385"/>
      <c r="E42" s="385"/>
      <c r="F42" s="385"/>
      <c r="G42" s="385"/>
      <c r="H42" s="385"/>
      <c r="I42" s="385"/>
      <c r="J42" s="385"/>
    </row>
    <row r="44" spans="1:11" ht="15.6" x14ac:dyDescent="0.3">
      <c r="A44" s="222" t="s">
        <v>4265</v>
      </c>
      <c r="B44" s="223"/>
      <c r="C44" s="223"/>
      <c r="D44" s="223"/>
      <c r="E44" s="223"/>
      <c r="F44" s="223"/>
      <c r="G44" s="223"/>
      <c r="H44" s="223"/>
      <c r="I44" s="223"/>
      <c r="J44" s="223"/>
    </row>
    <row r="45" spans="1:11" x14ac:dyDescent="0.3">
      <c r="A45" s="223" t="s">
        <v>4266</v>
      </c>
      <c r="B45" s="223"/>
      <c r="C45" s="223"/>
      <c r="D45" s="223"/>
      <c r="E45" s="223"/>
      <c r="F45" s="223"/>
      <c r="G45" s="223"/>
      <c r="H45" s="223"/>
      <c r="I45" s="223"/>
      <c r="J45" s="223"/>
    </row>
    <row r="46" spans="1:11" x14ac:dyDescent="0.3">
      <c r="A46" s="223" t="s">
        <v>4267</v>
      </c>
      <c r="B46" s="223"/>
      <c r="C46" s="223"/>
      <c r="D46" s="223"/>
      <c r="E46" s="223"/>
      <c r="F46" s="223"/>
      <c r="G46" s="223"/>
      <c r="H46" s="223"/>
      <c r="I46" s="223"/>
      <c r="J46" s="223"/>
    </row>
    <row r="47" spans="1:11" x14ac:dyDescent="0.3">
      <c r="A47" s="223"/>
      <c r="B47" s="223"/>
      <c r="C47" s="223"/>
      <c r="D47" s="223"/>
      <c r="E47" s="223"/>
      <c r="F47" s="223"/>
      <c r="G47" s="223"/>
      <c r="H47" s="223"/>
      <c r="I47" s="223"/>
      <c r="J47" s="223"/>
    </row>
    <row r="48" spans="1:11" x14ac:dyDescent="0.3">
      <c r="A48" s="223" t="s">
        <v>4268</v>
      </c>
      <c r="B48" s="223"/>
      <c r="C48" s="223"/>
      <c r="D48" s="223"/>
      <c r="E48" s="223"/>
      <c r="F48" s="223"/>
      <c r="G48" s="223"/>
      <c r="H48" s="223"/>
      <c r="I48" s="223"/>
      <c r="J48" s="223"/>
    </row>
    <row r="49" spans="1:10" x14ac:dyDescent="0.3">
      <c r="A49" s="223" t="s">
        <v>4269</v>
      </c>
      <c r="B49" s="223"/>
      <c r="C49" s="223"/>
      <c r="D49" s="223"/>
      <c r="E49" s="223"/>
      <c r="F49" s="223"/>
      <c r="G49" s="223"/>
      <c r="H49" s="223"/>
      <c r="I49" s="223"/>
      <c r="J49" s="223"/>
    </row>
    <row r="50" spans="1:10" x14ac:dyDescent="0.3">
      <c r="A50" s="223" t="s">
        <v>4270</v>
      </c>
      <c r="B50" s="223"/>
      <c r="C50" s="223"/>
      <c r="D50" s="223"/>
      <c r="E50" s="223"/>
      <c r="F50" s="223"/>
      <c r="G50" s="223"/>
      <c r="H50" s="223"/>
      <c r="I50" s="223"/>
      <c r="J50" s="223"/>
    </row>
    <row r="51" spans="1:10" x14ac:dyDescent="0.3">
      <c r="A51" s="223" t="s">
        <v>4271</v>
      </c>
      <c r="B51" s="223"/>
      <c r="C51" s="223"/>
      <c r="D51" s="223"/>
      <c r="E51" s="223"/>
      <c r="F51" s="223"/>
      <c r="G51" s="223"/>
      <c r="H51" s="223"/>
      <c r="I51" s="223"/>
      <c r="J51" s="223"/>
    </row>
    <row r="52" spans="1:10" x14ac:dyDescent="0.3">
      <c r="A52" s="223" t="s">
        <v>4272</v>
      </c>
      <c r="B52" s="223"/>
      <c r="C52" s="223"/>
      <c r="D52" s="223"/>
      <c r="E52" s="223"/>
      <c r="F52" s="223"/>
      <c r="G52" s="223"/>
      <c r="H52" s="223"/>
      <c r="I52" s="223"/>
      <c r="J52" s="223"/>
    </row>
    <row r="53" spans="1:10" x14ac:dyDescent="0.3">
      <c r="A53" s="223"/>
      <c r="B53" s="223"/>
      <c r="C53" s="223"/>
      <c r="D53" s="223"/>
      <c r="E53" s="223"/>
      <c r="F53" s="223"/>
      <c r="G53" s="223"/>
      <c r="H53" s="223"/>
      <c r="I53" s="223"/>
      <c r="J53" s="223"/>
    </row>
    <row r="54" spans="1:10" ht="15.6" x14ac:dyDescent="0.3">
      <c r="A54" s="222" t="s">
        <v>4273</v>
      </c>
      <c r="B54" s="223"/>
      <c r="C54" s="223"/>
      <c r="D54" s="223"/>
      <c r="E54" s="223"/>
      <c r="F54" s="223"/>
      <c r="G54" s="223"/>
      <c r="H54" s="223"/>
      <c r="I54" s="223"/>
      <c r="J54" s="223"/>
    </row>
    <row r="55" spans="1:10" x14ac:dyDescent="0.3">
      <c r="A55" s="223"/>
      <c r="B55" s="223"/>
      <c r="C55" s="223"/>
      <c r="D55" s="223"/>
      <c r="E55" s="223"/>
      <c r="F55" s="223"/>
      <c r="G55" s="223"/>
      <c r="H55" s="223"/>
      <c r="I55" s="223"/>
      <c r="J55" s="223"/>
    </row>
    <row r="56" spans="1:10" x14ac:dyDescent="0.3">
      <c r="A56" s="224" t="s">
        <v>383</v>
      </c>
      <c r="B56" s="224" t="s">
        <v>4274</v>
      </c>
      <c r="C56" s="224" t="s">
        <v>4275</v>
      </c>
      <c r="D56" s="223"/>
      <c r="E56" s="223"/>
      <c r="F56" s="223"/>
      <c r="G56" s="223"/>
      <c r="H56" s="223"/>
      <c r="I56" s="223"/>
      <c r="J56" s="223"/>
    </row>
    <row r="57" spans="1:10" x14ac:dyDescent="0.3">
      <c r="A57" s="223" t="s">
        <v>2587</v>
      </c>
      <c r="B57" s="223" t="s">
        <v>4276</v>
      </c>
      <c r="C57" s="223" t="s">
        <v>4277</v>
      </c>
      <c r="D57" s="223"/>
      <c r="E57" s="223"/>
      <c r="F57" s="223"/>
      <c r="G57" s="223"/>
      <c r="H57" s="223"/>
      <c r="I57" s="223"/>
      <c r="J57" s="223"/>
    </row>
    <row r="58" spans="1:10" x14ac:dyDescent="0.3">
      <c r="A58" s="223" t="s">
        <v>2592</v>
      </c>
      <c r="B58" s="223" t="s">
        <v>4278</v>
      </c>
      <c r="C58" s="223" t="s">
        <v>4279</v>
      </c>
      <c r="D58" s="223"/>
      <c r="E58" s="223"/>
      <c r="F58" s="223"/>
      <c r="G58" s="223"/>
      <c r="H58" s="223"/>
      <c r="I58" s="223"/>
      <c r="J58" s="223"/>
    </row>
    <row r="59" spans="1:10" x14ac:dyDescent="0.3">
      <c r="A59" s="223" t="s">
        <v>2349</v>
      </c>
      <c r="B59" s="223" t="s">
        <v>4280</v>
      </c>
      <c r="C59" s="223" t="s">
        <v>4281</v>
      </c>
      <c r="D59" s="223"/>
      <c r="E59" s="223"/>
      <c r="F59" s="223"/>
      <c r="G59" s="223"/>
      <c r="H59" s="223"/>
      <c r="I59" s="223"/>
      <c r="J59" s="223"/>
    </row>
    <row r="60" spans="1:10" x14ac:dyDescent="0.3">
      <c r="A60" s="223" t="s">
        <v>2296</v>
      </c>
      <c r="B60" s="223" t="s">
        <v>4282</v>
      </c>
      <c r="C60" s="223" t="s">
        <v>4283</v>
      </c>
      <c r="D60" s="223"/>
      <c r="E60" s="223"/>
      <c r="F60" s="223"/>
      <c r="G60" s="223"/>
      <c r="H60" s="223"/>
      <c r="I60" s="223"/>
      <c r="J60" s="223"/>
    </row>
    <row r="61" spans="1:10" x14ac:dyDescent="0.3">
      <c r="A61" s="223" t="s">
        <v>514</v>
      </c>
      <c r="B61" s="223" t="s">
        <v>4284</v>
      </c>
      <c r="C61" s="223" t="s">
        <v>4285</v>
      </c>
      <c r="D61" s="223"/>
      <c r="E61" s="223"/>
      <c r="F61" s="223"/>
      <c r="G61" s="223"/>
      <c r="H61" s="223"/>
      <c r="I61" s="223"/>
      <c r="J61" s="223"/>
    </row>
    <row r="62" spans="1:10" x14ac:dyDescent="0.3">
      <c r="A62" s="223"/>
      <c r="B62" s="223"/>
      <c r="C62" s="223"/>
      <c r="D62" s="223"/>
      <c r="E62" s="223"/>
      <c r="F62" s="223"/>
      <c r="G62" s="223"/>
      <c r="H62" s="223"/>
      <c r="I62" s="223"/>
      <c r="J62" s="223"/>
    </row>
    <row r="63" spans="1:10" ht="15.6" x14ac:dyDescent="0.3">
      <c r="A63" s="222" t="s">
        <v>4286</v>
      </c>
      <c r="B63" s="223"/>
      <c r="C63" s="223"/>
      <c r="D63" s="223"/>
      <c r="E63" s="223"/>
      <c r="F63" s="223"/>
      <c r="G63" s="223"/>
      <c r="H63" s="223"/>
      <c r="I63" s="223"/>
      <c r="J63" s="223"/>
    </row>
    <row r="64" spans="1:10" x14ac:dyDescent="0.3">
      <c r="A64" s="223"/>
      <c r="B64" s="223"/>
      <c r="C64" s="223"/>
      <c r="D64" s="223"/>
      <c r="E64" s="223"/>
      <c r="F64" s="223"/>
      <c r="G64" s="223"/>
      <c r="H64" s="223"/>
      <c r="I64" s="223"/>
      <c r="J64" s="223"/>
    </row>
    <row r="65" spans="1:10" x14ac:dyDescent="0.3">
      <c r="A65" s="223" t="s">
        <v>4287</v>
      </c>
      <c r="B65" s="223"/>
      <c r="C65" s="223"/>
      <c r="D65" s="223"/>
      <c r="E65" s="223"/>
      <c r="F65" s="223"/>
      <c r="G65" s="223"/>
      <c r="H65" s="223"/>
      <c r="I65" s="223"/>
      <c r="J65" s="223"/>
    </row>
    <row r="66" spans="1:10" x14ac:dyDescent="0.3">
      <c r="A66" s="223" t="s">
        <v>4288</v>
      </c>
      <c r="B66" s="223"/>
      <c r="C66" s="223"/>
      <c r="D66" s="223"/>
      <c r="E66" s="223"/>
      <c r="F66" s="223"/>
      <c r="G66" s="223"/>
      <c r="H66" s="223"/>
      <c r="I66" s="223"/>
      <c r="J66" s="223"/>
    </row>
    <row r="67" spans="1:10" x14ac:dyDescent="0.3">
      <c r="A67" s="223" t="s">
        <v>4289</v>
      </c>
      <c r="B67" s="223"/>
      <c r="C67" s="223"/>
      <c r="D67" s="223"/>
      <c r="E67" s="223"/>
      <c r="F67" s="223"/>
      <c r="G67" s="223"/>
      <c r="H67" s="223"/>
      <c r="I67" s="223"/>
      <c r="J67" s="223"/>
    </row>
    <row r="68" spans="1:10" x14ac:dyDescent="0.3">
      <c r="A68" s="223" t="s">
        <v>4290</v>
      </c>
      <c r="B68" s="223"/>
      <c r="C68" s="223"/>
      <c r="D68" s="223"/>
      <c r="E68" s="223"/>
      <c r="F68" s="223"/>
      <c r="G68" s="223"/>
      <c r="H68" s="223"/>
      <c r="I68" s="223"/>
      <c r="J68" s="223"/>
    </row>
    <row r="69" spans="1:10" x14ac:dyDescent="0.3">
      <c r="A69" s="223" t="s">
        <v>4291</v>
      </c>
      <c r="B69" s="223"/>
      <c r="C69" s="223"/>
      <c r="D69" s="223"/>
      <c r="E69" s="223"/>
      <c r="F69" s="223"/>
      <c r="G69" s="223"/>
      <c r="H69" s="223"/>
      <c r="I69" s="223"/>
      <c r="J69" s="223"/>
    </row>
    <row r="70" spans="1:10" x14ac:dyDescent="0.3">
      <c r="A70" s="223"/>
      <c r="B70" s="223"/>
      <c r="C70" s="223"/>
      <c r="D70" s="223"/>
      <c r="E70" s="223"/>
      <c r="F70" s="223"/>
      <c r="G70" s="223"/>
      <c r="H70" s="223"/>
      <c r="I70" s="223"/>
      <c r="J70" s="223"/>
    </row>
    <row r="71" spans="1:10" ht="15.6" x14ac:dyDescent="0.3">
      <c r="A71" s="222" t="s">
        <v>4292</v>
      </c>
      <c r="B71" s="223"/>
      <c r="C71" s="223"/>
      <c r="D71" s="223"/>
      <c r="E71" s="223"/>
      <c r="F71" s="223"/>
      <c r="G71" s="223"/>
      <c r="H71" s="223"/>
      <c r="I71" s="223"/>
      <c r="J71" s="223"/>
    </row>
    <row r="72" spans="1:10" x14ac:dyDescent="0.3">
      <c r="A72" s="223"/>
      <c r="B72" s="223"/>
      <c r="C72" s="223"/>
      <c r="D72" s="223"/>
      <c r="E72" s="223"/>
      <c r="F72" s="223"/>
      <c r="G72" s="223"/>
      <c r="H72" s="223"/>
      <c r="I72" s="223"/>
      <c r="J72" s="223"/>
    </row>
    <row r="73" spans="1:10" x14ac:dyDescent="0.3">
      <c r="A73" s="223" t="s">
        <v>4293</v>
      </c>
      <c r="B73" s="223"/>
      <c r="C73" s="223"/>
      <c r="D73" s="223"/>
      <c r="E73" s="223"/>
      <c r="F73" s="223"/>
      <c r="G73" s="223"/>
      <c r="H73" s="223"/>
      <c r="I73" s="223"/>
      <c r="J73" s="223"/>
    </row>
    <row r="74" spans="1:10" x14ac:dyDescent="0.3">
      <c r="A74" s="223" t="s">
        <v>4294</v>
      </c>
      <c r="B74" s="223"/>
      <c r="C74" s="223"/>
      <c r="D74" s="223"/>
      <c r="E74" s="223"/>
      <c r="F74" s="223"/>
      <c r="G74" s="223"/>
      <c r="H74" s="223"/>
      <c r="I74" s="223"/>
      <c r="J74" s="223"/>
    </row>
    <row r="75" spans="1:10" x14ac:dyDescent="0.3">
      <c r="A75" s="223" t="s">
        <v>4295</v>
      </c>
      <c r="B75" s="223"/>
      <c r="C75" s="223"/>
      <c r="D75" s="223"/>
      <c r="E75" s="223"/>
      <c r="F75" s="223"/>
      <c r="G75" s="223"/>
      <c r="H75" s="223"/>
      <c r="I75" s="223"/>
      <c r="J75" s="223"/>
    </row>
    <row r="76" spans="1:10" x14ac:dyDescent="0.3">
      <c r="A76" s="223" t="s">
        <v>4296</v>
      </c>
      <c r="B76" s="223"/>
      <c r="C76" s="223"/>
      <c r="D76" s="223"/>
      <c r="E76" s="223"/>
      <c r="F76" s="223"/>
      <c r="G76" s="223"/>
      <c r="H76" s="223"/>
      <c r="I76" s="223"/>
      <c r="J76" s="223"/>
    </row>
    <row r="77" spans="1:10" x14ac:dyDescent="0.3">
      <c r="A77" s="223"/>
      <c r="B77" s="223"/>
      <c r="C77" s="223"/>
      <c r="D77" s="223"/>
      <c r="E77" s="223"/>
      <c r="F77" s="223"/>
      <c r="G77" s="223"/>
      <c r="H77" s="223"/>
      <c r="I77" s="223"/>
      <c r="J77" s="223"/>
    </row>
    <row r="78" spans="1:10" x14ac:dyDescent="0.3">
      <c r="A78" s="223" t="s">
        <v>4249</v>
      </c>
      <c r="B78" s="223"/>
      <c r="C78" s="223"/>
      <c r="D78" s="223"/>
      <c r="E78" s="223"/>
      <c r="F78" s="223"/>
      <c r="G78" s="223"/>
      <c r="H78" s="223"/>
      <c r="I78" s="223"/>
      <c r="J78" s="223"/>
    </row>
    <row r="79" spans="1:10" x14ac:dyDescent="0.3">
      <c r="A79" s="223" t="s">
        <v>4297</v>
      </c>
      <c r="B79" s="223"/>
      <c r="C79" s="223"/>
      <c r="D79" s="223"/>
      <c r="E79" s="223"/>
      <c r="F79" s="223"/>
      <c r="G79" s="223"/>
      <c r="H79" s="223"/>
      <c r="I79" s="223"/>
      <c r="J79" s="223"/>
    </row>
    <row r="80" spans="1:10" x14ac:dyDescent="0.3">
      <c r="A80" s="223" t="s">
        <v>4298</v>
      </c>
      <c r="B80" s="223"/>
      <c r="C80" s="223"/>
      <c r="D80" s="223"/>
      <c r="E80" s="223"/>
      <c r="F80" s="223"/>
      <c r="G80" s="223"/>
      <c r="H80" s="223"/>
      <c r="I80" s="223"/>
      <c r="J80" s="223"/>
    </row>
    <row r="81" spans="1:10" x14ac:dyDescent="0.3">
      <c r="A81" s="223" t="s">
        <v>4299</v>
      </c>
      <c r="B81" s="223"/>
      <c r="C81" s="223"/>
      <c r="D81" s="223"/>
      <c r="E81" s="223"/>
      <c r="F81" s="223"/>
      <c r="G81" s="223"/>
      <c r="H81" s="223"/>
      <c r="I81" s="223"/>
      <c r="J81" s="223"/>
    </row>
    <row r="82" spans="1:10" x14ac:dyDescent="0.3">
      <c r="A82" s="223"/>
      <c r="B82" s="223"/>
      <c r="C82" s="223"/>
      <c r="D82" s="223"/>
      <c r="E82" s="223"/>
      <c r="F82" s="223"/>
      <c r="G82" s="223"/>
      <c r="H82" s="223"/>
      <c r="I82" s="223"/>
      <c r="J82" s="223"/>
    </row>
    <row r="83" spans="1:10" x14ac:dyDescent="0.3">
      <c r="A83" s="223" t="s">
        <v>4300</v>
      </c>
      <c r="B83" s="223"/>
      <c r="C83" s="223"/>
      <c r="D83" s="223"/>
      <c r="E83" s="223"/>
      <c r="F83" s="223"/>
      <c r="G83" s="223"/>
      <c r="H83" s="223"/>
      <c r="I83" s="223"/>
      <c r="J83" s="223"/>
    </row>
    <row r="84" spans="1:10" x14ac:dyDescent="0.3">
      <c r="A84" s="223" t="s">
        <v>4301</v>
      </c>
      <c r="B84" s="223"/>
      <c r="C84" s="223"/>
      <c r="D84" s="223"/>
      <c r="E84" s="223"/>
      <c r="F84" s="223"/>
      <c r="G84" s="223"/>
      <c r="H84" s="223"/>
      <c r="I84" s="223"/>
      <c r="J84" s="223"/>
    </row>
    <row r="85" spans="1:10" x14ac:dyDescent="0.3">
      <c r="A85" s="223" t="s">
        <v>4302</v>
      </c>
      <c r="B85" s="223"/>
      <c r="C85" s="223"/>
      <c r="D85" s="223"/>
      <c r="E85" s="223"/>
      <c r="F85" s="223"/>
      <c r="G85" s="223"/>
      <c r="H85" s="223"/>
      <c r="I85" s="223"/>
      <c r="J85" s="223"/>
    </row>
    <row r="86" spans="1:10" x14ac:dyDescent="0.3">
      <c r="A86" s="223" t="s">
        <v>4303</v>
      </c>
      <c r="B86" s="223"/>
      <c r="C86" s="223"/>
      <c r="D86" s="223"/>
      <c r="E86" s="223"/>
      <c r="F86" s="223"/>
      <c r="G86" s="223"/>
      <c r="H86" s="223"/>
      <c r="I86" s="223"/>
      <c r="J86" s="223"/>
    </row>
    <row r="87" spans="1:10" x14ac:dyDescent="0.3">
      <c r="A87" s="223"/>
      <c r="B87" s="223"/>
      <c r="C87" s="223"/>
      <c r="D87" s="223"/>
      <c r="E87" s="223"/>
      <c r="F87" s="223"/>
      <c r="G87" s="223"/>
      <c r="H87" s="223"/>
      <c r="I87" s="223"/>
      <c r="J87" s="223"/>
    </row>
    <row r="88" spans="1:10" x14ac:dyDescent="0.3">
      <c r="A88" s="225" t="s">
        <v>4257</v>
      </c>
      <c r="B88" s="223"/>
      <c r="C88" s="223"/>
      <c r="D88" s="223"/>
      <c r="E88" s="223"/>
      <c r="F88" s="223"/>
      <c r="G88" s="223"/>
      <c r="H88" s="223"/>
      <c r="I88" s="223"/>
      <c r="J88" s="223"/>
    </row>
    <row r="89" spans="1:10" x14ac:dyDescent="0.3">
      <c r="A89" s="223"/>
      <c r="B89" s="223"/>
      <c r="C89" s="223"/>
      <c r="D89" s="223"/>
      <c r="E89" s="223"/>
      <c r="F89" s="223"/>
      <c r="G89" s="223"/>
      <c r="H89" s="223"/>
      <c r="I89" s="223"/>
      <c r="J89" s="223"/>
    </row>
    <row r="90" spans="1:10" x14ac:dyDescent="0.3">
      <c r="A90" s="223" t="s">
        <v>4304</v>
      </c>
      <c r="B90" s="223"/>
      <c r="C90" s="223"/>
      <c r="D90" s="223"/>
      <c r="E90" s="223"/>
      <c r="F90" s="223"/>
      <c r="G90" s="223"/>
      <c r="H90" s="223"/>
      <c r="I90" s="223"/>
      <c r="J90" s="223"/>
    </row>
    <row r="91" spans="1:10" x14ac:dyDescent="0.3">
      <c r="A91" s="223" t="s">
        <v>4305</v>
      </c>
      <c r="B91" s="223"/>
      <c r="C91" s="223"/>
      <c r="D91" s="223"/>
      <c r="E91" s="223"/>
      <c r="F91" s="223"/>
      <c r="G91" s="223"/>
      <c r="H91" s="223"/>
      <c r="I91" s="223"/>
      <c r="J91" s="223"/>
    </row>
    <row r="92" spans="1:10" x14ac:dyDescent="0.3">
      <c r="A92" s="223" t="s">
        <v>4306</v>
      </c>
      <c r="B92" s="223"/>
      <c r="C92" s="223"/>
      <c r="D92" s="223"/>
      <c r="E92" s="223"/>
      <c r="F92" s="223"/>
      <c r="G92" s="223"/>
      <c r="H92" s="223"/>
      <c r="I92" s="223"/>
      <c r="J92" s="223"/>
    </row>
    <row r="93" spans="1:10" x14ac:dyDescent="0.3">
      <c r="A93" s="223" t="s">
        <v>4307</v>
      </c>
      <c r="B93" s="223"/>
      <c r="C93" s="223"/>
      <c r="D93" s="223"/>
      <c r="E93" s="223"/>
      <c r="F93" s="223"/>
      <c r="G93" s="223"/>
      <c r="H93" s="223"/>
      <c r="I93" s="223"/>
      <c r="J93" s="223"/>
    </row>
    <row r="94" spans="1:10" x14ac:dyDescent="0.3">
      <c r="A94" s="223" t="s">
        <v>4308</v>
      </c>
      <c r="B94" s="223"/>
      <c r="C94" s="223"/>
      <c r="D94" s="223"/>
      <c r="E94" s="223"/>
      <c r="F94" s="223"/>
      <c r="G94" s="223"/>
      <c r="H94" s="223"/>
      <c r="I94" s="223"/>
      <c r="J94" s="223"/>
    </row>
    <row r="95" spans="1:10" x14ac:dyDescent="0.3">
      <c r="A95" s="223" t="s">
        <v>4309</v>
      </c>
      <c r="B95" s="223"/>
      <c r="C95" s="223"/>
      <c r="D95" s="223"/>
      <c r="E95" s="223"/>
      <c r="F95" s="223"/>
      <c r="G95" s="223"/>
      <c r="H95" s="223"/>
      <c r="I95" s="223"/>
      <c r="J95" s="223"/>
    </row>
  </sheetData>
  <mergeCells count="3">
    <mergeCell ref="A1:I1"/>
    <mergeCell ref="A42:J42"/>
    <mergeCell ref="A32:K32"/>
  </mergeCells>
  <conditionalFormatting sqref="A4:J31 A32 A33:J41 A42 A43:J95">
    <cfRule type="expression" dxfId="7" priority="1">
      <formula>OR(AND($C$2&lt;&gt;"All",$F4&lt;&gt;$C$2),AND($E$2&lt;&gt;"All",$G4&lt;&gt;$E$2),AND($G$2&lt;&gt;"All",$H4&lt;&gt;$G$2))</formula>
    </cfRule>
  </conditionalFormatting>
  <dataValidations count="3">
    <dataValidation type="list" allowBlank="1" showInputMessage="1" showErrorMessage="1" sqref="C2" xr:uid="{BF742580-598D-4F3E-AEAE-A944DB450DDE}">
      <formula1>"All,Hard,Soft,External,Internal"</formula1>
    </dataValidation>
    <dataValidation type="list" allowBlank="1" showInputMessage="1" showErrorMessage="1" sqref="E2" xr:uid="{A22C6254-3C39-4E0D-8CFC-5ADB6FB465BE}">
      <formula1>"All,Clear,Blocked,At Risk,Resolved"</formula1>
    </dataValidation>
    <dataValidation type="list" allowBlank="1" showInputMessage="1" showErrorMessage="1" sqref="G2" xr:uid="{3165FD8B-6EC3-4DDC-9839-5A56BC91C1F3}">
      <formula1>"All,Release Delay,Partial Functionality,Feature Degradation,Data Sync Issue,Critical Blocker"</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191A-AD12-4F76-9689-D20E8E63ED0D}">
  <sheetPr>
    <tabColor theme="5"/>
  </sheetPr>
  <dimension ref="A1:L95"/>
  <sheetViews>
    <sheetView topLeftCell="A21" workbookViewId="0">
      <selection activeCell="H16" sqref="H16"/>
    </sheetView>
  </sheetViews>
  <sheetFormatPr defaultRowHeight="14.4" x14ac:dyDescent="0.3"/>
  <cols>
    <col min="1" max="2" width="14.77734375" customWidth="1"/>
    <col min="3" max="3" width="33.33203125" customWidth="1"/>
    <col min="4" max="4" width="18.5546875" customWidth="1"/>
    <col min="5" max="5" width="14.77734375" customWidth="1"/>
    <col min="6" max="7" width="22.21875" customWidth="1"/>
    <col min="8" max="9" width="18.5546875" customWidth="1"/>
    <col min="10" max="10" width="14.77734375" customWidth="1"/>
    <col min="11" max="11" width="37" customWidth="1"/>
    <col min="12" max="12" width="18.5546875" customWidth="1"/>
  </cols>
  <sheetData>
    <row r="1" spans="1:12" ht="21" x14ac:dyDescent="0.4">
      <c r="A1" s="393" t="s">
        <v>2631</v>
      </c>
      <c r="B1" s="368"/>
      <c r="C1" s="368"/>
      <c r="D1" s="368"/>
      <c r="E1" s="368"/>
      <c r="F1" s="368"/>
      <c r="G1" s="368"/>
      <c r="H1" s="368"/>
      <c r="I1" s="368"/>
      <c r="J1" s="368"/>
      <c r="K1" s="368"/>
      <c r="L1" s="368"/>
    </row>
    <row r="3" spans="1:12" x14ac:dyDescent="0.3">
      <c r="A3" s="61" t="s">
        <v>2632</v>
      </c>
      <c r="B3" s="61" t="s">
        <v>103</v>
      </c>
      <c r="C3" s="61" t="s">
        <v>104</v>
      </c>
      <c r="D3" s="61" t="s">
        <v>2633</v>
      </c>
      <c r="E3" s="61" t="s">
        <v>2634</v>
      </c>
      <c r="F3" s="61" t="s">
        <v>2635</v>
      </c>
      <c r="G3" s="61" t="s">
        <v>2636</v>
      </c>
      <c r="H3" s="61" t="s">
        <v>2637</v>
      </c>
      <c r="I3" s="61" t="s">
        <v>2638</v>
      </c>
      <c r="J3" s="61" t="s">
        <v>2639</v>
      </c>
      <c r="K3" s="61" t="s">
        <v>2640</v>
      </c>
      <c r="L3" s="61" t="s">
        <v>2641</v>
      </c>
    </row>
    <row r="4" spans="1:12" x14ac:dyDescent="0.3">
      <c r="A4" t="s">
        <v>2642</v>
      </c>
      <c r="B4" t="s">
        <v>115</v>
      </c>
      <c r="C4" t="s">
        <v>116</v>
      </c>
      <c r="D4" t="s">
        <v>2643</v>
      </c>
      <c r="E4" t="s">
        <v>940</v>
      </c>
      <c r="F4" t="s">
        <v>941</v>
      </c>
      <c r="G4" t="s">
        <v>943</v>
      </c>
      <c r="H4" s="3">
        <v>46199</v>
      </c>
      <c r="I4" s="3">
        <v>46200</v>
      </c>
      <c r="J4" t="s">
        <v>2644</v>
      </c>
      <c r="K4" t="s">
        <v>2645</v>
      </c>
      <c r="L4" t="s">
        <v>2646</v>
      </c>
    </row>
    <row r="5" spans="1:12" x14ac:dyDescent="0.3">
      <c r="A5" t="s">
        <v>2647</v>
      </c>
      <c r="B5" t="s">
        <v>115</v>
      </c>
      <c r="C5" t="s">
        <v>116</v>
      </c>
      <c r="D5" t="s">
        <v>2648</v>
      </c>
      <c r="E5" t="s">
        <v>1204</v>
      </c>
      <c r="F5" t="s">
        <v>2649</v>
      </c>
      <c r="G5" t="s">
        <v>1226</v>
      </c>
      <c r="H5" s="3">
        <v>46199</v>
      </c>
      <c r="I5" s="3">
        <v>46200</v>
      </c>
      <c r="J5" t="s">
        <v>2650</v>
      </c>
      <c r="K5" t="s">
        <v>2651</v>
      </c>
      <c r="L5" t="s">
        <v>2646</v>
      </c>
    </row>
    <row r="6" spans="1:12" x14ac:dyDescent="0.3">
      <c r="A6" t="s">
        <v>2652</v>
      </c>
      <c r="B6" t="s">
        <v>115</v>
      </c>
      <c r="C6" t="s">
        <v>116</v>
      </c>
      <c r="D6" t="s">
        <v>2653</v>
      </c>
      <c r="E6" t="s">
        <v>1148</v>
      </c>
      <c r="F6" t="s">
        <v>2654</v>
      </c>
      <c r="G6" t="s">
        <v>1073</v>
      </c>
      <c r="H6" s="3">
        <v>46200</v>
      </c>
      <c r="I6" s="3">
        <v>46201</v>
      </c>
      <c r="J6" t="s">
        <v>2655</v>
      </c>
      <c r="K6" t="s">
        <v>2656</v>
      </c>
      <c r="L6" t="s">
        <v>2646</v>
      </c>
    </row>
    <row r="7" spans="1:12" x14ac:dyDescent="0.3">
      <c r="A7" t="s">
        <v>2657</v>
      </c>
      <c r="B7" t="s">
        <v>125</v>
      </c>
      <c r="C7" t="s">
        <v>126</v>
      </c>
      <c r="D7" t="s">
        <v>2643</v>
      </c>
      <c r="E7" t="s">
        <v>940</v>
      </c>
      <c r="F7" t="s">
        <v>941</v>
      </c>
      <c r="G7" t="s">
        <v>943</v>
      </c>
      <c r="H7" s="3">
        <v>46203</v>
      </c>
      <c r="I7" s="3">
        <v>46204</v>
      </c>
      <c r="J7" t="s">
        <v>2578</v>
      </c>
      <c r="K7" t="s">
        <v>2651</v>
      </c>
      <c r="L7" t="s">
        <v>2646</v>
      </c>
    </row>
    <row r="8" spans="1:12" x14ac:dyDescent="0.3">
      <c r="A8" t="s">
        <v>2658</v>
      </c>
      <c r="B8" t="s">
        <v>125</v>
      </c>
      <c r="C8" t="s">
        <v>126</v>
      </c>
      <c r="D8" t="s">
        <v>2648</v>
      </c>
      <c r="E8" t="s">
        <v>1204</v>
      </c>
      <c r="F8" t="s">
        <v>2649</v>
      </c>
      <c r="G8" t="s">
        <v>1226</v>
      </c>
      <c r="H8" s="3">
        <v>46203</v>
      </c>
      <c r="I8" s="3">
        <v>46204</v>
      </c>
      <c r="J8" t="s">
        <v>2578</v>
      </c>
      <c r="K8" t="s">
        <v>2656</v>
      </c>
      <c r="L8" t="s">
        <v>2646</v>
      </c>
    </row>
    <row r="9" spans="1:12" x14ac:dyDescent="0.3">
      <c r="A9" t="s">
        <v>2659</v>
      </c>
      <c r="B9" t="s">
        <v>125</v>
      </c>
      <c r="C9" t="s">
        <v>126</v>
      </c>
      <c r="D9" t="s">
        <v>2653</v>
      </c>
      <c r="E9" t="s">
        <v>1148</v>
      </c>
      <c r="F9" t="s">
        <v>2654</v>
      </c>
      <c r="G9" t="s">
        <v>1073</v>
      </c>
      <c r="H9" s="3">
        <v>46204</v>
      </c>
      <c r="I9" s="3">
        <v>46205</v>
      </c>
      <c r="J9" t="s">
        <v>2578</v>
      </c>
      <c r="K9" t="s">
        <v>2660</v>
      </c>
      <c r="L9" t="s">
        <v>2646</v>
      </c>
    </row>
    <row r="10" spans="1:12" x14ac:dyDescent="0.3">
      <c r="A10" t="s">
        <v>2661</v>
      </c>
      <c r="B10" t="s">
        <v>125</v>
      </c>
      <c r="C10" t="s">
        <v>126</v>
      </c>
      <c r="D10" t="s">
        <v>2662</v>
      </c>
      <c r="E10" t="s">
        <v>1109</v>
      </c>
      <c r="F10" t="s">
        <v>2663</v>
      </c>
      <c r="G10" t="s">
        <v>1057</v>
      </c>
      <c r="H10" s="3">
        <v>46205</v>
      </c>
      <c r="I10" s="3">
        <v>46205</v>
      </c>
      <c r="J10" t="s">
        <v>2578</v>
      </c>
      <c r="K10" t="s">
        <v>2664</v>
      </c>
      <c r="L10" t="s">
        <v>2646</v>
      </c>
    </row>
    <row r="11" spans="1:12" x14ac:dyDescent="0.3">
      <c r="A11" t="s">
        <v>2665</v>
      </c>
      <c r="B11" t="s">
        <v>125</v>
      </c>
      <c r="C11" t="s">
        <v>126</v>
      </c>
      <c r="D11" t="s">
        <v>2666</v>
      </c>
      <c r="E11" t="s">
        <v>1115</v>
      </c>
      <c r="F11" t="s">
        <v>2667</v>
      </c>
      <c r="G11" t="s">
        <v>1057</v>
      </c>
      <c r="H11" s="3">
        <v>46205</v>
      </c>
      <c r="I11" s="3">
        <v>46205</v>
      </c>
      <c r="J11" t="s">
        <v>2578</v>
      </c>
      <c r="K11" t="s">
        <v>2668</v>
      </c>
      <c r="L11" t="s">
        <v>2646</v>
      </c>
    </row>
    <row r="12" spans="1:12" x14ac:dyDescent="0.3">
      <c r="A12" t="s">
        <v>2669</v>
      </c>
      <c r="B12" t="s">
        <v>132</v>
      </c>
      <c r="C12" t="s">
        <v>133</v>
      </c>
      <c r="D12" t="s">
        <v>2643</v>
      </c>
      <c r="E12" t="s">
        <v>940</v>
      </c>
      <c r="F12" t="s">
        <v>941</v>
      </c>
      <c r="G12" t="s">
        <v>943</v>
      </c>
      <c r="H12" s="3">
        <v>46201</v>
      </c>
      <c r="I12" s="3">
        <v>46202</v>
      </c>
      <c r="J12" t="s">
        <v>2578</v>
      </c>
      <c r="K12" t="s">
        <v>2656</v>
      </c>
      <c r="L12" t="s">
        <v>2646</v>
      </c>
    </row>
    <row r="13" spans="1:12" x14ac:dyDescent="0.3">
      <c r="A13" t="s">
        <v>2670</v>
      </c>
      <c r="B13" t="s">
        <v>132</v>
      </c>
      <c r="C13" t="s">
        <v>133</v>
      </c>
      <c r="D13" t="s">
        <v>2648</v>
      </c>
      <c r="E13" t="s">
        <v>1204</v>
      </c>
      <c r="F13" t="s">
        <v>2649</v>
      </c>
      <c r="G13" t="s">
        <v>1226</v>
      </c>
      <c r="H13" s="3">
        <v>46201</v>
      </c>
      <c r="I13" s="3">
        <v>46202</v>
      </c>
      <c r="J13" t="s">
        <v>2578</v>
      </c>
      <c r="K13" t="s">
        <v>2660</v>
      </c>
      <c r="L13" t="s">
        <v>2646</v>
      </c>
    </row>
    <row r="14" spans="1:12" x14ac:dyDescent="0.3">
      <c r="A14" t="s">
        <v>2671</v>
      </c>
      <c r="B14" t="s">
        <v>132</v>
      </c>
      <c r="C14" t="s">
        <v>133</v>
      </c>
      <c r="D14" t="s">
        <v>2653</v>
      </c>
      <c r="E14" t="s">
        <v>1148</v>
      </c>
      <c r="F14" t="s">
        <v>2654</v>
      </c>
      <c r="G14" t="s">
        <v>1073</v>
      </c>
      <c r="H14" s="3">
        <v>46202</v>
      </c>
      <c r="I14" s="3">
        <v>46203</v>
      </c>
      <c r="J14" t="s">
        <v>2578</v>
      </c>
      <c r="K14" t="s">
        <v>2672</v>
      </c>
      <c r="L14" t="s">
        <v>2646</v>
      </c>
    </row>
    <row r="15" spans="1:12" x14ac:dyDescent="0.3">
      <c r="A15" t="s">
        <v>2673</v>
      </c>
      <c r="B15" t="s">
        <v>132</v>
      </c>
      <c r="C15" t="s">
        <v>133</v>
      </c>
      <c r="D15" t="s">
        <v>2662</v>
      </c>
      <c r="E15" t="s">
        <v>1109</v>
      </c>
      <c r="F15" t="s">
        <v>2663</v>
      </c>
      <c r="G15" t="s">
        <v>1057</v>
      </c>
      <c r="H15" s="3">
        <v>46203</v>
      </c>
      <c r="I15" s="3">
        <v>46203</v>
      </c>
      <c r="J15" t="s">
        <v>2578</v>
      </c>
      <c r="K15" t="s">
        <v>2664</v>
      </c>
      <c r="L15" t="s">
        <v>2646</v>
      </c>
    </row>
    <row r="16" spans="1:12" x14ac:dyDescent="0.3">
      <c r="A16" t="s">
        <v>2674</v>
      </c>
      <c r="B16" t="s">
        <v>132</v>
      </c>
      <c r="C16" t="s">
        <v>133</v>
      </c>
      <c r="D16" t="s">
        <v>2666</v>
      </c>
      <c r="E16" t="s">
        <v>1115</v>
      </c>
      <c r="F16" t="s">
        <v>2667</v>
      </c>
      <c r="G16" t="s">
        <v>1057</v>
      </c>
      <c r="H16" s="3">
        <v>46203</v>
      </c>
      <c r="I16" s="3">
        <v>46203</v>
      </c>
      <c r="J16" t="s">
        <v>2578</v>
      </c>
      <c r="K16" t="s">
        <v>2668</v>
      </c>
      <c r="L16" t="s">
        <v>2646</v>
      </c>
    </row>
    <row r="17" spans="1:12" x14ac:dyDescent="0.3">
      <c r="A17" t="s">
        <v>2675</v>
      </c>
      <c r="B17" t="s">
        <v>136</v>
      </c>
      <c r="C17" t="s">
        <v>137</v>
      </c>
      <c r="D17" t="s">
        <v>2643</v>
      </c>
      <c r="E17" t="s">
        <v>940</v>
      </c>
      <c r="F17" t="s">
        <v>941</v>
      </c>
      <c r="G17" t="s">
        <v>943</v>
      </c>
      <c r="H17" s="3">
        <v>46211</v>
      </c>
      <c r="I17" s="3">
        <v>46212</v>
      </c>
      <c r="J17" t="s">
        <v>2578</v>
      </c>
      <c r="K17" t="s">
        <v>2660</v>
      </c>
      <c r="L17" t="s">
        <v>2676</v>
      </c>
    </row>
    <row r="18" spans="1:12" x14ac:dyDescent="0.3">
      <c r="A18" t="s">
        <v>2677</v>
      </c>
      <c r="B18" t="s">
        <v>136</v>
      </c>
      <c r="C18" t="s">
        <v>137</v>
      </c>
      <c r="D18" t="s">
        <v>2648</v>
      </c>
      <c r="E18" t="s">
        <v>1204</v>
      </c>
      <c r="F18" t="s">
        <v>2649</v>
      </c>
      <c r="G18" t="s">
        <v>1226</v>
      </c>
      <c r="H18" s="3">
        <v>46211</v>
      </c>
      <c r="I18" s="3">
        <v>46212</v>
      </c>
      <c r="J18" t="s">
        <v>2578</v>
      </c>
      <c r="K18" t="s">
        <v>2672</v>
      </c>
      <c r="L18" t="s">
        <v>2676</v>
      </c>
    </row>
    <row r="19" spans="1:12" x14ac:dyDescent="0.3">
      <c r="A19" t="s">
        <v>2678</v>
      </c>
      <c r="B19" t="s">
        <v>136</v>
      </c>
      <c r="C19" t="s">
        <v>137</v>
      </c>
      <c r="D19" t="s">
        <v>2653</v>
      </c>
      <c r="E19" t="s">
        <v>1148</v>
      </c>
      <c r="F19" t="s">
        <v>2654</v>
      </c>
      <c r="G19" t="s">
        <v>1073</v>
      </c>
      <c r="H19" s="3">
        <v>46212</v>
      </c>
      <c r="I19" s="3">
        <v>46213</v>
      </c>
      <c r="J19" t="s">
        <v>2578</v>
      </c>
      <c r="K19" t="s">
        <v>2679</v>
      </c>
      <c r="L19" t="s">
        <v>2676</v>
      </c>
    </row>
    <row r="20" spans="1:12" x14ac:dyDescent="0.3">
      <c r="A20" t="s">
        <v>2680</v>
      </c>
      <c r="B20" t="s">
        <v>136</v>
      </c>
      <c r="C20" t="s">
        <v>137</v>
      </c>
      <c r="D20" t="s">
        <v>2662</v>
      </c>
      <c r="E20" t="s">
        <v>1109</v>
      </c>
      <c r="F20" t="s">
        <v>2663</v>
      </c>
      <c r="G20" t="s">
        <v>1057</v>
      </c>
      <c r="H20" s="3">
        <v>46213</v>
      </c>
      <c r="I20" s="3"/>
      <c r="J20" t="s">
        <v>2650</v>
      </c>
      <c r="K20" t="s">
        <v>2681</v>
      </c>
      <c r="L20" t="s">
        <v>2676</v>
      </c>
    </row>
    <row r="21" spans="1:12" x14ac:dyDescent="0.3">
      <c r="A21" t="s">
        <v>2682</v>
      </c>
      <c r="B21" t="s">
        <v>150</v>
      </c>
      <c r="C21" t="s">
        <v>151</v>
      </c>
      <c r="D21" t="s">
        <v>2643</v>
      </c>
      <c r="E21" t="s">
        <v>940</v>
      </c>
      <c r="F21" t="s">
        <v>941</v>
      </c>
      <c r="G21" t="s">
        <v>943</v>
      </c>
      <c r="H21" s="3">
        <v>46203</v>
      </c>
      <c r="I21" s="3">
        <v>46204</v>
      </c>
      <c r="J21" t="s">
        <v>2578</v>
      </c>
      <c r="K21" t="s">
        <v>2683</v>
      </c>
      <c r="L21" t="s">
        <v>2646</v>
      </c>
    </row>
    <row r="22" spans="1:12" x14ac:dyDescent="0.3">
      <c r="A22" t="s">
        <v>2684</v>
      </c>
      <c r="B22" t="s">
        <v>150</v>
      </c>
      <c r="C22" t="s">
        <v>151</v>
      </c>
      <c r="D22" t="s">
        <v>2648</v>
      </c>
      <c r="E22" t="s">
        <v>1204</v>
      </c>
      <c r="F22" t="s">
        <v>2649</v>
      </c>
      <c r="G22" t="s">
        <v>1226</v>
      </c>
      <c r="H22" s="3">
        <v>46203</v>
      </c>
      <c r="I22" s="3">
        <v>46204</v>
      </c>
      <c r="J22" t="s">
        <v>2578</v>
      </c>
      <c r="K22" t="s">
        <v>2685</v>
      </c>
      <c r="L22" t="s">
        <v>2646</v>
      </c>
    </row>
    <row r="23" spans="1:12" x14ac:dyDescent="0.3">
      <c r="A23" t="s">
        <v>2686</v>
      </c>
      <c r="B23" t="s">
        <v>150</v>
      </c>
      <c r="C23" t="s">
        <v>151</v>
      </c>
      <c r="D23" t="s">
        <v>2653</v>
      </c>
      <c r="E23" t="s">
        <v>1148</v>
      </c>
      <c r="F23" t="s">
        <v>2654</v>
      </c>
      <c r="G23" t="s">
        <v>1073</v>
      </c>
      <c r="H23" s="3">
        <v>46204</v>
      </c>
      <c r="I23" s="3">
        <v>46205</v>
      </c>
      <c r="J23" t="s">
        <v>2578</v>
      </c>
      <c r="K23" t="s">
        <v>2687</v>
      </c>
      <c r="L23" t="s">
        <v>2646</v>
      </c>
    </row>
    <row r="24" spans="1:12" x14ac:dyDescent="0.3">
      <c r="A24" t="s">
        <v>2688</v>
      </c>
      <c r="B24" t="s">
        <v>150</v>
      </c>
      <c r="C24" t="s">
        <v>151</v>
      </c>
      <c r="D24" t="s">
        <v>2662</v>
      </c>
      <c r="E24" t="s">
        <v>1109</v>
      </c>
      <c r="F24" t="s">
        <v>2663</v>
      </c>
      <c r="G24" t="s">
        <v>1057</v>
      </c>
      <c r="H24" s="3">
        <v>46205</v>
      </c>
      <c r="I24" s="3">
        <v>46205</v>
      </c>
      <c r="J24" t="s">
        <v>2578</v>
      </c>
      <c r="K24" t="s">
        <v>2664</v>
      </c>
      <c r="L24" t="s">
        <v>2646</v>
      </c>
    </row>
    <row r="25" spans="1:12" x14ac:dyDescent="0.3">
      <c r="A25" t="s">
        <v>2689</v>
      </c>
      <c r="B25" t="s">
        <v>150</v>
      </c>
      <c r="C25" t="s">
        <v>151</v>
      </c>
      <c r="D25" t="s">
        <v>2666</v>
      </c>
      <c r="E25" t="s">
        <v>1115</v>
      </c>
      <c r="F25" t="s">
        <v>2667</v>
      </c>
      <c r="G25" t="s">
        <v>1057</v>
      </c>
      <c r="H25" s="3">
        <v>46205</v>
      </c>
      <c r="I25" s="3">
        <v>46205</v>
      </c>
      <c r="J25" t="s">
        <v>2578</v>
      </c>
      <c r="K25" t="s">
        <v>2668</v>
      </c>
      <c r="L25" t="s">
        <v>2646</v>
      </c>
    </row>
    <row r="26" spans="1:12" x14ac:dyDescent="0.3">
      <c r="A26" t="s">
        <v>2690</v>
      </c>
      <c r="B26" t="s">
        <v>169</v>
      </c>
      <c r="C26" t="s">
        <v>170</v>
      </c>
      <c r="D26" t="s">
        <v>2643</v>
      </c>
      <c r="E26" t="s">
        <v>940</v>
      </c>
      <c r="F26" t="s">
        <v>941</v>
      </c>
      <c r="G26" t="s">
        <v>943</v>
      </c>
      <c r="H26" s="3">
        <v>46205</v>
      </c>
      <c r="I26" s="3">
        <v>46206</v>
      </c>
      <c r="J26" t="s">
        <v>2578</v>
      </c>
      <c r="K26" t="s">
        <v>2651</v>
      </c>
      <c r="L26" t="s">
        <v>2676</v>
      </c>
    </row>
    <row r="27" spans="1:12" x14ac:dyDescent="0.3">
      <c r="A27" t="s">
        <v>2691</v>
      </c>
      <c r="B27" t="s">
        <v>169</v>
      </c>
      <c r="C27" t="s">
        <v>170</v>
      </c>
      <c r="D27" t="s">
        <v>2648</v>
      </c>
      <c r="E27" t="s">
        <v>1204</v>
      </c>
      <c r="F27" t="s">
        <v>2649</v>
      </c>
      <c r="G27" t="s">
        <v>1226</v>
      </c>
      <c r="H27" s="3">
        <v>46205</v>
      </c>
      <c r="I27" s="3">
        <v>46206</v>
      </c>
      <c r="J27" t="s">
        <v>2578</v>
      </c>
      <c r="K27" t="s">
        <v>2656</v>
      </c>
      <c r="L27" t="s">
        <v>2676</v>
      </c>
    </row>
    <row r="28" spans="1:12" x14ac:dyDescent="0.3">
      <c r="A28" t="s">
        <v>2692</v>
      </c>
      <c r="B28" t="s">
        <v>169</v>
      </c>
      <c r="C28" t="s">
        <v>170</v>
      </c>
      <c r="D28" t="s">
        <v>2653</v>
      </c>
      <c r="E28" t="s">
        <v>1148</v>
      </c>
      <c r="F28" t="s">
        <v>2654</v>
      </c>
      <c r="G28" t="s">
        <v>1073</v>
      </c>
      <c r="H28" s="3">
        <v>46206</v>
      </c>
      <c r="I28" s="3">
        <v>46207</v>
      </c>
      <c r="J28" t="s">
        <v>2578</v>
      </c>
      <c r="K28" t="s">
        <v>2660</v>
      </c>
      <c r="L28" t="s">
        <v>2676</v>
      </c>
    </row>
    <row r="29" spans="1:12" x14ac:dyDescent="0.3">
      <c r="A29" t="s">
        <v>2693</v>
      </c>
      <c r="B29" t="s">
        <v>169</v>
      </c>
      <c r="C29" t="s">
        <v>170</v>
      </c>
      <c r="D29" t="s">
        <v>2662</v>
      </c>
      <c r="E29" t="s">
        <v>1109</v>
      </c>
      <c r="F29" t="s">
        <v>2663</v>
      </c>
      <c r="G29" t="s">
        <v>1057</v>
      </c>
      <c r="H29" s="3">
        <v>46207</v>
      </c>
      <c r="I29" s="3">
        <v>46207</v>
      </c>
      <c r="J29" t="s">
        <v>2578</v>
      </c>
      <c r="K29" t="s">
        <v>2664</v>
      </c>
      <c r="L29" t="s">
        <v>2676</v>
      </c>
    </row>
    <row r="30" spans="1:12" x14ac:dyDescent="0.3">
      <c r="A30" t="s">
        <v>2694</v>
      </c>
      <c r="B30" t="s">
        <v>169</v>
      </c>
      <c r="C30" t="s">
        <v>170</v>
      </c>
      <c r="D30" t="s">
        <v>2666</v>
      </c>
      <c r="E30" t="s">
        <v>1115</v>
      </c>
      <c r="F30" t="s">
        <v>2667</v>
      </c>
      <c r="G30" t="s">
        <v>1057</v>
      </c>
      <c r="H30" s="3">
        <v>46207</v>
      </c>
      <c r="I30" s="3">
        <v>46207</v>
      </c>
      <c r="J30" t="s">
        <v>2578</v>
      </c>
      <c r="K30" t="s">
        <v>2668</v>
      </c>
      <c r="L30" t="s">
        <v>2676</v>
      </c>
    </row>
    <row r="33" spans="1:12" ht="18" x14ac:dyDescent="0.35">
      <c r="A33" s="384" t="s">
        <v>4753</v>
      </c>
      <c r="B33" s="384"/>
      <c r="C33" s="384"/>
      <c r="D33" s="384"/>
      <c r="E33" s="384"/>
      <c r="F33" s="384"/>
      <c r="G33" s="384"/>
      <c r="H33" s="384"/>
      <c r="I33" s="384"/>
      <c r="J33" s="384"/>
      <c r="K33" s="384"/>
      <c r="L33" s="161"/>
    </row>
    <row r="34" spans="1:12" x14ac:dyDescent="0.3">
      <c r="A34" s="237"/>
      <c r="B34" s="237"/>
      <c r="C34" s="237"/>
      <c r="D34" s="237"/>
      <c r="E34" s="237"/>
      <c r="F34" s="237"/>
      <c r="G34" s="237"/>
      <c r="H34" s="237"/>
      <c r="I34" s="237"/>
      <c r="J34" s="237"/>
      <c r="K34" s="237"/>
    </row>
    <row r="35" spans="1:12" x14ac:dyDescent="0.3">
      <c r="A35" s="237" t="s">
        <v>4754</v>
      </c>
      <c r="B35" s="237"/>
      <c r="C35" s="237"/>
      <c r="D35" s="237"/>
      <c r="E35" s="237"/>
      <c r="F35" s="237"/>
      <c r="G35" s="237"/>
      <c r="H35" s="237"/>
      <c r="I35" s="237"/>
      <c r="J35" s="237"/>
      <c r="K35" s="237"/>
      <c r="L35" s="223"/>
    </row>
    <row r="36" spans="1:12" x14ac:dyDescent="0.3">
      <c r="A36" s="237"/>
      <c r="B36" s="237"/>
      <c r="C36" s="237"/>
      <c r="D36" s="237"/>
      <c r="E36" s="237"/>
      <c r="F36" s="237"/>
      <c r="G36" s="237"/>
      <c r="H36" s="237"/>
      <c r="I36" s="237"/>
      <c r="J36" s="237"/>
      <c r="K36" s="237"/>
      <c r="L36" s="223"/>
    </row>
    <row r="37" spans="1:12" x14ac:dyDescent="0.3">
      <c r="A37" s="237" t="s">
        <v>4755</v>
      </c>
      <c r="B37" s="237"/>
      <c r="C37" s="237"/>
      <c r="D37" s="237"/>
      <c r="E37" s="237"/>
      <c r="F37" s="237"/>
      <c r="G37" s="237"/>
      <c r="H37" s="237"/>
      <c r="I37" s="237"/>
      <c r="J37" s="237"/>
      <c r="K37" s="237"/>
      <c r="L37" s="223"/>
    </row>
    <row r="38" spans="1:12" x14ac:dyDescent="0.3">
      <c r="A38" s="237"/>
      <c r="B38" s="237"/>
      <c r="C38" s="237"/>
      <c r="D38" s="237"/>
      <c r="E38" s="237"/>
      <c r="F38" s="237"/>
      <c r="G38" s="237"/>
      <c r="H38" s="237"/>
      <c r="I38" s="237"/>
      <c r="J38" s="237"/>
      <c r="K38" s="237"/>
      <c r="L38" s="223"/>
    </row>
    <row r="39" spans="1:12" x14ac:dyDescent="0.3">
      <c r="A39" s="237" t="s">
        <v>4756</v>
      </c>
      <c r="B39" s="237"/>
      <c r="C39" s="237"/>
      <c r="D39" s="237"/>
      <c r="E39" s="237"/>
      <c r="F39" s="237"/>
      <c r="G39" s="237"/>
      <c r="H39" s="237"/>
      <c r="I39" s="237"/>
      <c r="J39" s="237"/>
      <c r="K39" s="237"/>
      <c r="L39" s="223"/>
    </row>
    <row r="40" spans="1:12" x14ac:dyDescent="0.3">
      <c r="A40" s="237"/>
      <c r="B40" s="237"/>
      <c r="C40" s="237"/>
      <c r="D40" s="237"/>
      <c r="E40" s="237"/>
      <c r="F40" s="237"/>
      <c r="G40" s="237"/>
      <c r="H40" s="237"/>
      <c r="I40" s="237"/>
      <c r="J40" s="237"/>
      <c r="K40" s="237"/>
      <c r="L40" s="223"/>
    </row>
    <row r="41" spans="1:12" x14ac:dyDescent="0.3">
      <c r="A41" s="237" t="s">
        <v>4748</v>
      </c>
      <c r="B41" s="237"/>
      <c r="C41" s="237"/>
      <c r="D41" s="237"/>
      <c r="E41" s="237"/>
      <c r="F41" s="237"/>
      <c r="G41" s="237"/>
      <c r="H41" s="237"/>
      <c r="I41" s="237"/>
      <c r="J41" s="237"/>
      <c r="K41" s="237"/>
      <c r="L41" s="223"/>
    </row>
    <row r="42" spans="1:12" x14ac:dyDescent="0.3">
      <c r="L42" s="223"/>
    </row>
    <row r="43" spans="1:12" ht="18" x14ac:dyDescent="0.35">
      <c r="A43" s="161" t="s">
        <v>4310</v>
      </c>
      <c r="B43" s="161"/>
      <c r="C43" s="161"/>
      <c r="D43" s="161"/>
      <c r="E43" s="161"/>
      <c r="F43" s="161"/>
      <c r="G43" s="161"/>
      <c r="H43" s="161"/>
      <c r="I43" s="161"/>
      <c r="J43" s="161"/>
      <c r="K43" s="161"/>
      <c r="L43" s="223"/>
    </row>
    <row r="44" spans="1:12" x14ac:dyDescent="0.3">
      <c r="L44" s="223"/>
    </row>
    <row r="45" spans="1:12" ht="15.6" x14ac:dyDescent="0.3">
      <c r="A45" s="222" t="s">
        <v>4311</v>
      </c>
      <c r="B45" s="223"/>
      <c r="C45" s="223"/>
      <c r="D45" s="223"/>
      <c r="E45" s="223"/>
      <c r="F45" s="223"/>
      <c r="G45" s="223"/>
      <c r="H45" s="223"/>
      <c r="I45" s="223"/>
      <c r="J45" s="223"/>
      <c r="K45" s="223"/>
      <c r="L45" s="223"/>
    </row>
    <row r="46" spans="1:12" x14ac:dyDescent="0.3">
      <c r="A46" s="223" t="s">
        <v>4312</v>
      </c>
      <c r="B46" s="223"/>
      <c r="C46" s="223"/>
      <c r="D46" s="223"/>
      <c r="E46" s="223"/>
      <c r="F46" s="223"/>
      <c r="G46" s="223"/>
      <c r="H46" s="223"/>
      <c r="I46" s="223"/>
      <c r="J46" s="223"/>
      <c r="K46" s="223"/>
      <c r="L46" s="223"/>
    </row>
    <row r="47" spans="1:12" x14ac:dyDescent="0.3">
      <c r="A47" s="223" t="s">
        <v>4313</v>
      </c>
      <c r="B47" s="223"/>
      <c r="C47" s="223"/>
      <c r="D47" s="223"/>
      <c r="E47" s="223"/>
      <c r="F47" s="223"/>
      <c r="G47" s="223"/>
      <c r="H47" s="223"/>
      <c r="I47" s="223"/>
      <c r="J47" s="223"/>
      <c r="K47" s="223"/>
      <c r="L47" s="223"/>
    </row>
    <row r="48" spans="1:12" x14ac:dyDescent="0.3">
      <c r="A48" s="223"/>
      <c r="B48" s="223"/>
      <c r="C48" s="223"/>
      <c r="D48" s="223"/>
      <c r="E48" s="223"/>
      <c r="F48" s="223"/>
      <c r="G48" s="223"/>
      <c r="H48" s="223"/>
      <c r="I48" s="223"/>
      <c r="J48" s="223"/>
      <c r="K48" s="223"/>
      <c r="L48" s="223"/>
    </row>
    <row r="49" spans="1:12" x14ac:dyDescent="0.3">
      <c r="A49" s="223" t="s">
        <v>4314</v>
      </c>
      <c r="B49" s="223"/>
      <c r="C49" s="223"/>
      <c r="D49" s="223"/>
      <c r="E49" s="223"/>
      <c r="F49" s="223"/>
      <c r="G49" s="223"/>
      <c r="H49" s="223"/>
      <c r="I49" s="223"/>
      <c r="J49" s="223"/>
      <c r="K49" s="223"/>
      <c r="L49" s="223"/>
    </row>
    <row r="50" spans="1:12" x14ac:dyDescent="0.3">
      <c r="A50" s="223" t="s">
        <v>4315</v>
      </c>
      <c r="B50" s="223"/>
      <c r="C50" s="223"/>
      <c r="D50" s="223"/>
      <c r="E50" s="223"/>
      <c r="F50" s="223"/>
      <c r="G50" s="223"/>
      <c r="H50" s="223"/>
      <c r="I50" s="223"/>
      <c r="J50" s="223"/>
      <c r="K50" s="223"/>
      <c r="L50" s="223"/>
    </row>
    <row r="51" spans="1:12" x14ac:dyDescent="0.3">
      <c r="A51" s="223" t="s">
        <v>4316</v>
      </c>
      <c r="B51" s="223"/>
      <c r="C51" s="223"/>
      <c r="D51" s="223"/>
      <c r="E51" s="223"/>
      <c r="F51" s="223"/>
      <c r="G51" s="223"/>
      <c r="H51" s="223"/>
      <c r="I51" s="223"/>
      <c r="J51" s="223"/>
      <c r="K51" s="223"/>
      <c r="L51" s="223"/>
    </row>
    <row r="52" spans="1:12" x14ac:dyDescent="0.3">
      <c r="A52" s="223" t="s">
        <v>4317</v>
      </c>
      <c r="B52" s="223"/>
      <c r="C52" s="223"/>
      <c r="D52" s="223"/>
      <c r="E52" s="223"/>
      <c r="F52" s="223"/>
      <c r="G52" s="223"/>
      <c r="H52" s="223"/>
      <c r="I52" s="223"/>
      <c r="J52" s="223"/>
      <c r="K52" s="223"/>
      <c r="L52" s="223"/>
    </row>
    <row r="53" spans="1:12" x14ac:dyDescent="0.3">
      <c r="A53" s="223" t="s">
        <v>4318</v>
      </c>
      <c r="B53" s="223"/>
      <c r="C53" s="223"/>
      <c r="D53" s="223"/>
      <c r="E53" s="223"/>
      <c r="F53" s="223"/>
      <c r="G53" s="223"/>
      <c r="H53" s="223"/>
      <c r="I53" s="223"/>
      <c r="J53" s="223"/>
      <c r="K53" s="223"/>
      <c r="L53" s="223"/>
    </row>
    <row r="54" spans="1:12" x14ac:dyDescent="0.3">
      <c r="A54" s="223"/>
      <c r="B54" s="223"/>
      <c r="C54" s="223"/>
      <c r="D54" s="223"/>
      <c r="E54" s="223"/>
      <c r="F54" s="223"/>
      <c r="G54" s="223"/>
      <c r="H54" s="223"/>
      <c r="I54" s="223"/>
      <c r="J54" s="223"/>
      <c r="K54" s="223"/>
      <c r="L54" s="223"/>
    </row>
    <row r="55" spans="1:12" ht="15.6" x14ac:dyDescent="0.3">
      <c r="A55" s="222" t="s">
        <v>4319</v>
      </c>
      <c r="B55" s="223"/>
      <c r="C55" s="223"/>
      <c r="D55" s="223"/>
      <c r="E55" s="223"/>
      <c r="F55" s="223"/>
      <c r="G55" s="223"/>
      <c r="H55" s="223"/>
      <c r="I55" s="223"/>
      <c r="J55" s="223"/>
      <c r="K55" s="223"/>
      <c r="L55" s="223"/>
    </row>
    <row r="56" spans="1:12" x14ac:dyDescent="0.3">
      <c r="A56" s="223"/>
      <c r="B56" s="223"/>
      <c r="C56" s="223"/>
      <c r="D56" s="223"/>
      <c r="E56" s="223"/>
      <c r="F56" s="223"/>
      <c r="G56" s="223"/>
      <c r="H56" s="223"/>
      <c r="I56" s="223"/>
      <c r="J56" s="223"/>
      <c r="K56" s="223"/>
      <c r="L56" s="223"/>
    </row>
    <row r="57" spans="1:12" x14ac:dyDescent="0.3">
      <c r="A57" s="224" t="s">
        <v>383</v>
      </c>
      <c r="B57" s="224" t="s">
        <v>4320</v>
      </c>
      <c r="C57" s="224" t="s">
        <v>4321</v>
      </c>
      <c r="D57" s="223"/>
      <c r="E57" s="223"/>
      <c r="F57" s="223"/>
      <c r="G57" s="223"/>
      <c r="H57" s="223"/>
      <c r="I57" s="223"/>
      <c r="J57" s="223"/>
      <c r="K57" s="223"/>
      <c r="L57" s="223"/>
    </row>
    <row r="58" spans="1:12" x14ac:dyDescent="0.3">
      <c r="A58" s="223" t="s">
        <v>2643</v>
      </c>
      <c r="B58" s="223" t="s">
        <v>1211</v>
      </c>
      <c r="C58" s="223" t="s">
        <v>4322</v>
      </c>
      <c r="D58" s="223"/>
      <c r="E58" s="223"/>
      <c r="F58" s="223"/>
      <c r="G58" s="223"/>
      <c r="H58" s="223"/>
      <c r="I58" s="223"/>
      <c r="J58" s="223"/>
      <c r="K58" s="223"/>
      <c r="L58" s="223"/>
    </row>
    <row r="59" spans="1:12" x14ac:dyDescent="0.3">
      <c r="A59" s="223" t="s">
        <v>2648</v>
      </c>
      <c r="B59" s="223" t="s">
        <v>2854</v>
      </c>
      <c r="C59" s="223" t="s">
        <v>4323</v>
      </c>
      <c r="D59" s="223"/>
      <c r="E59" s="223"/>
      <c r="F59" s="223"/>
      <c r="G59" s="223"/>
      <c r="H59" s="223"/>
      <c r="I59" s="223"/>
      <c r="J59" s="223"/>
      <c r="K59" s="223"/>
      <c r="L59" s="223"/>
    </row>
    <row r="60" spans="1:12" x14ac:dyDescent="0.3">
      <c r="A60" s="223" t="s">
        <v>2653</v>
      </c>
      <c r="B60" s="223" t="s">
        <v>3170</v>
      </c>
      <c r="C60" s="223" t="s">
        <v>4324</v>
      </c>
      <c r="D60" s="223"/>
      <c r="E60" s="223"/>
      <c r="F60" s="223"/>
      <c r="G60" s="223"/>
      <c r="H60" s="223"/>
      <c r="I60" s="223"/>
      <c r="J60" s="223"/>
      <c r="K60" s="223"/>
      <c r="L60" s="223"/>
    </row>
    <row r="61" spans="1:12" x14ac:dyDescent="0.3">
      <c r="A61" s="223" t="s">
        <v>2662</v>
      </c>
      <c r="B61" s="223" t="s">
        <v>1057</v>
      </c>
      <c r="C61" s="223" t="s">
        <v>4325</v>
      </c>
      <c r="D61" s="223"/>
      <c r="E61" s="223"/>
      <c r="F61" s="223"/>
      <c r="G61" s="223"/>
      <c r="H61" s="223"/>
      <c r="I61" s="223"/>
      <c r="J61" s="223"/>
      <c r="K61" s="223"/>
      <c r="L61" s="223"/>
    </row>
    <row r="62" spans="1:12" x14ac:dyDescent="0.3">
      <c r="A62" s="223"/>
      <c r="B62" s="223"/>
      <c r="C62" s="223"/>
      <c r="D62" s="223"/>
      <c r="E62" s="223"/>
      <c r="F62" s="223"/>
      <c r="G62" s="223"/>
      <c r="H62" s="223"/>
      <c r="I62" s="223"/>
      <c r="J62" s="223"/>
      <c r="K62" s="223"/>
      <c r="L62" s="223"/>
    </row>
    <row r="63" spans="1:12" ht="15.6" x14ac:dyDescent="0.3">
      <c r="A63" s="222" t="s">
        <v>4326</v>
      </c>
      <c r="B63" s="223"/>
      <c r="C63" s="223"/>
      <c r="D63" s="223"/>
      <c r="E63" s="223"/>
      <c r="F63" s="223"/>
      <c r="G63" s="223"/>
      <c r="H63" s="223"/>
      <c r="I63" s="223"/>
      <c r="J63" s="223"/>
      <c r="K63" s="223"/>
      <c r="L63" s="223"/>
    </row>
    <row r="64" spans="1:12" x14ac:dyDescent="0.3">
      <c r="A64" s="223"/>
      <c r="B64" s="223"/>
      <c r="C64" s="223"/>
      <c r="D64" s="223"/>
      <c r="E64" s="223"/>
      <c r="F64" s="223"/>
      <c r="G64" s="223"/>
      <c r="H64" s="223"/>
      <c r="I64" s="223"/>
      <c r="J64" s="223"/>
      <c r="K64" s="223"/>
      <c r="L64" s="223"/>
    </row>
    <row r="65" spans="1:12" x14ac:dyDescent="0.3">
      <c r="A65" s="223" t="s">
        <v>4327</v>
      </c>
      <c r="B65" s="223"/>
      <c r="C65" s="223"/>
      <c r="D65" s="223"/>
      <c r="E65" s="223"/>
      <c r="F65" s="223"/>
      <c r="G65" s="223"/>
      <c r="H65" s="223"/>
      <c r="I65" s="223"/>
      <c r="J65" s="223"/>
      <c r="K65" s="223"/>
      <c r="L65" s="223"/>
    </row>
    <row r="66" spans="1:12" x14ac:dyDescent="0.3">
      <c r="A66" s="223" t="s">
        <v>4328</v>
      </c>
      <c r="B66" s="223"/>
      <c r="C66" s="223"/>
      <c r="D66" s="223"/>
      <c r="E66" s="223"/>
      <c r="F66" s="223"/>
      <c r="G66" s="223"/>
      <c r="H66" s="223"/>
      <c r="I66" s="223"/>
      <c r="J66" s="223"/>
      <c r="K66" s="223"/>
      <c r="L66" s="223"/>
    </row>
    <row r="67" spans="1:12" x14ac:dyDescent="0.3">
      <c r="A67" s="223" t="s">
        <v>4329</v>
      </c>
      <c r="B67" s="223"/>
      <c r="C67" s="223"/>
      <c r="D67" s="223"/>
      <c r="E67" s="223"/>
      <c r="F67" s="223"/>
      <c r="G67" s="223"/>
      <c r="H67" s="223"/>
      <c r="I67" s="223"/>
      <c r="J67" s="223"/>
      <c r="K67" s="223"/>
      <c r="L67" s="223"/>
    </row>
    <row r="68" spans="1:12" x14ac:dyDescent="0.3">
      <c r="A68" s="223" t="s">
        <v>4330</v>
      </c>
      <c r="B68" s="223"/>
      <c r="C68" s="223"/>
      <c r="D68" s="223"/>
      <c r="E68" s="223"/>
      <c r="F68" s="223"/>
      <c r="G68" s="223"/>
      <c r="H68" s="223"/>
      <c r="I68" s="223"/>
      <c r="J68" s="223"/>
      <c r="K68" s="223"/>
      <c r="L68" s="223"/>
    </row>
    <row r="69" spans="1:12" x14ac:dyDescent="0.3">
      <c r="A69" s="223" t="s">
        <v>4331</v>
      </c>
      <c r="B69" s="223"/>
      <c r="C69" s="223"/>
      <c r="D69" s="223"/>
      <c r="E69" s="223"/>
      <c r="F69" s="223"/>
      <c r="G69" s="223"/>
      <c r="H69" s="223"/>
      <c r="I69" s="223"/>
      <c r="J69" s="223"/>
      <c r="K69" s="223"/>
      <c r="L69" s="223"/>
    </row>
    <row r="70" spans="1:12" x14ac:dyDescent="0.3">
      <c r="A70" s="223"/>
      <c r="B70" s="223"/>
      <c r="C70" s="223"/>
      <c r="D70" s="223"/>
      <c r="E70" s="223"/>
      <c r="F70" s="223"/>
      <c r="G70" s="223"/>
      <c r="H70" s="223"/>
      <c r="I70" s="223"/>
      <c r="J70" s="223"/>
      <c r="K70" s="223"/>
      <c r="L70" s="223"/>
    </row>
    <row r="71" spans="1:12" ht="15.6" x14ac:dyDescent="0.3">
      <c r="A71" s="222" t="s">
        <v>4292</v>
      </c>
      <c r="B71" s="223"/>
      <c r="C71" s="223"/>
      <c r="D71" s="223"/>
      <c r="E71" s="223"/>
      <c r="F71" s="223"/>
      <c r="G71" s="223"/>
      <c r="H71" s="223"/>
      <c r="I71" s="223"/>
      <c r="J71" s="223"/>
      <c r="K71" s="223"/>
      <c r="L71" s="223"/>
    </row>
    <row r="72" spans="1:12" x14ac:dyDescent="0.3">
      <c r="A72" s="223"/>
      <c r="B72" s="223"/>
      <c r="C72" s="223"/>
      <c r="D72" s="223"/>
      <c r="E72" s="223"/>
      <c r="F72" s="223"/>
      <c r="G72" s="223"/>
      <c r="H72" s="223"/>
      <c r="I72" s="223"/>
      <c r="J72" s="223"/>
      <c r="K72" s="223"/>
      <c r="L72" s="223"/>
    </row>
    <row r="73" spans="1:12" x14ac:dyDescent="0.3">
      <c r="A73" s="223" t="s">
        <v>4332</v>
      </c>
      <c r="B73" s="223"/>
      <c r="C73" s="223"/>
      <c r="D73" s="223"/>
      <c r="E73" s="223"/>
      <c r="F73" s="223"/>
      <c r="G73" s="223"/>
      <c r="H73" s="223"/>
      <c r="I73" s="223"/>
      <c r="J73" s="223"/>
      <c r="K73" s="223"/>
      <c r="L73" s="223"/>
    </row>
    <row r="74" spans="1:12" x14ac:dyDescent="0.3">
      <c r="A74" s="223" t="s">
        <v>4333</v>
      </c>
      <c r="B74" s="223"/>
      <c r="C74" s="223"/>
      <c r="D74" s="223"/>
      <c r="E74" s="223"/>
      <c r="F74" s="223"/>
      <c r="G74" s="223"/>
      <c r="H74" s="223"/>
      <c r="I74" s="223"/>
      <c r="J74" s="223"/>
      <c r="K74" s="223"/>
      <c r="L74" s="223"/>
    </row>
    <row r="75" spans="1:12" x14ac:dyDescent="0.3">
      <c r="A75" s="223" t="s">
        <v>4334</v>
      </c>
      <c r="B75" s="223"/>
      <c r="C75" s="223"/>
      <c r="D75" s="223"/>
      <c r="E75" s="223"/>
      <c r="F75" s="223"/>
      <c r="G75" s="223"/>
      <c r="H75" s="223"/>
      <c r="I75" s="223"/>
      <c r="J75" s="223"/>
      <c r="K75" s="223"/>
      <c r="L75" s="223"/>
    </row>
    <row r="76" spans="1:12" x14ac:dyDescent="0.3">
      <c r="A76" s="223" t="s">
        <v>4335</v>
      </c>
      <c r="B76" s="223"/>
      <c r="C76" s="223"/>
      <c r="D76" s="223"/>
      <c r="E76" s="223"/>
      <c r="F76" s="223"/>
      <c r="G76" s="223"/>
      <c r="H76" s="223"/>
      <c r="I76" s="223"/>
      <c r="J76" s="223"/>
      <c r="K76" s="223"/>
      <c r="L76" s="223"/>
    </row>
    <row r="77" spans="1:12" x14ac:dyDescent="0.3">
      <c r="A77" s="223"/>
      <c r="B77" s="223"/>
      <c r="C77" s="223"/>
      <c r="D77" s="223"/>
      <c r="E77" s="223"/>
      <c r="F77" s="223"/>
      <c r="G77" s="223"/>
      <c r="H77" s="223"/>
      <c r="I77" s="223"/>
      <c r="J77" s="223"/>
      <c r="K77" s="223"/>
      <c r="L77" s="223"/>
    </row>
    <row r="78" spans="1:12" x14ac:dyDescent="0.3">
      <c r="A78" s="223" t="s">
        <v>4336</v>
      </c>
      <c r="B78" s="223"/>
      <c r="C78" s="223"/>
      <c r="D78" s="223"/>
      <c r="E78" s="223"/>
      <c r="F78" s="223"/>
      <c r="G78" s="223"/>
      <c r="H78" s="223"/>
      <c r="I78" s="223"/>
      <c r="J78" s="223"/>
      <c r="K78" s="223"/>
      <c r="L78" s="223"/>
    </row>
    <row r="79" spans="1:12" x14ac:dyDescent="0.3">
      <c r="A79" s="223" t="s">
        <v>4337</v>
      </c>
      <c r="B79" s="223"/>
      <c r="C79" s="223"/>
      <c r="D79" s="223"/>
      <c r="E79" s="223"/>
      <c r="F79" s="223"/>
      <c r="G79" s="223"/>
      <c r="H79" s="223"/>
      <c r="I79" s="223"/>
      <c r="J79" s="223"/>
      <c r="K79" s="223"/>
      <c r="L79" s="223"/>
    </row>
    <row r="80" spans="1:12" x14ac:dyDescent="0.3">
      <c r="A80" s="223" t="s">
        <v>4338</v>
      </c>
      <c r="B80" s="223"/>
      <c r="C80" s="223"/>
      <c r="D80" s="223"/>
      <c r="E80" s="223"/>
      <c r="F80" s="223"/>
      <c r="G80" s="223"/>
      <c r="H80" s="223"/>
      <c r="I80" s="223"/>
      <c r="J80" s="223"/>
      <c r="K80" s="223"/>
      <c r="L80" s="223"/>
    </row>
    <row r="81" spans="1:12" x14ac:dyDescent="0.3">
      <c r="A81" s="223" t="s">
        <v>4339</v>
      </c>
      <c r="B81" s="223"/>
      <c r="C81" s="223"/>
      <c r="D81" s="223"/>
      <c r="E81" s="223"/>
      <c r="F81" s="223"/>
      <c r="G81" s="223"/>
      <c r="H81" s="223"/>
      <c r="I81" s="223"/>
      <c r="J81" s="223"/>
      <c r="K81" s="223"/>
      <c r="L81" s="223"/>
    </row>
    <row r="82" spans="1:12" x14ac:dyDescent="0.3">
      <c r="A82" s="223"/>
      <c r="B82" s="223"/>
      <c r="C82" s="223"/>
      <c r="D82" s="223"/>
      <c r="E82" s="223"/>
      <c r="F82" s="223"/>
      <c r="G82" s="223"/>
      <c r="H82" s="223"/>
      <c r="I82" s="223"/>
      <c r="J82" s="223"/>
      <c r="K82" s="223"/>
      <c r="L82" s="223"/>
    </row>
    <row r="83" spans="1:12" x14ac:dyDescent="0.3">
      <c r="A83" s="223" t="s">
        <v>4340</v>
      </c>
      <c r="B83" s="223"/>
      <c r="C83" s="223"/>
      <c r="D83" s="223"/>
      <c r="E83" s="223"/>
      <c r="F83" s="223"/>
      <c r="G83" s="223"/>
      <c r="H83" s="223"/>
      <c r="I83" s="223"/>
      <c r="J83" s="223"/>
      <c r="K83" s="223"/>
      <c r="L83" s="223"/>
    </row>
    <row r="84" spans="1:12" x14ac:dyDescent="0.3">
      <c r="A84" s="223" t="s">
        <v>4341</v>
      </c>
      <c r="B84" s="223"/>
      <c r="C84" s="223"/>
      <c r="D84" s="223"/>
      <c r="E84" s="223"/>
      <c r="F84" s="223"/>
      <c r="G84" s="223"/>
      <c r="H84" s="223"/>
      <c r="I84" s="223"/>
      <c r="J84" s="223"/>
      <c r="K84" s="223"/>
      <c r="L84" s="223"/>
    </row>
    <row r="85" spans="1:12" x14ac:dyDescent="0.3">
      <c r="A85" s="223" t="s">
        <v>4342</v>
      </c>
      <c r="B85" s="223"/>
      <c r="C85" s="223"/>
      <c r="D85" s="223"/>
      <c r="E85" s="223"/>
      <c r="F85" s="223"/>
      <c r="G85" s="223"/>
      <c r="H85" s="223"/>
      <c r="I85" s="223"/>
      <c r="J85" s="223"/>
      <c r="K85" s="223"/>
      <c r="L85" s="223"/>
    </row>
    <row r="86" spans="1:12" x14ac:dyDescent="0.3">
      <c r="A86" s="223" t="s">
        <v>4343</v>
      </c>
      <c r="B86" s="223"/>
      <c r="C86" s="223"/>
      <c r="D86" s="223"/>
      <c r="E86" s="223"/>
      <c r="F86" s="223"/>
      <c r="G86" s="223"/>
      <c r="H86" s="223"/>
      <c r="I86" s="223"/>
      <c r="J86" s="223"/>
      <c r="K86" s="223"/>
    </row>
    <row r="87" spans="1:12" x14ac:dyDescent="0.3">
      <c r="A87" s="223"/>
      <c r="B87" s="223"/>
      <c r="C87" s="223"/>
      <c r="D87" s="223"/>
      <c r="E87" s="223"/>
      <c r="F87" s="223"/>
      <c r="G87" s="223"/>
      <c r="H87" s="223"/>
      <c r="I87" s="223"/>
      <c r="J87" s="223"/>
      <c r="K87" s="223"/>
    </row>
    <row r="88" spans="1:12" x14ac:dyDescent="0.3">
      <c r="A88" s="225" t="s">
        <v>4257</v>
      </c>
      <c r="B88" s="223"/>
      <c r="C88" s="223"/>
      <c r="D88" s="223"/>
      <c r="E88" s="223"/>
      <c r="F88" s="223"/>
      <c r="G88" s="223"/>
      <c r="H88" s="223"/>
      <c r="I88" s="223"/>
      <c r="J88" s="223"/>
      <c r="K88" s="223"/>
    </row>
    <row r="89" spans="1:12" x14ac:dyDescent="0.3">
      <c r="A89" s="223"/>
      <c r="B89" s="223"/>
      <c r="C89" s="223"/>
      <c r="D89" s="223"/>
      <c r="E89" s="223"/>
      <c r="F89" s="223"/>
      <c r="G89" s="223"/>
      <c r="H89" s="223"/>
      <c r="I89" s="223"/>
      <c r="J89" s="223"/>
      <c r="K89" s="223"/>
    </row>
    <row r="90" spans="1:12" x14ac:dyDescent="0.3">
      <c r="A90" s="223" t="s">
        <v>4344</v>
      </c>
      <c r="B90" s="223"/>
      <c r="C90" s="223"/>
      <c r="D90" s="223"/>
      <c r="E90" s="223"/>
      <c r="F90" s="223"/>
      <c r="G90" s="223"/>
      <c r="H90" s="223"/>
      <c r="I90" s="223"/>
      <c r="J90" s="223"/>
      <c r="K90" s="223"/>
    </row>
    <row r="91" spans="1:12" x14ac:dyDescent="0.3">
      <c r="A91" s="223" t="s">
        <v>4345</v>
      </c>
      <c r="B91" s="223"/>
      <c r="C91" s="223"/>
      <c r="D91" s="223"/>
      <c r="E91" s="223"/>
      <c r="F91" s="223"/>
      <c r="G91" s="223"/>
      <c r="H91" s="223"/>
      <c r="I91" s="223"/>
      <c r="J91" s="223"/>
      <c r="K91" s="223"/>
    </row>
    <row r="92" spans="1:12" x14ac:dyDescent="0.3">
      <c r="A92" s="223" t="s">
        <v>4346</v>
      </c>
      <c r="B92" s="223"/>
      <c r="C92" s="223"/>
      <c r="D92" s="223"/>
      <c r="E92" s="223"/>
      <c r="F92" s="223"/>
      <c r="G92" s="223"/>
      <c r="H92" s="223"/>
      <c r="I92" s="223"/>
      <c r="J92" s="223"/>
      <c r="K92" s="223"/>
    </row>
    <row r="93" spans="1:12" x14ac:dyDescent="0.3">
      <c r="A93" s="223" t="s">
        <v>4347</v>
      </c>
      <c r="B93" s="223"/>
      <c r="C93" s="223"/>
      <c r="D93" s="223"/>
      <c r="E93" s="223"/>
      <c r="F93" s="223"/>
      <c r="G93" s="223"/>
      <c r="H93" s="223"/>
      <c r="I93" s="223"/>
      <c r="J93" s="223"/>
      <c r="K93" s="223"/>
    </row>
    <row r="94" spans="1:12" x14ac:dyDescent="0.3">
      <c r="A94" s="223" t="s">
        <v>4348</v>
      </c>
      <c r="B94" s="223"/>
      <c r="C94" s="223"/>
      <c r="D94" s="223"/>
      <c r="E94" s="223"/>
      <c r="F94" s="223"/>
      <c r="G94" s="223"/>
      <c r="H94" s="223"/>
      <c r="I94" s="223"/>
      <c r="J94" s="223"/>
      <c r="K94" s="223"/>
    </row>
    <row r="95" spans="1:12" x14ac:dyDescent="0.3">
      <c r="A95" s="223" t="s">
        <v>4349</v>
      </c>
      <c r="B95" s="223"/>
      <c r="C95" s="223"/>
      <c r="D95" s="223"/>
      <c r="E95" s="223"/>
      <c r="F95" s="223"/>
      <c r="G95" s="223"/>
      <c r="H95" s="223"/>
      <c r="I95" s="223"/>
      <c r="J95" s="223"/>
      <c r="K95" s="223"/>
    </row>
  </sheetData>
  <mergeCells count="2">
    <mergeCell ref="A1:L1"/>
    <mergeCell ref="A33:K33"/>
  </mergeCells>
  <conditionalFormatting sqref="J4:J30">
    <cfRule type="containsText" dxfId="6" priority="1" operator="containsText" text="Approved">
      <formula>NOT(ISERROR(SEARCH("Approved",J4)))</formula>
    </cfRule>
    <cfRule type="containsText" dxfId="5" priority="2" operator="containsText" text="Pending">
      <formula>NOT(ISERROR(SEARCH("Pending",J4)))</formula>
    </cfRule>
    <cfRule type="containsText" dxfId="4" priority="3" operator="containsText" text="Rejected">
      <formula>NOT(ISERROR(SEARCH("Rejected",J4)))</formula>
    </cfRule>
    <cfRule type="containsText" dxfId="3" priority="4" operator="containsText" text="Conditions">
      <formula>NOT(ISERROR(SEARCH("Conditions",J4)))</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254B-8699-4F66-8120-98973CACCA29}">
  <sheetPr>
    <tabColor theme="5"/>
  </sheetPr>
  <dimension ref="A1:L92"/>
  <sheetViews>
    <sheetView workbookViewId="0">
      <pane ySplit="3" topLeftCell="A22" activePane="bottomLeft" state="frozen"/>
      <selection activeCell="G26" sqref="G26"/>
      <selection pane="bottomLeft" activeCell="H16" sqref="H16"/>
    </sheetView>
  </sheetViews>
  <sheetFormatPr defaultRowHeight="14.4" x14ac:dyDescent="0.3"/>
  <cols>
    <col min="1" max="2" width="13" customWidth="1"/>
    <col min="3" max="4" width="24.109375" customWidth="1"/>
    <col min="5" max="8" width="18.5546875" customWidth="1"/>
    <col min="9" max="9" width="9.21875" customWidth="1"/>
    <col min="10" max="10" width="29.6640625" customWidth="1"/>
    <col min="11" max="11" width="37" customWidth="1"/>
    <col min="12" max="12" width="14.77734375" customWidth="1"/>
  </cols>
  <sheetData>
    <row r="1" spans="1:12" ht="45" customHeight="1" x14ac:dyDescent="0.3">
      <c r="A1" s="2" t="s">
        <v>4173</v>
      </c>
      <c r="B1" s="1" t="s">
        <v>4125</v>
      </c>
      <c r="C1" s="220" t="s">
        <v>4174</v>
      </c>
      <c r="D1" s="1" t="s">
        <v>4214</v>
      </c>
      <c r="E1" s="220" t="s">
        <v>4096</v>
      </c>
      <c r="F1" s="1" t="s">
        <v>4215</v>
      </c>
      <c r="G1" s="220" t="s">
        <v>4096</v>
      </c>
      <c r="H1" s="1" t="s">
        <v>4216</v>
      </c>
      <c r="I1" s="220" t="s">
        <v>4096</v>
      </c>
    </row>
    <row r="2" spans="1:12" x14ac:dyDescent="0.3">
      <c r="A2" s="1" t="s">
        <v>4201</v>
      </c>
      <c r="B2" t="str" cm="1">
        <f t="array" aca="1" ref="B2" ca="1">SUMPRODUCT((A4:A35&lt;&gt;"")*IF(C1="All Time",1,IF(C1="Today",(F4:F35&lt;=TODAY())*(G4:G35&gt;=TODAY()),IF(C1="This Week",(F4:F35&lt;=TODAY()+7)*(G4:G35&gt;=TODAY()),IF(C1="This Month",(F4:F35&lt;=TODAY()+30)*(G4:G35&gt;=TODAY()),(F4:F35&gt;=DATE(YEAR(TODAY()),1,1))*(G4:G35&lt;=DATE(YEAR(TODAY()),12,31))))))*IF(E1="All",1,E4:E35=E1)*IF(G1="All",1,H4:H35=G1)*IF(I1="All",1,ISNUMBER(SEARCH(I1,K4:K35))))&amp;" of "&amp;COUNTA(A4:A35)&amp;" leave records"</f>
        <v>30 of 30 leave records</v>
      </c>
      <c r="D2" s="394" t="s">
        <v>4217</v>
      </c>
      <c r="E2" s="339"/>
      <c r="F2" s="339"/>
      <c r="G2" s="339"/>
      <c r="H2" s="339"/>
    </row>
    <row r="3" spans="1:12" ht="25.05" customHeight="1" x14ac:dyDescent="0.3">
      <c r="A3" s="2" t="s">
        <v>1938</v>
      </c>
      <c r="B3" s="2" t="s">
        <v>935</v>
      </c>
      <c r="C3" s="2" t="s">
        <v>1939</v>
      </c>
      <c r="D3" s="2" t="s">
        <v>1</v>
      </c>
      <c r="E3" s="2" t="s">
        <v>936</v>
      </c>
      <c r="F3" s="2" t="s">
        <v>1940</v>
      </c>
      <c r="G3" s="2" t="s">
        <v>1941</v>
      </c>
      <c r="H3" s="2" t="s">
        <v>1942</v>
      </c>
      <c r="I3" s="2" t="s">
        <v>1943</v>
      </c>
      <c r="J3" s="2" t="s">
        <v>1944</v>
      </c>
      <c r="K3" s="2" t="s">
        <v>1945</v>
      </c>
      <c r="L3" s="2" t="s">
        <v>2330</v>
      </c>
    </row>
    <row r="4" spans="1:12" x14ac:dyDescent="0.3">
      <c r="A4" t="s">
        <v>1946</v>
      </c>
      <c r="B4" t="s">
        <v>979</v>
      </c>
      <c r="C4" t="s">
        <v>980</v>
      </c>
      <c r="D4" t="s">
        <v>982</v>
      </c>
      <c r="E4" t="s">
        <v>983</v>
      </c>
      <c r="F4" s="3">
        <v>46203</v>
      </c>
      <c r="G4" s="3">
        <v>46207</v>
      </c>
      <c r="H4" t="s">
        <v>1947</v>
      </c>
      <c r="I4">
        <v>5</v>
      </c>
      <c r="J4" t="s">
        <v>1948</v>
      </c>
      <c r="K4" t="s">
        <v>1949</v>
      </c>
      <c r="L4">
        <v>4</v>
      </c>
    </row>
    <row r="5" spans="1:12" x14ac:dyDescent="0.3">
      <c r="A5" t="s">
        <v>1950</v>
      </c>
      <c r="B5" t="s">
        <v>1018</v>
      </c>
      <c r="C5" t="s">
        <v>1951</v>
      </c>
      <c r="D5" t="s">
        <v>5</v>
      </c>
      <c r="E5" t="s">
        <v>5</v>
      </c>
      <c r="F5" s="3">
        <v>46205</v>
      </c>
      <c r="G5" s="3">
        <v>46209</v>
      </c>
      <c r="H5" t="s">
        <v>1952</v>
      </c>
      <c r="I5">
        <v>5</v>
      </c>
      <c r="J5" t="s">
        <v>132</v>
      </c>
      <c r="K5" t="s">
        <v>1953</v>
      </c>
      <c r="L5">
        <v>3</v>
      </c>
    </row>
    <row r="6" spans="1:12" x14ac:dyDescent="0.3">
      <c r="A6" t="s">
        <v>1954</v>
      </c>
      <c r="B6" t="s">
        <v>1059</v>
      </c>
      <c r="C6" t="s">
        <v>1955</v>
      </c>
      <c r="D6" t="s">
        <v>10</v>
      </c>
      <c r="E6" t="s">
        <v>10</v>
      </c>
      <c r="F6" s="3">
        <v>46221</v>
      </c>
      <c r="G6" s="3">
        <v>46225</v>
      </c>
      <c r="H6" t="s">
        <v>1956</v>
      </c>
      <c r="I6">
        <v>5</v>
      </c>
      <c r="J6" t="s">
        <v>146</v>
      </c>
      <c r="K6" t="s">
        <v>1957</v>
      </c>
      <c r="L6">
        <v>4</v>
      </c>
    </row>
    <row r="7" spans="1:12" x14ac:dyDescent="0.3">
      <c r="A7" t="s">
        <v>1958</v>
      </c>
      <c r="B7" t="s">
        <v>940</v>
      </c>
      <c r="C7" t="s">
        <v>941</v>
      </c>
      <c r="D7" t="s">
        <v>943</v>
      </c>
      <c r="E7" t="s">
        <v>9</v>
      </c>
      <c r="F7" s="3">
        <v>46215</v>
      </c>
      <c r="G7" s="3">
        <v>46218</v>
      </c>
      <c r="H7" t="s">
        <v>1947</v>
      </c>
      <c r="I7">
        <v>4</v>
      </c>
      <c r="J7" t="s">
        <v>1959</v>
      </c>
      <c r="K7" t="s">
        <v>1960</v>
      </c>
      <c r="L7">
        <v>5</v>
      </c>
    </row>
    <row r="8" spans="1:12" x14ac:dyDescent="0.3">
      <c r="A8" t="s">
        <v>1961</v>
      </c>
      <c r="B8" t="s">
        <v>1076</v>
      </c>
      <c r="C8" t="s">
        <v>1962</v>
      </c>
      <c r="D8" t="s">
        <v>8</v>
      </c>
      <c r="E8" t="s">
        <v>8</v>
      </c>
      <c r="F8" s="3">
        <v>46238</v>
      </c>
      <c r="G8" s="3">
        <v>46245</v>
      </c>
      <c r="H8" t="s">
        <v>1947</v>
      </c>
      <c r="I8">
        <v>8</v>
      </c>
      <c r="J8" t="s">
        <v>1963</v>
      </c>
      <c r="K8" t="s">
        <v>1964</v>
      </c>
      <c r="L8">
        <v>3</v>
      </c>
    </row>
    <row r="9" spans="1:12" x14ac:dyDescent="0.3">
      <c r="A9" t="s">
        <v>1965</v>
      </c>
      <c r="B9" t="s">
        <v>985</v>
      </c>
      <c r="C9" t="s">
        <v>986</v>
      </c>
      <c r="D9" t="s">
        <v>982</v>
      </c>
      <c r="E9" t="s">
        <v>983</v>
      </c>
      <c r="F9" s="3">
        <v>46245</v>
      </c>
      <c r="G9" s="3">
        <v>46249</v>
      </c>
      <c r="H9" t="s">
        <v>1952</v>
      </c>
      <c r="I9">
        <v>5</v>
      </c>
      <c r="J9" t="s">
        <v>165</v>
      </c>
      <c r="K9" t="s">
        <v>1966</v>
      </c>
      <c r="L9">
        <v>4</v>
      </c>
    </row>
    <row r="10" spans="1:12" x14ac:dyDescent="0.3">
      <c r="A10" t="s">
        <v>1967</v>
      </c>
      <c r="B10" t="s">
        <v>1118</v>
      </c>
      <c r="C10" t="s">
        <v>1968</v>
      </c>
      <c r="D10" t="s">
        <v>12</v>
      </c>
      <c r="E10" t="s">
        <v>12</v>
      </c>
      <c r="F10" s="3">
        <v>46234</v>
      </c>
      <c r="G10" s="3">
        <v>46236</v>
      </c>
      <c r="H10" t="s">
        <v>1956</v>
      </c>
      <c r="I10">
        <v>3</v>
      </c>
      <c r="J10" t="s">
        <v>153</v>
      </c>
      <c r="K10" t="s">
        <v>1969</v>
      </c>
      <c r="L10">
        <v>3</v>
      </c>
    </row>
    <row r="11" spans="1:12" x14ac:dyDescent="0.3">
      <c r="A11" t="s">
        <v>1970</v>
      </c>
      <c r="B11" t="s">
        <v>1153</v>
      </c>
      <c r="C11" t="s">
        <v>1971</v>
      </c>
      <c r="D11" t="s">
        <v>11</v>
      </c>
      <c r="E11" t="s">
        <v>11</v>
      </c>
      <c r="F11" s="3">
        <v>46269</v>
      </c>
      <c r="G11" s="3">
        <v>46276</v>
      </c>
      <c r="H11" t="s">
        <v>1947</v>
      </c>
      <c r="I11">
        <v>8</v>
      </c>
      <c r="J11" t="s">
        <v>1972</v>
      </c>
      <c r="K11" t="s">
        <v>1973</v>
      </c>
      <c r="L11">
        <v>4</v>
      </c>
    </row>
    <row r="12" spans="1:12" x14ac:dyDescent="0.3">
      <c r="A12" t="s">
        <v>1974</v>
      </c>
      <c r="B12" t="s">
        <v>946</v>
      </c>
      <c r="C12" t="s">
        <v>947</v>
      </c>
      <c r="D12" t="s">
        <v>943</v>
      </c>
      <c r="E12" t="s">
        <v>9</v>
      </c>
      <c r="F12" s="3">
        <v>46277</v>
      </c>
      <c r="G12" s="3">
        <v>46281</v>
      </c>
      <c r="H12" t="s">
        <v>1975</v>
      </c>
      <c r="I12">
        <v>5</v>
      </c>
      <c r="J12" t="s">
        <v>186</v>
      </c>
      <c r="K12" t="s">
        <v>1976</v>
      </c>
      <c r="L12">
        <v>3</v>
      </c>
    </row>
    <row r="13" spans="1:12" x14ac:dyDescent="0.3">
      <c r="A13" t="s">
        <v>1977</v>
      </c>
      <c r="B13" t="s">
        <v>1186</v>
      </c>
      <c r="C13" t="s">
        <v>1978</v>
      </c>
      <c r="D13" t="s">
        <v>7</v>
      </c>
      <c r="E13" t="s">
        <v>7</v>
      </c>
      <c r="F13" s="3">
        <v>46285</v>
      </c>
      <c r="G13" s="3">
        <v>46290</v>
      </c>
      <c r="H13" t="s">
        <v>1947</v>
      </c>
      <c r="I13">
        <v>6</v>
      </c>
      <c r="J13" t="s">
        <v>195</v>
      </c>
      <c r="K13" t="s">
        <v>1979</v>
      </c>
      <c r="L13">
        <v>2</v>
      </c>
    </row>
    <row r="14" spans="1:12" x14ac:dyDescent="0.3">
      <c r="A14" t="s">
        <v>1980</v>
      </c>
      <c r="B14" t="s">
        <v>988</v>
      </c>
      <c r="C14" t="s">
        <v>989</v>
      </c>
      <c r="D14" t="s">
        <v>982</v>
      </c>
      <c r="E14" t="s">
        <v>983</v>
      </c>
      <c r="F14" s="3">
        <v>46307</v>
      </c>
      <c r="G14" s="3">
        <v>46314</v>
      </c>
      <c r="H14" t="s">
        <v>1947</v>
      </c>
      <c r="I14">
        <v>8</v>
      </c>
      <c r="J14" t="s">
        <v>1981</v>
      </c>
      <c r="K14" t="s">
        <v>1982</v>
      </c>
      <c r="L14">
        <v>5</v>
      </c>
    </row>
    <row r="15" spans="1:12" x14ac:dyDescent="0.3">
      <c r="A15" t="s">
        <v>1983</v>
      </c>
      <c r="B15" t="s">
        <v>949</v>
      </c>
      <c r="C15" t="s">
        <v>950</v>
      </c>
      <c r="D15" t="s">
        <v>943</v>
      </c>
      <c r="E15" t="s">
        <v>9</v>
      </c>
      <c r="F15" s="3">
        <v>46319</v>
      </c>
      <c r="G15" s="3">
        <v>46323</v>
      </c>
      <c r="H15" t="s">
        <v>1952</v>
      </c>
      <c r="I15">
        <v>5</v>
      </c>
      <c r="J15" t="s">
        <v>217</v>
      </c>
      <c r="K15" t="s">
        <v>1984</v>
      </c>
      <c r="L15">
        <v>4</v>
      </c>
    </row>
    <row r="16" spans="1:12" x14ac:dyDescent="0.3">
      <c r="A16" t="s">
        <v>1985</v>
      </c>
      <c r="B16" t="s">
        <v>1023</v>
      </c>
      <c r="C16" t="s">
        <v>1986</v>
      </c>
      <c r="D16" t="s">
        <v>5</v>
      </c>
      <c r="E16" t="s">
        <v>5</v>
      </c>
      <c r="F16" s="3">
        <v>46331</v>
      </c>
      <c r="G16" s="3">
        <v>46338</v>
      </c>
      <c r="H16" t="s">
        <v>1947</v>
      </c>
      <c r="I16">
        <v>8</v>
      </c>
      <c r="J16" t="s">
        <v>1987</v>
      </c>
      <c r="K16" t="s">
        <v>1988</v>
      </c>
      <c r="L16">
        <v>3</v>
      </c>
    </row>
    <row r="17" spans="1:12" x14ac:dyDescent="0.3">
      <c r="A17" t="s">
        <v>1989</v>
      </c>
      <c r="B17" t="s">
        <v>1060</v>
      </c>
      <c r="C17" t="s">
        <v>1990</v>
      </c>
      <c r="D17" t="s">
        <v>10</v>
      </c>
      <c r="E17" t="s">
        <v>10</v>
      </c>
      <c r="F17" s="3">
        <v>46345</v>
      </c>
      <c r="G17" s="3">
        <v>46349</v>
      </c>
      <c r="H17" t="s">
        <v>1956</v>
      </c>
      <c r="I17">
        <v>5</v>
      </c>
      <c r="J17" t="s">
        <v>232</v>
      </c>
      <c r="K17" t="s">
        <v>1991</v>
      </c>
      <c r="L17">
        <v>2</v>
      </c>
    </row>
    <row r="18" spans="1:12" x14ac:dyDescent="0.3">
      <c r="A18" t="s">
        <v>1992</v>
      </c>
      <c r="B18" t="s">
        <v>1079</v>
      </c>
      <c r="C18" t="s">
        <v>1993</v>
      </c>
      <c r="D18" t="s">
        <v>8</v>
      </c>
      <c r="E18" t="s">
        <v>8</v>
      </c>
      <c r="F18" s="3">
        <v>46359</v>
      </c>
      <c r="G18" s="3">
        <v>46366</v>
      </c>
      <c r="H18" t="s">
        <v>1947</v>
      </c>
      <c r="I18">
        <v>8</v>
      </c>
      <c r="J18" t="s">
        <v>1994</v>
      </c>
      <c r="K18" t="s">
        <v>1995</v>
      </c>
      <c r="L18">
        <v>4</v>
      </c>
    </row>
    <row r="19" spans="1:12" x14ac:dyDescent="0.3">
      <c r="A19" t="s">
        <v>1996</v>
      </c>
      <c r="B19" t="s">
        <v>952</v>
      </c>
      <c r="C19" t="s">
        <v>953</v>
      </c>
      <c r="D19" t="s">
        <v>943</v>
      </c>
      <c r="E19" t="s">
        <v>9</v>
      </c>
      <c r="F19" s="3">
        <v>46373</v>
      </c>
      <c r="G19" s="3">
        <v>46387</v>
      </c>
      <c r="H19" t="s">
        <v>1947</v>
      </c>
      <c r="I19">
        <v>15</v>
      </c>
      <c r="J19" t="s">
        <v>1997</v>
      </c>
      <c r="K19" t="s">
        <v>1998</v>
      </c>
      <c r="L19">
        <v>5</v>
      </c>
    </row>
    <row r="20" spans="1:12" x14ac:dyDescent="0.3">
      <c r="A20" t="s">
        <v>1999</v>
      </c>
      <c r="B20" t="s">
        <v>991</v>
      </c>
      <c r="C20" t="s">
        <v>2000</v>
      </c>
      <c r="D20" t="s">
        <v>982</v>
      </c>
      <c r="E20" t="s">
        <v>983</v>
      </c>
      <c r="F20" s="3">
        <v>46380</v>
      </c>
      <c r="G20" s="3">
        <v>46390</v>
      </c>
      <c r="H20" t="s">
        <v>1947</v>
      </c>
      <c r="I20">
        <v>11</v>
      </c>
      <c r="J20" t="s">
        <v>2001</v>
      </c>
      <c r="K20" t="s">
        <v>2002</v>
      </c>
      <c r="L20">
        <v>5</v>
      </c>
    </row>
    <row r="21" spans="1:12" x14ac:dyDescent="0.3">
      <c r="A21" t="s">
        <v>2003</v>
      </c>
      <c r="B21" t="s">
        <v>1121</v>
      </c>
      <c r="C21" t="s">
        <v>2004</v>
      </c>
      <c r="D21" t="s">
        <v>12</v>
      </c>
      <c r="E21" t="s">
        <v>12</v>
      </c>
      <c r="F21" s="3">
        <v>46375</v>
      </c>
      <c r="G21" s="3">
        <v>46382</v>
      </c>
      <c r="H21" t="s">
        <v>1947</v>
      </c>
      <c r="I21">
        <v>8</v>
      </c>
      <c r="J21" t="s">
        <v>249</v>
      </c>
      <c r="K21" t="s">
        <v>2005</v>
      </c>
      <c r="L21">
        <v>4</v>
      </c>
    </row>
    <row r="22" spans="1:12" x14ac:dyDescent="0.3">
      <c r="A22" t="s">
        <v>2006</v>
      </c>
      <c r="B22" t="s">
        <v>1156</v>
      </c>
      <c r="C22" t="s">
        <v>2007</v>
      </c>
      <c r="D22" t="s">
        <v>11</v>
      </c>
      <c r="E22" t="s">
        <v>11</v>
      </c>
      <c r="F22" s="3">
        <v>46403</v>
      </c>
      <c r="G22" s="3">
        <v>46410</v>
      </c>
      <c r="H22" t="s">
        <v>1975</v>
      </c>
      <c r="I22">
        <v>8</v>
      </c>
      <c r="J22" t="s">
        <v>2008</v>
      </c>
      <c r="K22" t="s">
        <v>2009</v>
      </c>
      <c r="L22">
        <v>3</v>
      </c>
    </row>
    <row r="23" spans="1:12" x14ac:dyDescent="0.3">
      <c r="A23" t="s">
        <v>2010</v>
      </c>
      <c r="B23" t="s">
        <v>955</v>
      </c>
      <c r="C23" t="s">
        <v>956</v>
      </c>
      <c r="D23" t="s">
        <v>943</v>
      </c>
      <c r="E23" t="s">
        <v>9</v>
      </c>
      <c r="F23" s="3">
        <v>46418</v>
      </c>
      <c r="G23" s="3">
        <v>46422</v>
      </c>
      <c r="H23" t="s">
        <v>1952</v>
      </c>
      <c r="I23">
        <v>5</v>
      </c>
      <c r="J23" t="s">
        <v>276</v>
      </c>
      <c r="K23" t="s">
        <v>2011</v>
      </c>
      <c r="L23">
        <v>2</v>
      </c>
    </row>
    <row r="24" spans="1:12" x14ac:dyDescent="0.3">
      <c r="A24" t="s">
        <v>2012</v>
      </c>
      <c r="B24" t="s">
        <v>1026</v>
      </c>
      <c r="C24" t="s">
        <v>2013</v>
      </c>
      <c r="D24" t="s">
        <v>5</v>
      </c>
      <c r="E24" t="s">
        <v>5</v>
      </c>
      <c r="F24" s="3">
        <v>46432</v>
      </c>
      <c r="G24" s="3">
        <v>46439</v>
      </c>
      <c r="H24" t="s">
        <v>1947</v>
      </c>
      <c r="I24">
        <v>8</v>
      </c>
      <c r="J24" t="s">
        <v>2014</v>
      </c>
      <c r="K24" t="s">
        <v>2015</v>
      </c>
      <c r="L24">
        <v>4</v>
      </c>
    </row>
    <row r="25" spans="1:12" x14ac:dyDescent="0.3">
      <c r="A25" t="s">
        <v>2016</v>
      </c>
      <c r="B25" t="s">
        <v>1192</v>
      </c>
      <c r="C25" t="s">
        <v>675</v>
      </c>
      <c r="D25" t="s">
        <v>7</v>
      </c>
      <c r="E25" t="s">
        <v>7</v>
      </c>
      <c r="F25" s="3">
        <v>46445</v>
      </c>
      <c r="G25" s="3">
        <v>46449</v>
      </c>
      <c r="H25" t="s">
        <v>1956</v>
      </c>
      <c r="I25">
        <v>5</v>
      </c>
      <c r="J25" t="s">
        <v>288</v>
      </c>
      <c r="K25" t="s">
        <v>2017</v>
      </c>
      <c r="L25">
        <v>3</v>
      </c>
    </row>
    <row r="26" spans="1:12" x14ac:dyDescent="0.3">
      <c r="A26" t="s">
        <v>2018</v>
      </c>
      <c r="B26" t="s">
        <v>994</v>
      </c>
      <c r="C26" t="s">
        <v>2019</v>
      </c>
      <c r="D26" t="s">
        <v>982</v>
      </c>
      <c r="E26" t="s">
        <v>983</v>
      </c>
      <c r="F26" s="3">
        <v>46472</v>
      </c>
      <c r="G26" s="3">
        <v>46479</v>
      </c>
      <c r="H26" t="s">
        <v>1947</v>
      </c>
      <c r="I26">
        <v>8</v>
      </c>
      <c r="J26" t="s">
        <v>2020</v>
      </c>
      <c r="K26" t="s">
        <v>2021</v>
      </c>
      <c r="L26">
        <v>5</v>
      </c>
    </row>
    <row r="27" spans="1:12" x14ac:dyDescent="0.3">
      <c r="A27" t="s">
        <v>2022</v>
      </c>
      <c r="B27" t="s">
        <v>1061</v>
      </c>
      <c r="C27" t="s">
        <v>2023</v>
      </c>
      <c r="D27" t="s">
        <v>10</v>
      </c>
      <c r="E27" t="s">
        <v>10</v>
      </c>
      <c r="F27" s="3">
        <v>46486</v>
      </c>
      <c r="G27" s="3">
        <v>46490</v>
      </c>
      <c r="H27" t="s">
        <v>1952</v>
      </c>
      <c r="I27">
        <v>5</v>
      </c>
      <c r="J27" t="s">
        <v>304</v>
      </c>
      <c r="K27" t="s">
        <v>2024</v>
      </c>
      <c r="L27">
        <v>2</v>
      </c>
    </row>
    <row r="28" spans="1:12" x14ac:dyDescent="0.3">
      <c r="A28" t="s">
        <v>2025</v>
      </c>
      <c r="B28" t="s">
        <v>1082</v>
      </c>
      <c r="C28" t="s">
        <v>2026</v>
      </c>
      <c r="D28" t="s">
        <v>8</v>
      </c>
      <c r="E28" t="s">
        <v>8</v>
      </c>
      <c r="F28" s="3">
        <v>46500</v>
      </c>
      <c r="G28" s="3">
        <v>46510</v>
      </c>
      <c r="H28" t="s">
        <v>1947</v>
      </c>
      <c r="I28">
        <v>11</v>
      </c>
      <c r="J28" t="s">
        <v>2027</v>
      </c>
      <c r="K28" t="s">
        <v>2028</v>
      </c>
      <c r="L28">
        <v>4</v>
      </c>
    </row>
    <row r="29" spans="1:12" x14ac:dyDescent="0.3">
      <c r="A29" t="s">
        <v>2029</v>
      </c>
      <c r="B29" t="s">
        <v>958</v>
      </c>
      <c r="C29" t="s">
        <v>959</v>
      </c>
      <c r="D29" t="s">
        <v>943</v>
      </c>
      <c r="E29" t="s">
        <v>9</v>
      </c>
      <c r="F29" s="3">
        <v>46514</v>
      </c>
      <c r="G29" s="3">
        <v>46518</v>
      </c>
      <c r="H29" t="s">
        <v>1975</v>
      </c>
      <c r="I29">
        <v>5</v>
      </c>
      <c r="J29" t="s">
        <v>317</v>
      </c>
      <c r="K29" t="s">
        <v>2030</v>
      </c>
      <c r="L29">
        <v>3</v>
      </c>
    </row>
    <row r="30" spans="1:12" x14ac:dyDescent="0.3">
      <c r="A30" t="s">
        <v>2031</v>
      </c>
      <c r="B30" t="s">
        <v>1124</v>
      </c>
      <c r="C30" t="s">
        <v>2032</v>
      </c>
      <c r="D30" t="s">
        <v>12</v>
      </c>
      <c r="E30" t="s">
        <v>12</v>
      </c>
      <c r="F30" s="3">
        <v>46528</v>
      </c>
      <c r="G30" s="3">
        <v>46535</v>
      </c>
      <c r="H30" t="s">
        <v>1947</v>
      </c>
      <c r="I30">
        <v>8</v>
      </c>
      <c r="J30" t="s">
        <v>2033</v>
      </c>
      <c r="K30" t="s">
        <v>2034</v>
      </c>
      <c r="L30">
        <v>4</v>
      </c>
    </row>
    <row r="31" spans="1:12" x14ac:dyDescent="0.3">
      <c r="A31" t="s">
        <v>2035</v>
      </c>
      <c r="B31" t="s">
        <v>1159</v>
      </c>
      <c r="C31" t="s">
        <v>2036</v>
      </c>
      <c r="D31" t="s">
        <v>11</v>
      </c>
      <c r="E31" t="s">
        <v>11</v>
      </c>
      <c r="F31" s="3">
        <v>46542</v>
      </c>
      <c r="G31" s="3">
        <v>46549</v>
      </c>
      <c r="H31" t="s">
        <v>1947</v>
      </c>
      <c r="I31">
        <v>8</v>
      </c>
      <c r="J31" t="s">
        <v>329</v>
      </c>
      <c r="K31" t="s">
        <v>2037</v>
      </c>
      <c r="L31">
        <v>3</v>
      </c>
    </row>
    <row r="32" spans="1:12" x14ac:dyDescent="0.3">
      <c r="A32" t="s">
        <v>2038</v>
      </c>
      <c r="B32" t="s">
        <v>1029</v>
      </c>
      <c r="C32" t="s">
        <v>2039</v>
      </c>
      <c r="D32" t="s">
        <v>5</v>
      </c>
      <c r="E32" t="s">
        <v>5</v>
      </c>
      <c r="F32" s="3">
        <v>46256</v>
      </c>
      <c r="G32" s="3">
        <v>46260</v>
      </c>
      <c r="H32" t="s">
        <v>1952</v>
      </c>
      <c r="I32">
        <v>5</v>
      </c>
      <c r="J32" t="s">
        <v>171</v>
      </c>
      <c r="K32" t="s">
        <v>2040</v>
      </c>
      <c r="L32">
        <v>2</v>
      </c>
    </row>
    <row r="33" spans="1:12" x14ac:dyDescent="0.3">
      <c r="A33" t="s">
        <v>2041</v>
      </c>
      <c r="B33" t="s">
        <v>1062</v>
      </c>
      <c r="C33" t="s">
        <v>2042</v>
      </c>
      <c r="D33" t="s">
        <v>10</v>
      </c>
      <c r="E33" t="s">
        <v>10</v>
      </c>
      <c r="F33" s="3">
        <v>46298</v>
      </c>
      <c r="G33" s="3">
        <v>46302</v>
      </c>
      <c r="H33" t="s">
        <v>1947</v>
      </c>
      <c r="I33">
        <v>5</v>
      </c>
      <c r="J33" t="s">
        <v>200</v>
      </c>
      <c r="K33" t="s">
        <v>2043</v>
      </c>
      <c r="L33">
        <v>3</v>
      </c>
    </row>
    <row r="36" spans="1:12" ht="18" x14ac:dyDescent="0.35">
      <c r="A36" s="384" t="s">
        <v>4757</v>
      </c>
      <c r="B36" s="384"/>
      <c r="C36" s="384"/>
      <c r="D36" s="384"/>
      <c r="E36" s="384"/>
      <c r="F36" s="384"/>
      <c r="G36" s="384"/>
      <c r="H36" s="384"/>
      <c r="I36" s="384"/>
      <c r="J36" s="384"/>
      <c r="K36" s="384"/>
      <c r="L36" s="161"/>
    </row>
    <row r="37" spans="1:12" x14ac:dyDescent="0.3">
      <c r="A37" s="237"/>
      <c r="B37" s="237"/>
      <c r="C37" s="237"/>
      <c r="D37" s="237"/>
      <c r="E37" s="237"/>
      <c r="F37" s="237"/>
      <c r="G37" s="237"/>
      <c r="H37" s="237"/>
      <c r="I37" s="237"/>
      <c r="J37" s="237"/>
      <c r="K37" s="237"/>
    </row>
    <row r="38" spans="1:12" x14ac:dyDescent="0.3">
      <c r="A38" s="237" t="s">
        <v>4758</v>
      </c>
      <c r="B38" s="237"/>
      <c r="C38" s="237"/>
      <c r="D38" s="237"/>
      <c r="E38" s="237"/>
      <c r="F38" s="237"/>
      <c r="G38" s="237"/>
      <c r="H38" s="237"/>
      <c r="I38" s="237"/>
      <c r="J38" s="237"/>
      <c r="K38" s="237"/>
      <c r="L38" s="223"/>
    </row>
    <row r="39" spans="1:12" x14ac:dyDescent="0.3">
      <c r="A39" s="237"/>
      <c r="B39" s="237"/>
      <c r="C39" s="237"/>
      <c r="D39" s="237"/>
      <c r="E39" s="237"/>
      <c r="F39" s="237"/>
      <c r="G39" s="237"/>
      <c r="H39" s="237"/>
      <c r="I39" s="237"/>
      <c r="J39" s="237"/>
      <c r="K39" s="237"/>
      <c r="L39" s="223"/>
    </row>
    <row r="40" spans="1:12" x14ac:dyDescent="0.3">
      <c r="A40" s="237" t="s">
        <v>4759</v>
      </c>
      <c r="B40" s="237"/>
      <c r="C40" s="237"/>
      <c r="D40" s="237"/>
      <c r="E40" s="237"/>
      <c r="F40" s="237"/>
      <c r="G40" s="237"/>
      <c r="H40" s="237"/>
      <c r="I40" s="237"/>
      <c r="J40" s="237"/>
      <c r="K40" s="237"/>
      <c r="L40" s="223"/>
    </row>
    <row r="41" spans="1:12" x14ac:dyDescent="0.3">
      <c r="A41" s="237"/>
      <c r="B41" s="237"/>
      <c r="C41" s="237"/>
      <c r="D41" s="237"/>
      <c r="E41" s="237"/>
      <c r="F41" s="237"/>
      <c r="G41" s="237"/>
      <c r="H41" s="237"/>
      <c r="I41" s="237"/>
      <c r="J41" s="237"/>
      <c r="K41" s="237"/>
      <c r="L41" s="223"/>
    </row>
    <row r="42" spans="1:12" x14ac:dyDescent="0.3">
      <c r="A42" s="237" t="s">
        <v>4760</v>
      </c>
      <c r="B42" s="237"/>
      <c r="C42" s="237"/>
      <c r="D42" s="237"/>
      <c r="E42" s="237"/>
      <c r="F42" s="237"/>
      <c r="G42" s="237"/>
      <c r="H42" s="237"/>
      <c r="I42" s="237"/>
      <c r="J42" s="237"/>
      <c r="K42" s="237"/>
      <c r="L42" s="223"/>
    </row>
    <row r="43" spans="1:12" x14ac:dyDescent="0.3">
      <c r="A43" s="237"/>
      <c r="B43" s="237"/>
      <c r="C43" s="237"/>
      <c r="D43" s="237"/>
      <c r="E43" s="237"/>
      <c r="F43" s="237"/>
      <c r="G43" s="237"/>
      <c r="H43" s="237"/>
      <c r="I43" s="237"/>
      <c r="J43" s="237"/>
      <c r="K43" s="237"/>
      <c r="L43" s="223"/>
    </row>
    <row r="44" spans="1:12" x14ac:dyDescent="0.3">
      <c r="A44" s="237" t="s">
        <v>4748</v>
      </c>
      <c r="B44" s="237"/>
      <c r="C44" s="237"/>
      <c r="D44" s="237"/>
      <c r="E44" s="237"/>
      <c r="F44" s="237"/>
      <c r="G44" s="237"/>
      <c r="H44" s="237"/>
      <c r="I44" s="237"/>
      <c r="J44" s="237"/>
      <c r="K44" s="237"/>
      <c r="L44" s="223"/>
    </row>
    <row r="45" spans="1:12" x14ac:dyDescent="0.3">
      <c r="L45" s="223"/>
    </row>
    <row r="46" spans="1:12" ht="18" x14ac:dyDescent="0.35">
      <c r="A46" s="161" t="s">
        <v>4350</v>
      </c>
      <c r="B46" s="161"/>
      <c r="C46" s="161"/>
      <c r="D46" s="161"/>
      <c r="E46" s="161"/>
      <c r="F46" s="161"/>
      <c r="G46" s="161"/>
      <c r="H46" s="161"/>
      <c r="I46" s="161"/>
      <c r="J46" s="161"/>
      <c r="K46" s="161"/>
      <c r="L46" s="223"/>
    </row>
    <row r="47" spans="1:12" x14ac:dyDescent="0.3">
      <c r="L47" s="223"/>
    </row>
    <row r="48" spans="1:12" ht="15.6" x14ac:dyDescent="0.3">
      <c r="A48" s="222" t="s">
        <v>4351</v>
      </c>
      <c r="B48" s="223"/>
      <c r="C48" s="223"/>
      <c r="D48" s="223"/>
      <c r="E48" s="223"/>
      <c r="F48" s="223"/>
      <c r="G48" s="223"/>
      <c r="H48" s="223"/>
      <c r="I48" s="223"/>
      <c r="J48" s="223"/>
      <c r="K48" s="223"/>
      <c r="L48" s="223"/>
    </row>
    <row r="49" spans="1:12" x14ac:dyDescent="0.3">
      <c r="A49" s="223" t="s">
        <v>4352</v>
      </c>
      <c r="B49" s="223"/>
      <c r="C49" s="223"/>
      <c r="D49" s="223"/>
      <c r="E49" s="223"/>
      <c r="F49" s="223"/>
      <c r="G49" s="223"/>
      <c r="H49" s="223"/>
      <c r="I49" s="223"/>
      <c r="J49" s="223"/>
      <c r="K49" s="223"/>
      <c r="L49" s="223"/>
    </row>
    <row r="50" spans="1:12" x14ac:dyDescent="0.3">
      <c r="A50" s="223" t="s">
        <v>4353</v>
      </c>
      <c r="B50" s="223"/>
      <c r="C50" s="223"/>
      <c r="D50" s="223"/>
      <c r="E50" s="223"/>
      <c r="F50" s="223"/>
      <c r="G50" s="223"/>
      <c r="H50" s="223"/>
      <c r="I50" s="223"/>
      <c r="J50" s="223"/>
      <c r="K50" s="223"/>
      <c r="L50" s="223"/>
    </row>
    <row r="51" spans="1:12" x14ac:dyDescent="0.3">
      <c r="A51" s="223"/>
      <c r="B51" s="223"/>
      <c r="C51" s="223"/>
      <c r="D51" s="223"/>
      <c r="E51" s="223"/>
      <c r="F51" s="223"/>
      <c r="G51" s="223"/>
      <c r="H51" s="223"/>
      <c r="I51" s="223"/>
      <c r="J51" s="223"/>
      <c r="K51" s="223"/>
      <c r="L51" s="223"/>
    </row>
    <row r="52" spans="1:12" x14ac:dyDescent="0.3">
      <c r="A52" s="223" t="s">
        <v>4354</v>
      </c>
      <c r="B52" s="223"/>
      <c r="C52" s="223"/>
      <c r="D52" s="223"/>
      <c r="E52" s="223"/>
      <c r="F52" s="223"/>
      <c r="G52" s="223"/>
      <c r="H52" s="223"/>
      <c r="I52" s="223"/>
      <c r="J52" s="223"/>
      <c r="K52" s="223"/>
      <c r="L52" s="223"/>
    </row>
    <row r="53" spans="1:12" x14ac:dyDescent="0.3">
      <c r="A53" s="223" t="s">
        <v>4355</v>
      </c>
      <c r="B53" s="223"/>
      <c r="C53" s="223"/>
      <c r="D53" s="223"/>
      <c r="E53" s="223"/>
      <c r="F53" s="223"/>
      <c r="G53" s="223"/>
      <c r="H53" s="223"/>
      <c r="I53" s="223"/>
      <c r="J53" s="223"/>
      <c r="K53" s="223"/>
      <c r="L53" s="223"/>
    </row>
    <row r="54" spans="1:12" x14ac:dyDescent="0.3">
      <c r="A54" s="223" t="s">
        <v>4356</v>
      </c>
      <c r="B54" s="223"/>
      <c r="C54" s="223"/>
      <c r="D54" s="223"/>
      <c r="E54" s="223"/>
      <c r="F54" s="223"/>
      <c r="G54" s="223"/>
      <c r="H54" s="223"/>
      <c r="I54" s="223"/>
      <c r="J54" s="223"/>
      <c r="K54" s="223"/>
      <c r="L54" s="223"/>
    </row>
    <row r="55" spans="1:12" x14ac:dyDescent="0.3">
      <c r="A55" s="223" t="s">
        <v>4357</v>
      </c>
      <c r="B55" s="223"/>
      <c r="C55" s="223"/>
      <c r="D55" s="223"/>
      <c r="E55" s="223"/>
      <c r="F55" s="223"/>
      <c r="G55" s="223"/>
      <c r="H55" s="223"/>
      <c r="I55" s="223"/>
      <c r="J55" s="223"/>
      <c r="K55" s="223"/>
      <c r="L55" s="223"/>
    </row>
    <row r="56" spans="1:12" x14ac:dyDescent="0.3">
      <c r="A56" s="223" t="s">
        <v>4358</v>
      </c>
      <c r="B56" s="223"/>
      <c r="C56" s="223"/>
      <c r="D56" s="223"/>
      <c r="E56" s="223"/>
      <c r="F56" s="223"/>
      <c r="G56" s="223"/>
      <c r="H56" s="223"/>
      <c r="I56" s="223"/>
      <c r="J56" s="223"/>
      <c r="K56" s="223"/>
      <c r="L56" s="223"/>
    </row>
    <row r="57" spans="1:12" x14ac:dyDescent="0.3">
      <c r="A57" s="223"/>
      <c r="B57" s="223"/>
      <c r="C57" s="223"/>
      <c r="D57" s="223"/>
      <c r="E57" s="223"/>
      <c r="F57" s="223"/>
      <c r="G57" s="223"/>
      <c r="H57" s="223"/>
      <c r="I57" s="223"/>
      <c r="J57" s="223"/>
      <c r="K57" s="223"/>
      <c r="L57" s="223"/>
    </row>
    <row r="58" spans="1:12" ht="15.6" x14ac:dyDescent="0.3">
      <c r="A58" s="222" t="s">
        <v>4359</v>
      </c>
      <c r="B58" s="223"/>
      <c r="C58" s="223"/>
      <c r="D58" s="223"/>
      <c r="E58" s="223"/>
      <c r="F58" s="223"/>
      <c r="G58" s="223"/>
      <c r="H58" s="223"/>
      <c r="I58" s="223"/>
      <c r="J58" s="223"/>
      <c r="K58" s="223"/>
      <c r="L58" s="223"/>
    </row>
    <row r="59" spans="1:12" x14ac:dyDescent="0.3">
      <c r="A59" s="223"/>
      <c r="B59" s="223"/>
      <c r="C59" s="223"/>
      <c r="D59" s="223"/>
      <c r="E59" s="223"/>
      <c r="F59" s="223"/>
      <c r="G59" s="223"/>
      <c r="H59" s="223"/>
      <c r="I59" s="223"/>
      <c r="J59" s="223"/>
      <c r="K59" s="223"/>
      <c r="L59" s="223"/>
    </row>
    <row r="60" spans="1:12" x14ac:dyDescent="0.3">
      <c r="A60" s="224" t="s">
        <v>3323</v>
      </c>
      <c r="B60" s="224" t="s">
        <v>106</v>
      </c>
      <c r="C60" s="224" t="s">
        <v>3147</v>
      </c>
      <c r="D60" s="223"/>
      <c r="E60" s="223"/>
      <c r="F60" s="223"/>
      <c r="G60" s="223"/>
      <c r="H60" s="223"/>
      <c r="I60" s="223"/>
      <c r="J60" s="223"/>
      <c r="K60" s="223"/>
      <c r="L60" s="223"/>
    </row>
    <row r="61" spans="1:12" x14ac:dyDescent="0.3">
      <c r="A61" s="223">
        <v>5</v>
      </c>
      <c r="B61" s="223" t="s">
        <v>2166</v>
      </c>
      <c r="C61" s="223" t="s">
        <v>4360</v>
      </c>
      <c r="D61" s="223"/>
      <c r="E61" s="223"/>
      <c r="F61" s="223"/>
      <c r="G61" s="223"/>
      <c r="H61" s="223"/>
      <c r="I61" s="223"/>
      <c r="J61" s="223"/>
      <c r="K61" s="223"/>
      <c r="L61" s="223"/>
    </row>
    <row r="62" spans="1:12" x14ac:dyDescent="0.3">
      <c r="A62" s="223">
        <v>4</v>
      </c>
      <c r="B62" s="223" t="s">
        <v>128</v>
      </c>
      <c r="C62" s="223" t="s">
        <v>4361</v>
      </c>
      <c r="D62" s="223"/>
      <c r="E62" s="223"/>
      <c r="F62" s="223"/>
      <c r="G62" s="223"/>
      <c r="H62" s="223"/>
      <c r="I62" s="223"/>
      <c r="J62" s="223"/>
      <c r="K62" s="223"/>
      <c r="L62" s="223"/>
    </row>
    <row r="63" spans="1:12" x14ac:dyDescent="0.3">
      <c r="A63" s="223">
        <v>3</v>
      </c>
      <c r="B63" s="223" t="s">
        <v>127</v>
      </c>
      <c r="C63" s="223" t="s">
        <v>4362</v>
      </c>
      <c r="D63" s="223"/>
      <c r="E63" s="223"/>
      <c r="F63" s="223"/>
      <c r="G63" s="223"/>
      <c r="H63" s="223"/>
      <c r="I63" s="223"/>
      <c r="J63" s="223"/>
      <c r="K63" s="223"/>
      <c r="L63" s="223"/>
    </row>
    <row r="64" spans="1:12" x14ac:dyDescent="0.3">
      <c r="A64" s="223">
        <v>2</v>
      </c>
      <c r="B64" s="223" t="s">
        <v>118</v>
      </c>
      <c r="C64" s="223" t="s">
        <v>4363</v>
      </c>
      <c r="D64" s="223"/>
      <c r="E64" s="223"/>
      <c r="F64" s="223"/>
      <c r="G64" s="223"/>
      <c r="H64" s="223"/>
      <c r="I64" s="223"/>
      <c r="J64" s="223"/>
      <c r="K64" s="223"/>
      <c r="L64" s="223"/>
    </row>
    <row r="65" spans="1:12" x14ac:dyDescent="0.3">
      <c r="A65" s="223">
        <v>1</v>
      </c>
      <c r="B65" s="223" t="s">
        <v>3446</v>
      </c>
      <c r="C65" s="223" t="s">
        <v>4364</v>
      </c>
      <c r="D65" s="223"/>
      <c r="E65" s="223"/>
      <c r="F65" s="223"/>
      <c r="G65" s="223"/>
      <c r="H65" s="223"/>
      <c r="I65" s="223"/>
      <c r="J65" s="223"/>
      <c r="K65" s="223"/>
      <c r="L65" s="223"/>
    </row>
    <row r="66" spans="1:12" x14ac:dyDescent="0.3">
      <c r="A66" s="223"/>
      <c r="B66" s="223"/>
      <c r="C66" s="223"/>
      <c r="D66" s="223"/>
      <c r="E66" s="223"/>
      <c r="F66" s="223"/>
      <c r="G66" s="223"/>
      <c r="H66" s="223"/>
      <c r="I66" s="223"/>
      <c r="J66" s="223"/>
      <c r="K66" s="223"/>
      <c r="L66" s="223"/>
    </row>
    <row r="67" spans="1:12" ht="15.6" x14ac:dyDescent="0.3">
      <c r="A67" s="222" t="s">
        <v>4292</v>
      </c>
      <c r="B67" s="223"/>
      <c r="C67" s="223"/>
      <c r="D67" s="223"/>
      <c r="E67" s="223"/>
      <c r="F67" s="223"/>
      <c r="G67" s="223"/>
      <c r="H67" s="223"/>
      <c r="I67" s="223"/>
      <c r="J67" s="223"/>
      <c r="K67" s="223"/>
      <c r="L67" s="223"/>
    </row>
    <row r="68" spans="1:12" x14ac:dyDescent="0.3">
      <c r="A68" s="223"/>
      <c r="B68" s="223"/>
      <c r="C68" s="223"/>
      <c r="D68" s="223"/>
      <c r="E68" s="223"/>
      <c r="F68" s="223"/>
      <c r="G68" s="223"/>
      <c r="H68" s="223"/>
      <c r="I68" s="223"/>
      <c r="J68" s="223"/>
      <c r="K68" s="223"/>
      <c r="L68" s="223"/>
    </row>
    <row r="69" spans="1:12" x14ac:dyDescent="0.3">
      <c r="A69" s="223" t="s">
        <v>4365</v>
      </c>
      <c r="B69" s="223"/>
      <c r="C69" s="223"/>
      <c r="D69" s="223"/>
      <c r="E69" s="223"/>
      <c r="F69" s="223"/>
      <c r="G69" s="223"/>
      <c r="H69" s="223"/>
      <c r="I69" s="223"/>
      <c r="J69" s="223"/>
      <c r="K69" s="223"/>
      <c r="L69" s="223"/>
    </row>
    <row r="70" spans="1:12" x14ac:dyDescent="0.3">
      <c r="A70" s="223" t="s">
        <v>4366</v>
      </c>
      <c r="B70" s="223"/>
      <c r="C70" s="223"/>
      <c r="D70" s="223"/>
      <c r="E70" s="223"/>
      <c r="F70" s="223"/>
      <c r="G70" s="223"/>
      <c r="H70" s="223"/>
      <c r="I70" s="223"/>
      <c r="J70" s="223"/>
      <c r="K70" s="223"/>
      <c r="L70" s="223"/>
    </row>
    <row r="71" spans="1:12" x14ac:dyDescent="0.3">
      <c r="A71" s="223" t="s">
        <v>4367</v>
      </c>
      <c r="B71" s="223"/>
      <c r="C71" s="223"/>
      <c r="D71" s="223"/>
      <c r="E71" s="223"/>
      <c r="F71" s="223"/>
      <c r="G71" s="223"/>
      <c r="H71" s="223"/>
      <c r="I71" s="223"/>
      <c r="J71" s="223"/>
      <c r="K71" s="223"/>
      <c r="L71" s="223"/>
    </row>
    <row r="72" spans="1:12" x14ac:dyDescent="0.3">
      <c r="A72" s="223" t="s">
        <v>4368</v>
      </c>
      <c r="B72" s="223"/>
      <c r="C72" s="223"/>
      <c r="D72" s="223"/>
      <c r="E72" s="223"/>
      <c r="F72" s="223"/>
      <c r="G72" s="223"/>
      <c r="H72" s="223"/>
      <c r="I72" s="223"/>
      <c r="J72" s="223"/>
      <c r="K72" s="223"/>
      <c r="L72" s="223"/>
    </row>
    <row r="73" spans="1:12" x14ac:dyDescent="0.3">
      <c r="A73" s="223"/>
      <c r="B73" s="223"/>
      <c r="C73" s="223"/>
      <c r="D73" s="223"/>
      <c r="E73" s="223"/>
      <c r="F73" s="223"/>
      <c r="G73" s="223"/>
      <c r="H73" s="223"/>
      <c r="I73" s="223"/>
      <c r="J73" s="223"/>
      <c r="K73" s="223"/>
      <c r="L73" s="223"/>
    </row>
    <row r="74" spans="1:12" x14ac:dyDescent="0.3">
      <c r="A74" s="223" t="s">
        <v>4249</v>
      </c>
      <c r="B74" s="223"/>
      <c r="C74" s="223"/>
      <c r="D74" s="223"/>
      <c r="E74" s="223"/>
      <c r="F74" s="223"/>
      <c r="G74" s="223"/>
      <c r="H74" s="223"/>
      <c r="I74" s="223"/>
      <c r="J74" s="223"/>
      <c r="K74" s="223"/>
      <c r="L74" s="223"/>
    </row>
    <row r="75" spans="1:12" x14ac:dyDescent="0.3">
      <c r="A75" s="223" t="s">
        <v>4369</v>
      </c>
      <c r="B75" s="223"/>
      <c r="C75" s="223"/>
      <c r="D75" s="223"/>
      <c r="E75" s="223"/>
      <c r="F75" s="223"/>
      <c r="G75" s="223"/>
      <c r="H75" s="223"/>
      <c r="I75" s="223"/>
      <c r="J75" s="223"/>
      <c r="K75" s="223"/>
      <c r="L75" s="223"/>
    </row>
    <row r="76" spans="1:12" x14ac:dyDescent="0.3">
      <c r="A76" s="223" t="s">
        <v>4370</v>
      </c>
      <c r="B76" s="223"/>
      <c r="C76" s="223"/>
      <c r="D76" s="223"/>
      <c r="E76" s="223"/>
      <c r="F76" s="223"/>
      <c r="G76" s="223"/>
      <c r="H76" s="223"/>
      <c r="I76" s="223"/>
      <c r="J76" s="223"/>
      <c r="K76" s="223"/>
      <c r="L76" s="223"/>
    </row>
    <row r="77" spans="1:12" x14ac:dyDescent="0.3">
      <c r="A77" s="223" t="s">
        <v>4371</v>
      </c>
      <c r="B77" s="223"/>
      <c r="C77" s="223"/>
      <c r="D77" s="223"/>
      <c r="E77" s="223"/>
      <c r="F77" s="223"/>
      <c r="G77" s="223"/>
      <c r="H77" s="223"/>
      <c r="I77" s="223"/>
      <c r="J77" s="223"/>
      <c r="K77" s="223"/>
      <c r="L77" s="223"/>
    </row>
    <row r="78" spans="1:12" x14ac:dyDescent="0.3">
      <c r="A78" s="223" t="s">
        <v>4372</v>
      </c>
      <c r="B78" s="223"/>
      <c r="C78" s="223"/>
      <c r="D78" s="223"/>
      <c r="E78" s="223"/>
      <c r="F78" s="223"/>
      <c r="G78" s="223"/>
      <c r="H78" s="223"/>
      <c r="I78" s="223"/>
      <c r="J78" s="223"/>
      <c r="K78" s="223"/>
      <c r="L78" s="223"/>
    </row>
    <row r="79" spans="1:12" x14ac:dyDescent="0.3">
      <c r="A79" s="223"/>
      <c r="B79" s="223"/>
      <c r="C79" s="223"/>
      <c r="D79" s="223"/>
      <c r="E79" s="223"/>
      <c r="F79" s="223"/>
      <c r="G79" s="223"/>
      <c r="H79" s="223"/>
      <c r="I79" s="223"/>
      <c r="J79" s="223"/>
      <c r="K79" s="223"/>
      <c r="L79" s="223"/>
    </row>
    <row r="80" spans="1:12" x14ac:dyDescent="0.3">
      <c r="A80" s="224" t="s">
        <v>4373</v>
      </c>
      <c r="B80" s="223"/>
      <c r="C80" s="223"/>
      <c r="D80" s="223"/>
      <c r="E80" s="223"/>
      <c r="F80" s="223"/>
      <c r="G80" s="223"/>
      <c r="H80" s="223"/>
      <c r="I80" s="223"/>
      <c r="J80" s="223"/>
      <c r="K80" s="223"/>
      <c r="L80" s="223"/>
    </row>
    <row r="81" spans="1:12" x14ac:dyDescent="0.3">
      <c r="A81" s="223" t="s">
        <v>4374</v>
      </c>
      <c r="B81" s="223"/>
      <c r="C81" s="223"/>
      <c r="D81" s="223"/>
      <c r="E81" s="223"/>
      <c r="F81" s="223"/>
      <c r="G81" s="223"/>
      <c r="H81" s="223"/>
      <c r="I81" s="223"/>
      <c r="J81" s="223"/>
      <c r="K81" s="223"/>
      <c r="L81" s="223"/>
    </row>
    <row r="82" spans="1:12" x14ac:dyDescent="0.3">
      <c r="A82" s="223" t="s">
        <v>4375</v>
      </c>
      <c r="B82" s="223"/>
      <c r="C82" s="223"/>
      <c r="D82" s="223"/>
      <c r="E82" s="223"/>
      <c r="F82" s="223"/>
      <c r="G82" s="223"/>
      <c r="H82" s="223"/>
      <c r="I82" s="223"/>
      <c r="J82" s="223"/>
      <c r="K82" s="223"/>
      <c r="L82" s="223"/>
    </row>
    <row r="83" spans="1:12" x14ac:dyDescent="0.3">
      <c r="A83" s="223" t="s">
        <v>4376</v>
      </c>
      <c r="B83" s="223"/>
      <c r="C83" s="223"/>
      <c r="D83" s="223"/>
      <c r="E83" s="223"/>
      <c r="F83" s="223"/>
      <c r="G83" s="223"/>
      <c r="H83" s="223"/>
      <c r="I83" s="223"/>
      <c r="J83" s="223"/>
      <c r="K83" s="223"/>
    </row>
    <row r="84" spans="1:12" x14ac:dyDescent="0.3">
      <c r="A84" s="223"/>
      <c r="B84" s="223"/>
      <c r="C84" s="223"/>
      <c r="D84" s="223"/>
      <c r="E84" s="223"/>
      <c r="F84" s="223"/>
      <c r="G84" s="223"/>
      <c r="H84" s="223"/>
      <c r="I84" s="223"/>
      <c r="J84" s="223"/>
      <c r="K84" s="223"/>
    </row>
    <row r="85" spans="1:12" x14ac:dyDescent="0.3">
      <c r="A85" s="225" t="s">
        <v>4257</v>
      </c>
      <c r="B85" s="223"/>
      <c r="C85" s="223"/>
      <c r="D85" s="223"/>
      <c r="E85" s="223"/>
      <c r="F85" s="223"/>
      <c r="G85" s="223"/>
      <c r="H85" s="223"/>
      <c r="I85" s="223"/>
      <c r="J85" s="223"/>
      <c r="K85" s="223"/>
    </row>
    <row r="86" spans="1:12" x14ac:dyDescent="0.3">
      <c r="A86" s="223"/>
      <c r="B86" s="223"/>
      <c r="C86" s="223"/>
      <c r="D86" s="223"/>
      <c r="E86" s="223"/>
      <c r="F86" s="223"/>
      <c r="G86" s="223"/>
      <c r="H86" s="223"/>
      <c r="I86" s="223"/>
      <c r="J86" s="223"/>
      <c r="K86" s="223"/>
    </row>
    <row r="87" spans="1:12" x14ac:dyDescent="0.3">
      <c r="A87" s="223" t="s">
        <v>4377</v>
      </c>
      <c r="B87" s="223"/>
      <c r="C87" s="223"/>
      <c r="D87" s="223"/>
      <c r="E87" s="223"/>
      <c r="F87" s="223"/>
      <c r="G87" s="223"/>
      <c r="H87" s="223"/>
      <c r="I87" s="223"/>
      <c r="J87" s="223"/>
      <c r="K87" s="223"/>
    </row>
    <row r="88" spans="1:12" x14ac:dyDescent="0.3">
      <c r="A88" s="223" t="s">
        <v>4378</v>
      </c>
      <c r="B88" s="223"/>
      <c r="C88" s="223"/>
      <c r="D88" s="223"/>
      <c r="E88" s="223"/>
      <c r="F88" s="223"/>
      <c r="G88" s="223"/>
      <c r="H88" s="223"/>
      <c r="I88" s="223"/>
      <c r="J88" s="223"/>
      <c r="K88" s="223"/>
    </row>
    <row r="89" spans="1:12" x14ac:dyDescent="0.3">
      <c r="A89" s="223" t="s">
        <v>4379</v>
      </c>
      <c r="B89" s="223"/>
      <c r="C89" s="223"/>
      <c r="D89" s="223"/>
      <c r="E89" s="223"/>
      <c r="F89" s="223"/>
      <c r="G89" s="223"/>
      <c r="H89" s="223"/>
      <c r="I89" s="223"/>
      <c r="J89" s="223"/>
      <c r="K89" s="223"/>
    </row>
    <row r="90" spans="1:12" x14ac:dyDescent="0.3">
      <c r="A90" s="223" t="s">
        <v>4380</v>
      </c>
      <c r="B90" s="223"/>
      <c r="C90" s="223"/>
      <c r="D90" s="223"/>
      <c r="E90" s="223"/>
      <c r="F90" s="223"/>
      <c r="G90" s="223"/>
      <c r="H90" s="223"/>
      <c r="I90" s="223"/>
      <c r="J90" s="223"/>
      <c r="K90" s="223"/>
    </row>
    <row r="91" spans="1:12" x14ac:dyDescent="0.3">
      <c r="A91" s="223" t="s">
        <v>4381</v>
      </c>
      <c r="B91" s="223"/>
      <c r="C91" s="223"/>
      <c r="D91" s="223"/>
      <c r="E91" s="223"/>
      <c r="F91" s="223"/>
      <c r="G91" s="223"/>
      <c r="H91" s="223"/>
      <c r="I91" s="223"/>
      <c r="J91" s="223"/>
      <c r="K91" s="223"/>
    </row>
    <row r="92" spans="1:12" x14ac:dyDescent="0.3">
      <c r="A92" s="223" t="s">
        <v>4382</v>
      </c>
      <c r="B92" s="223"/>
      <c r="C92" s="223"/>
      <c r="D92" s="223"/>
      <c r="E92" s="223"/>
      <c r="F92" s="223"/>
      <c r="G92" s="223"/>
      <c r="H92" s="223"/>
      <c r="I92" s="223"/>
      <c r="J92" s="223"/>
      <c r="K92" s="223"/>
    </row>
  </sheetData>
  <mergeCells count="2">
    <mergeCell ref="D2:H2"/>
    <mergeCell ref="A36:K36"/>
  </mergeCells>
  <conditionalFormatting sqref="A4:L35 A36 A37:K45 A46">
    <cfRule type="expression" dxfId="2" priority="1">
      <formula>OR(AND($C$1&lt;&gt;"All Time",IF($C$1="Today",OR($F4&gt;TODAY(),$G4&lt;TODAY()),IF($C$1="This Week",OR($F4&gt;TODAY()+7,$G4&lt;TODAY()),IF($C$1="This Month",OR($F4&gt;TODAY()+30,$G4&lt;TODAY()),OR($F4&gt;DATE(YEAR(TODAY()),12,31),$G4&lt;DATE(YEAR(TODAY()),1,1)))))),AND($E$1&lt;&gt;"All",$E4&lt;&gt;$E$1),AND($G$1&lt;&gt;"All",$H4&lt;&gt;$G$1),AND($I$1&lt;&gt;"All",ISERROR(SEARCH($I$1,$K4))))</formula>
    </cfRule>
  </conditionalFormatting>
  <dataValidations count="4">
    <dataValidation type="list" allowBlank="1" showInputMessage="1" showErrorMessage="1" sqref="C1" xr:uid="{3FCD1EB1-72D3-4C05-8DE0-501B4C436761}">
      <formula1>"All Time,Today,This Week,This Month,This Year"</formula1>
    </dataValidation>
    <dataValidation type="list" allowBlank="1" showInputMessage="1" showErrorMessage="1" sqref="E1" xr:uid="{4186747F-2FF3-46F1-A7C8-7E6D935C75E4}">
      <formula1>"All,QA,Finance,IT,HR,CRM,Manufacturing,Security,Legal"</formula1>
    </dataValidation>
    <dataValidation type="list" allowBlank="1" showInputMessage="1" showErrorMessage="1" sqref="G1" xr:uid="{F26485B4-2860-4317-AEAD-D6D27DCD57EA}">
      <formula1>"All,Annual Leave,Personal Leave,Sick Leave,Conference"</formula1>
    </dataValidation>
    <dataValidation type="list" allowBlank="1" showInputMessage="1" showErrorMessage="1" sqref="I1" xr:uid="{CC600FBE-88C8-4523-8457-5ED020D52171}">
      <formula1>"All,Critical,High,Medium,Low"</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6637-BAE0-40DA-ABF3-F1E6913FADEC}">
  <sheetPr>
    <tabColor theme="5"/>
  </sheetPr>
  <dimension ref="A1:J242"/>
  <sheetViews>
    <sheetView workbookViewId="0">
      <pane ySplit="1" topLeftCell="A14" activePane="bottomLeft" state="frozen"/>
      <selection activeCell="G26" sqref="G26"/>
      <selection pane="bottomLeft" activeCell="H16" sqref="H16"/>
    </sheetView>
  </sheetViews>
  <sheetFormatPr defaultRowHeight="14.4" x14ac:dyDescent="0.3"/>
  <cols>
    <col min="1" max="1" width="13" customWidth="1"/>
    <col min="2" max="2" width="42.5546875" customWidth="1"/>
    <col min="3" max="3" width="18.5546875" customWidth="1"/>
    <col min="4" max="4" width="16.6640625" customWidth="1"/>
    <col min="5" max="5" width="22.21875" customWidth="1"/>
    <col min="6" max="6" width="18.5546875" customWidth="1"/>
    <col min="7" max="7" width="17.5546875" customWidth="1"/>
    <col min="8" max="8" width="24.109375" customWidth="1"/>
    <col min="9" max="9" width="13" customWidth="1"/>
    <col min="10" max="10" width="33.33203125" customWidth="1"/>
  </cols>
  <sheetData>
    <row r="1" spans="1:10" x14ac:dyDescent="0.3">
      <c r="A1" s="23" t="s">
        <v>1235</v>
      </c>
      <c r="B1" s="22" t="s">
        <v>2</v>
      </c>
      <c r="C1" s="22" t="s">
        <v>1</v>
      </c>
      <c r="D1" s="22" t="s">
        <v>487</v>
      </c>
      <c r="E1" s="22" t="s">
        <v>1236</v>
      </c>
      <c r="F1" s="22" t="s">
        <v>1237</v>
      </c>
      <c r="G1" s="22" t="s">
        <v>1238</v>
      </c>
      <c r="H1" s="22" t="s">
        <v>1239</v>
      </c>
      <c r="I1" s="22" t="s">
        <v>112</v>
      </c>
      <c r="J1" s="26" t="s">
        <v>114</v>
      </c>
    </row>
    <row r="2" spans="1:10" x14ac:dyDescent="0.3">
      <c r="A2" s="24" t="s">
        <v>1240</v>
      </c>
      <c r="B2" s="18" t="s">
        <v>13</v>
      </c>
      <c r="C2" s="18" t="s">
        <v>5</v>
      </c>
      <c r="D2" s="18" t="s">
        <v>27</v>
      </c>
      <c r="E2" s="18" t="s">
        <v>1241</v>
      </c>
      <c r="F2" s="18" t="s">
        <v>1242</v>
      </c>
      <c r="G2" s="19">
        <v>46193</v>
      </c>
      <c r="H2" s="18" t="s">
        <v>941</v>
      </c>
      <c r="I2" s="18" t="s">
        <v>874</v>
      </c>
      <c r="J2" s="27" t="s">
        <v>1243</v>
      </c>
    </row>
    <row r="3" spans="1:10" x14ac:dyDescent="0.3">
      <c r="A3" s="24" t="s">
        <v>1240</v>
      </c>
      <c r="B3" s="18" t="s">
        <v>13</v>
      </c>
      <c r="C3" s="18" t="s">
        <v>5</v>
      </c>
      <c r="D3" s="18" t="s">
        <v>28</v>
      </c>
      <c r="E3" s="18" t="s">
        <v>1244</v>
      </c>
      <c r="F3" s="18" t="s">
        <v>1245</v>
      </c>
      <c r="G3" s="19">
        <v>46188</v>
      </c>
      <c r="H3" s="18" t="s">
        <v>980</v>
      </c>
      <c r="I3" s="18" t="s">
        <v>874</v>
      </c>
      <c r="J3" s="27" t="s">
        <v>1246</v>
      </c>
    </row>
    <row r="4" spans="1:10" x14ac:dyDescent="0.3">
      <c r="A4" s="24" t="s">
        <v>1240</v>
      </c>
      <c r="B4" s="18" t="s">
        <v>13</v>
      </c>
      <c r="C4" s="18" t="s">
        <v>5</v>
      </c>
      <c r="D4" s="18" t="s">
        <v>29</v>
      </c>
      <c r="E4" s="18" t="s">
        <v>1247</v>
      </c>
      <c r="F4" s="18" t="s">
        <v>1248</v>
      </c>
      <c r="G4" s="19">
        <v>46183</v>
      </c>
      <c r="H4" s="18" t="s">
        <v>643</v>
      </c>
      <c r="I4" s="18" t="s">
        <v>874</v>
      </c>
      <c r="J4" s="27" t="s">
        <v>1249</v>
      </c>
    </row>
    <row r="5" spans="1:10" x14ac:dyDescent="0.3">
      <c r="A5" s="24" t="s">
        <v>1240</v>
      </c>
      <c r="B5" s="18" t="s">
        <v>13</v>
      </c>
      <c r="C5" s="18" t="s">
        <v>5</v>
      </c>
      <c r="D5" s="18" t="s">
        <v>30</v>
      </c>
      <c r="E5" s="18" t="s">
        <v>1250</v>
      </c>
      <c r="F5" s="18" t="s">
        <v>1251</v>
      </c>
      <c r="G5" s="19">
        <v>46178</v>
      </c>
      <c r="H5" s="18" t="s">
        <v>870</v>
      </c>
      <c r="I5" s="18" t="s">
        <v>874</v>
      </c>
      <c r="J5" s="27" t="s">
        <v>1252</v>
      </c>
    </row>
    <row r="6" spans="1:10" x14ac:dyDescent="0.3">
      <c r="A6" s="24" t="s">
        <v>1240</v>
      </c>
      <c r="B6" s="18" t="s">
        <v>13</v>
      </c>
      <c r="C6" s="18" t="s">
        <v>5</v>
      </c>
      <c r="D6" s="18" t="s">
        <v>31</v>
      </c>
      <c r="E6" s="18" t="s">
        <v>1253</v>
      </c>
      <c r="F6" s="18" t="s">
        <v>1254</v>
      </c>
      <c r="G6" s="19">
        <v>46170</v>
      </c>
      <c r="H6" s="18" t="s">
        <v>1071</v>
      </c>
      <c r="I6" s="18" t="s">
        <v>874</v>
      </c>
      <c r="J6" s="27" t="s">
        <v>1255</v>
      </c>
    </row>
    <row r="7" spans="1:10" x14ac:dyDescent="0.3">
      <c r="A7" s="24" t="s">
        <v>1240</v>
      </c>
      <c r="B7" s="18" t="s">
        <v>13</v>
      </c>
      <c r="C7" s="18" t="s">
        <v>5</v>
      </c>
      <c r="D7" s="18" t="s">
        <v>32</v>
      </c>
      <c r="E7" s="18" t="s">
        <v>1253</v>
      </c>
      <c r="F7" s="18" t="s">
        <v>1254</v>
      </c>
      <c r="G7" s="19">
        <v>46171</v>
      </c>
      <c r="H7" s="18" t="s">
        <v>1110</v>
      </c>
      <c r="I7" s="18" t="s">
        <v>874</v>
      </c>
      <c r="J7" s="27" t="s">
        <v>1256</v>
      </c>
    </row>
    <row r="8" spans="1:10" x14ac:dyDescent="0.3">
      <c r="A8" s="24" t="s">
        <v>1257</v>
      </c>
      <c r="B8" s="18" t="s">
        <v>14</v>
      </c>
      <c r="C8" s="18" t="s">
        <v>5</v>
      </c>
      <c r="D8" s="18" t="s">
        <v>27</v>
      </c>
      <c r="E8" s="18" t="s">
        <v>1258</v>
      </c>
      <c r="F8" s="18" t="s">
        <v>1259</v>
      </c>
      <c r="G8" s="19">
        <v>46195</v>
      </c>
      <c r="H8" s="18" t="s">
        <v>947</v>
      </c>
      <c r="I8" s="18" t="s">
        <v>874</v>
      </c>
      <c r="J8" s="27" t="s">
        <v>1260</v>
      </c>
    </row>
    <row r="9" spans="1:10" x14ac:dyDescent="0.3">
      <c r="A9" s="24" t="s">
        <v>1257</v>
      </c>
      <c r="B9" s="18" t="s">
        <v>14</v>
      </c>
      <c r="C9" s="18" t="s">
        <v>5</v>
      </c>
      <c r="D9" s="18" t="s">
        <v>28</v>
      </c>
      <c r="E9" s="18" t="s">
        <v>1261</v>
      </c>
      <c r="F9" s="18" t="s">
        <v>1262</v>
      </c>
      <c r="G9" s="19">
        <v>46191</v>
      </c>
      <c r="H9" s="18" t="s">
        <v>986</v>
      </c>
      <c r="I9" s="18" t="s">
        <v>874</v>
      </c>
      <c r="J9" s="27" t="s">
        <v>1263</v>
      </c>
    </row>
    <row r="10" spans="1:10" x14ac:dyDescent="0.3">
      <c r="A10" s="24" t="s">
        <v>1257</v>
      </c>
      <c r="B10" s="18" t="s">
        <v>14</v>
      </c>
      <c r="C10" s="18" t="s">
        <v>5</v>
      </c>
      <c r="D10" s="18" t="s">
        <v>29</v>
      </c>
      <c r="E10" s="18" t="s">
        <v>1264</v>
      </c>
      <c r="F10" s="18" t="s">
        <v>1265</v>
      </c>
      <c r="G10" s="19">
        <v>46185</v>
      </c>
      <c r="H10" s="18" t="s">
        <v>1024</v>
      </c>
      <c r="I10" s="18" t="s">
        <v>874</v>
      </c>
      <c r="J10" s="27" t="s">
        <v>1266</v>
      </c>
    </row>
    <row r="11" spans="1:10" x14ac:dyDescent="0.3">
      <c r="A11" s="24" t="s">
        <v>1257</v>
      </c>
      <c r="B11" s="18" t="s">
        <v>14</v>
      </c>
      <c r="C11" s="18" t="s">
        <v>5</v>
      </c>
      <c r="D11" s="18" t="s">
        <v>30</v>
      </c>
      <c r="E11" s="18" t="s">
        <v>1267</v>
      </c>
      <c r="F11" s="18" t="s">
        <v>1268</v>
      </c>
      <c r="G11" s="19">
        <v>46181</v>
      </c>
      <c r="H11" s="18" t="s">
        <v>877</v>
      </c>
      <c r="I11" s="18" t="s">
        <v>874</v>
      </c>
      <c r="J11" s="27" t="s">
        <v>1269</v>
      </c>
    </row>
    <row r="12" spans="1:10" x14ac:dyDescent="0.3">
      <c r="A12" s="24" t="s">
        <v>1257</v>
      </c>
      <c r="B12" s="18" t="s">
        <v>14</v>
      </c>
      <c r="C12" s="18" t="s">
        <v>5</v>
      </c>
      <c r="D12" s="18" t="s">
        <v>31</v>
      </c>
      <c r="E12" s="18" t="s">
        <v>1270</v>
      </c>
      <c r="F12" s="18" t="s">
        <v>1271</v>
      </c>
      <c r="G12" s="19">
        <v>46174</v>
      </c>
      <c r="H12" s="18" t="s">
        <v>1077</v>
      </c>
      <c r="I12" s="18" t="s">
        <v>874</v>
      </c>
      <c r="J12" s="27" t="s">
        <v>1272</v>
      </c>
    </row>
    <row r="13" spans="1:10" x14ac:dyDescent="0.3">
      <c r="A13" s="24" t="s">
        <v>1257</v>
      </c>
      <c r="B13" s="18" t="s">
        <v>14</v>
      </c>
      <c r="C13" s="18" t="s">
        <v>5</v>
      </c>
      <c r="D13" s="18" t="s">
        <v>32</v>
      </c>
      <c r="E13" s="18" t="s">
        <v>1270</v>
      </c>
      <c r="F13" s="18" t="s">
        <v>1271</v>
      </c>
      <c r="G13" s="19">
        <v>46175</v>
      </c>
      <c r="H13" s="18" t="s">
        <v>1116</v>
      </c>
      <c r="I13" s="18" t="s">
        <v>874</v>
      </c>
      <c r="J13" s="27" t="s">
        <v>1273</v>
      </c>
    </row>
    <row r="14" spans="1:10" x14ac:dyDescent="0.3">
      <c r="A14" s="24" t="s">
        <v>1274</v>
      </c>
      <c r="B14" s="18" t="s">
        <v>33</v>
      </c>
      <c r="C14" s="18" t="s">
        <v>6</v>
      </c>
      <c r="D14" s="18" t="s">
        <v>27</v>
      </c>
      <c r="E14" s="18" t="s">
        <v>1275</v>
      </c>
      <c r="F14" s="18" t="s">
        <v>1276</v>
      </c>
      <c r="G14" s="19">
        <v>46194</v>
      </c>
      <c r="H14" s="18" t="s">
        <v>950</v>
      </c>
      <c r="I14" s="18" t="s">
        <v>874</v>
      </c>
      <c r="J14" s="27" t="s">
        <v>1277</v>
      </c>
    </row>
    <row r="15" spans="1:10" x14ac:dyDescent="0.3">
      <c r="A15" s="24" t="s">
        <v>1274</v>
      </c>
      <c r="B15" s="18" t="s">
        <v>33</v>
      </c>
      <c r="C15" s="18" t="s">
        <v>6</v>
      </c>
      <c r="D15" s="18" t="s">
        <v>28</v>
      </c>
      <c r="E15" s="18" t="s">
        <v>1278</v>
      </c>
      <c r="F15" s="18" t="s">
        <v>1279</v>
      </c>
      <c r="G15" s="19">
        <v>46189</v>
      </c>
      <c r="H15" s="18" t="s">
        <v>989</v>
      </c>
      <c r="I15" s="18" t="s">
        <v>874</v>
      </c>
      <c r="J15" s="27" t="s">
        <v>1280</v>
      </c>
    </row>
    <row r="16" spans="1:10" x14ac:dyDescent="0.3">
      <c r="A16" s="24" t="s">
        <v>1274</v>
      </c>
      <c r="B16" s="18" t="s">
        <v>33</v>
      </c>
      <c r="C16" s="18" t="s">
        <v>6</v>
      </c>
      <c r="D16" s="18" t="s">
        <v>29</v>
      </c>
      <c r="E16" s="18" t="s">
        <v>1281</v>
      </c>
      <c r="F16" s="18" t="s">
        <v>1282</v>
      </c>
      <c r="G16" s="19">
        <v>46184</v>
      </c>
      <c r="H16" s="18" t="s">
        <v>1027</v>
      </c>
      <c r="I16" s="18" t="s">
        <v>874</v>
      </c>
      <c r="J16" s="27" t="s">
        <v>1283</v>
      </c>
    </row>
    <row r="17" spans="1:10" x14ac:dyDescent="0.3">
      <c r="A17" s="24" t="s">
        <v>1274</v>
      </c>
      <c r="B17" s="18" t="s">
        <v>33</v>
      </c>
      <c r="C17" s="18" t="s">
        <v>6</v>
      </c>
      <c r="D17" s="18" t="s">
        <v>30</v>
      </c>
      <c r="E17" s="18" t="s">
        <v>1284</v>
      </c>
      <c r="F17" s="18" t="s">
        <v>1285</v>
      </c>
      <c r="G17" s="19">
        <v>46179</v>
      </c>
      <c r="H17" s="18" t="s">
        <v>882</v>
      </c>
      <c r="I17" s="18" t="s">
        <v>874</v>
      </c>
      <c r="J17" s="27" t="s">
        <v>1286</v>
      </c>
    </row>
    <row r="18" spans="1:10" x14ac:dyDescent="0.3">
      <c r="A18" s="24" t="s">
        <v>1274</v>
      </c>
      <c r="B18" s="18" t="s">
        <v>33</v>
      </c>
      <c r="C18" s="18" t="s">
        <v>6</v>
      </c>
      <c r="D18" s="18" t="s">
        <v>31</v>
      </c>
      <c r="E18" s="18" t="s">
        <v>1287</v>
      </c>
      <c r="F18" s="18" t="s">
        <v>1288</v>
      </c>
      <c r="G18" s="19">
        <v>46172</v>
      </c>
      <c r="H18" s="18" t="s">
        <v>1080</v>
      </c>
      <c r="I18" s="18" t="s">
        <v>874</v>
      </c>
      <c r="J18" s="27" t="s">
        <v>1289</v>
      </c>
    </row>
    <row r="19" spans="1:10" x14ac:dyDescent="0.3">
      <c r="A19" s="24" t="s">
        <v>1274</v>
      </c>
      <c r="B19" s="18" t="s">
        <v>33</v>
      </c>
      <c r="C19" s="18" t="s">
        <v>6</v>
      </c>
      <c r="D19" s="18" t="s">
        <v>32</v>
      </c>
      <c r="E19" s="18" t="s">
        <v>1287</v>
      </c>
      <c r="F19" s="18" t="s">
        <v>1288</v>
      </c>
      <c r="G19" s="19">
        <v>46173</v>
      </c>
      <c r="H19" s="18" t="s">
        <v>1119</v>
      </c>
      <c r="I19" s="18" t="s">
        <v>874</v>
      </c>
      <c r="J19" s="27" t="s">
        <v>1290</v>
      </c>
    </row>
    <row r="20" spans="1:10" x14ac:dyDescent="0.3">
      <c r="A20" s="24" t="s">
        <v>1291</v>
      </c>
      <c r="B20" s="18" t="s">
        <v>43</v>
      </c>
      <c r="C20" s="18" t="s">
        <v>7</v>
      </c>
      <c r="D20" s="18" t="s">
        <v>27</v>
      </c>
      <c r="E20" s="18" t="s">
        <v>1292</v>
      </c>
      <c r="F20" s="18" t="s">
        <v>1293</v>
      </c>
      <c r="G20" s="19">
        <v>46196</v>
      </c>
      <c r="H20" s="18" t="s">
        <v>953</v>
      </c>
      <c r="I20" s="18" t="s">
        <v>874</v>
      </c>
      <c r="J20" s="27" t="s">
        <v>1294</v>
      </c>
    </row>
    <row r="21" spans="1:10" x14ac:dyDescent="0.3">
      <c r="A21" s="24" t="s">
        <v>1291</v>
      </c>
      <c r="B21" s="18" t="s">
        <v>43</v>
      </c>
      <c r="C21" s="18" t="s">
        <v>7</v>
      </c>
      <c r="D21" s="18" t="s">
        <v>28</v>
      </c>
      <c r="E21" s="18" t="s">
        <v>1295</v>
      </c>
      <c r="F21" s="18" t="s">
        <v>1296</v>
      </c>
      <c r="G21" s="19">
        <v>46192</v>
      </c>
      <c r="H21" s="18" t="s">
        <v>992</v>
      </c>
      <c r="I21" s="18" t="s">
        <v>874</v>
      </c>
      <c r="J21" s="27" t="s">
        <v>1297</v>
      </c>
    </row>
    <row r="22" spans="1:10" x14ac:dyDescent="0.3">
      <c r="A22" s="24" t="s">
        <v>1291</v>
      </c>
      <c r="B22" s="18" t="s">
        <v>43</v>
      </c>
      <c r="C22" s="18" t="s">
        <v>7</v>
      </c>
      <c r="D22" s="18" t="s">
        <v>29</v>
      </c>
      <c r="E22" s="18" t="s">
        <v>1298</v>
      </c>
      <c r="F22" s="18" t="s">
        <v>1299</v>
      </c>
      <c r="G22" s="19">
        <v>46187</v>
      </c>
      <c r="H22" s="18" t="s">
        <v>1030</v>
      </c>
      <c r="I22" s="18" t="s">
        <v>874</v>
      </c>
      <c r="J22" s="27" t="s">
        <v>1300</v>
      </c>
    </row>
    <row r="23" spans="1:10" x14ac:dyDescent="0.3">
      <c r="A23" s="24" t="s">
        <v>1291</v>
      </c>
      <c r="B23" s="18" t="s">
        <v>43</v>
      </c>
      <c r="C23" s="18" t="s">
        <v>7</v>
      </c>
      <c r="D23" s="18" t="s">
        <v>30</v>
      </c>
      <c r="E23" s="18" t="s">
        <v>1301</v>
      </c>
      <c r="F23" s="18" t="s">
        <v>1302</v>
      </c>
      <c r="G23" s="19">
        <v>46182</v>
      </c>
      <c r="H23" s="18" t="s">
        <v>888</v>
      </c>
      <c r="I23" s="18" t="s">
        <v>874</v>
      </c>
      <c r="J23" s="27" t="s">
        <v>1303</v>
      </c>
    </row>
    <row r="24" spans="1:10" x14ac:dyDescent="0.3">
      <c r="A24" s="24" t="s">
        <v>1291</v>
      </c>
      <c r="B24" s="18" t="s">
        <v>43</v>
      </c>
      <c r="C24" s="18" t="s">
        <v>7</v>
      </c>
      <c r="D24" s="18" t="s">
        <v>31</v>
      </c>
      <c r="E24" s="18" t="s">
        <v>1304</v>
      </c>
      <c r="F24" s="18" t="s">
        <v>1305</v>
      </c>
      <c r="G24" s="19">
        <v>46175</v>
      </c>
      <c r="H24" s="18" t="s">
        <v>1083</v>
      </c>
      <c r="I24" s="18" t="s">
        <v>874</v>
      </c>
      <c r="J24" s="27" t="s">
        <v>1306</v>
      </c>
    </row>
    <row r="25" spans="1:10" x14ac:dyDescent="0.3">
      <c r="A25" s="24" t="s">
        <v>1291</v>
      </c>
      <c r="B25" s="18" t="s">
        <v>43</v>
      </c>
      <c r="C25" s="18" t="s">
        <v>7</v>
      </c>
      <c r="D25" s="18" t="s">
        <v>32</v>
      </c>
      <c r="E25" s="18" t="s">
        <v>1304</v>
      </c>
      <c r="F25" s="18" t="s">
        <v>1305</v>
      </c>
      <c r="G25" s="19">
        <v>46176</v>
      </c>
      <c r="H25" s="18" t="s">
        <v>1122</v>
      </c>
      <c r="I25" s="18" t="s">
        <v>874</v>
      </c>
      <c r="J25" s="27" t="s">
        <v>1307</v>
      </c>
    </row>
    <row r="26" spans="1:10" x14ac:dyDescent="0.3">
      <c r="A26" s="24" t="s">
        <v>1308</v>
      </c>
      <c r="B26" s="18" t="s">
        <v>53</v>
      </c>
      <c r="C26" s="18" t="s">
        <v>8</v>
      </c>
      <c r="D26" s="18" t="s">
        <v>27</v>
      </c>
      <c r="E26" s="18" t="s">
        <v>1309</v>
      </c>
      <c r="F26" s="18" t="s">
        <v>1310</v>
      </c>
      <c r="G26" s="19">
        <v>46197</v>
      </c>
      <c r="H26" s="18" t="s">
        <v>956</v>
      </c>
      <c r="I26" s="18" t="s">
        <v>874</v>
      </c>
      <c r="J26" s="27" t="s">
        <v>1311</v>
      </c>
    </row>
    <row r="27" spans="1:10" x14ac:dyDescent="0.3">
      <c r="A27" s="24" t="s">
        <v>1308</v>
      </c>
      <c r="B27" s="18" t="s">
        <v>53</v>
      </c>
      <c r="C27" s="18" t="s">
        <v>8</v>
      </c>
      <c r="D27" s="18" t="s">
        <v>28</v>
      </c>
      <c r="E27" s="18" t="s">
        <v>1312</v>
      </c>
      <c r="F27" s="18" t="s">
        <v>1313</v>
      </c>
      <c r="G27" s="19">
        <v>46193</v>
      </c>
      <c r="H27" s="18" t="s">
        <v>995</v>
      </c>
      <c r="I27" s="18" t="s">
        <v>874</v>
      </c>
      <c r="J27" s="27" t="s">
        <v>1314</v>
      </c>
    </row>
    <row r="28" spans="1:10" x14ac:dyDescent="0.3">
      <c r="A28" s="24" t="s">
        <v>1308</v>
      </c>
      <c r="B28" s="18" t="s">
        <v>53</v>
      </c>
      <c r="C28" s="18" t="s">
        <v>8</v>
      </c>
      <c r="D28" s="18" t="s">
        <v>29</v>
      </c>
      <c r="E28" s="18" t="s">
        <v>1315</v>
      </c>
      <c r="F28" s="18" t="s">
        <v>1316</v>
      </c>
      <c r="G28" s="19">
        <v>46188</v>
      </c>
      <c r="H28" s="18" t="s">
        <v>1033</v>
      </c>
      <c r="I28" s="18" t="s">
        <v>874</v>
      </c>
      <c r="J28" s="27" t="s">
        <v>1317</v>
      </c>
    </row>
    <row r="29" spans="1:10" x14ac:dyDescent="0.3">
      <c r="A29" s="24" t="s">
        <v>1308</v>
      </c>
      <c r="B29" s="18" t="s">
        <v>53</v>
      </c>
      <c r="C29" s="18" t="s">
        <v>8</v>
      </c>
      <c r="D29" s="18" t="s">
        <v>30</v>
      </c>
      <c r="E29" s="18" t="s">
        <v>1318</v>
      </c>
      <c r="F29" s="18" t="s">
        <v>1319</v>
      </c>
      <c r="G29" s="19">
        <v>46183</v>
      </c>
      <c r="H29" s="18" t="s">
        <v>893</v>
      </c>
      <c r="I29" s="18" t="s">
        <v>874</v>
      </c>
      <c r="J29" s="27" t="s">
        <v>1320</v>
      </c>
    </row>
    <row r="30" spans="1:10" x14ac:dyDescent="0.3">
      <c r="A30" s="24" t="s">
        <v>1308</v>
      </c>
      <c r="B30" s="18" t="s">
        <v>53</v>
      </c>
      <c r="C30" s="18" t="s">
        <v>8</v>
      </c>
      <c r="D30" s="18" t="s">
        <v>31</v>
      </c>
      <c r="E30" s="18" t="s">
        <v>1321</v>
      </c>
      <c r="F30" s="18" t="s">
        <v>1322</v>
      </c>
      <c r="G30" s="19">
        <v>46176</v>
      </c>
      <c r="H30" s="18" t="s">
        <v>1086</v>
      </c>
      <c r="I30" s="18" t="s">
        <v>874</v>
      </c>
      <c r="J30" s="27" t="s">
        <v>1323</v>
      </c>
    </row>
    <row r="31" spans="1:10" x14ac:dyDescent="0.3">
      <c r="A31" s="24" t="s">
        <v>1308</v>
      </c>
      <c r="B31" s="18" t="s">
        <v>53</v>
      </c>
      <c r="C31" s="18" t="s">
        <v>8</v>
      </c>
      <c r="D31" s="18" t="s">
        <v>32</v>
      </c>
      <c r="E31" s="18" t="s">
        <v>1321</v>
      </c>
      <c r="F31" s="18" t="s">
        <v>1322</v>
      </c>
      <c r="G31" s="19">
        <v>46177</v>
      </c>
      <c r="H31" s="18" t="s">
        <v>1125</v>
      </c>
      <c r="I31" s="18" t="s">
        <v>874</v>
      </c>
      <c r="J31" s="27" t="s">
        <v>1324</v>
      </c>
    </row>
    <row r="32" spans="1:10" x14ac:dyDescent="0.3">
      <c r="A32" s="24" t="s">
        <v>1325</v>
      </c>
      <c r="B32" s="18" t="s">
        <v>63</v>
      </c>
      <c r="C32" s="18" t="s">
        <v>9</v>
      </c>
      <c r="D32" s="18" t="s">
        <v>27</v>
      </c>
      <c r="E32" s="18" t="s">
        <v>1326</v>
      </c>
      <c r="F32" s="18" t="s">
        <v>1327</v>
      </c>
      <c r="G32" s="19">
        <v>46195</v>
      </c>
      <c r="H32" s="18" t="s">
        <v>959</v>
      </c>
      <c r="I32" s="18" t="s">
        <v>874</v>
      </c>
      <c r="J32" s="27" t="s">
        <v>1328</v>
      </c>
    </row>
    <row r="33" spans="1:10" x14ac:dyDescent="0.3">
      <c r="A33" s="24" t="s">
        <v>1325</v>
      </c>
      <c r="B33" s="18" t="s">
        <v>63</v>
      </c>
      <c r="C33" s="18" t="s">
        <v>9</v>
      </c>
      <c r="D33" s="18" t="s">
        <v>28</v>
      </c>
      <c r="E33" s="18" t="s">
        <v>1329</v>
      </c>
      <c r="F33" s="18" t="s">
        <v>1330</v>
      </c>
      <c r="G33" s="19">
        <v>46190</v>
      </c>
      <c r="H33" s="18" t="s">
        <v>998</v>
      </c>
      <c r="I33" s="18" t="s">
        <v>874</v>
      </c>
      <c r="J33" s="27" t="s">
        <v>1331</v>
      </c>
    </row>
    <row r="34" spans="1:10" x14ac:dyDescent="0.3">
      <c r="A34" s="24" t="s">
        <v>1325</v>
      </c>
      <c r="B34" s="18" t="s">
        <v>63</v>
      </c>
      <c r="C34" s="18" t="s">
        <v>9</v>
      </c>
      <c r="D34" s="18" t="s">
        <v>29</v>
      </c>
      <c r="E34" s="18" t="s">
        <v>1332</v>
      </c>
      <c r="F34" s="18" t="s">
        <v>1333</v>
      </c>
      <c r="G34" s="19">
        <v>46185</v>
      </c>
      <c r="H34" s="18" t="s">
        <v>1036</v>
      </c>
      <c r="I34" s="18" t="s">
        <v>874</v>
      </c>
      <c r="J34" s="27" t="s">
        <v>1334</v>
      </c>
    </row>
    <row r="35" spans="1:10" x14ac:dyDescent="0.3">
      <c r="A35" s="24" t="s">
        <v>1325</v>
      </c>
      <c r="B35" s="18" t="s">
        <v>63</v>
      </c>
      <c r="C35" s="18" t="s">
        <v>9</v>
      </c>
      <c r="D35" s="18" t="s">
        <v>30</v>
      </c>
      <c r="E35" s="18" t="s">
        <v>1335</v>
      </c>
      <c r="F35" s="18" t="s">
        <v>1336</v>
      </c>
      <c r="G35" s="19">
        <v>46180</v>
      </c>
      <c r="H35" s="18" t="s">
        <v>899</v>
      </c>
      <c r="I35" s="18" t="s">
        <v>874</v>
      </c>
      <c r="J35" s="27" t="s">
        <v>1337</v>
      </c>
    </row>
    <row r="36" spans="1:10" x14ac:dyDescent="0.3">
      <c r="A36" s="24" t="s">
        <v>1325</v>
      </c>
      <c r="B36" s="18" t="s">
        <v>63</v>
      </c>
      <c r="C36" s="18" t="s">
        <v>9</v>
      </c>
      <c r="D36" s="18" t="s">
        <v>31</v>
      </c>
      <c r="E36" s="18" t="s">
        <v>1338</v>
      </c>
      <c r="F36" s="18" t="s">
        <v>1339</v>
      </c>
      <c r="G36" s="19">
        <v>46173</v>
      </c>
      <c r="H36" s="18" t="s">
        <v>1089</v>
      </c>
      <c r="I36" s="18" t="s">
        <v>874</v>
      </c>
      <c r="J36" s="27" t="s">
        <v>1340</v>
      </c>
    </row>
    <row r="37" spans="1:10" x14ac:dyDescent="0.3">
      <c r="A37" s="24" t="s">
        <v>1325</v>
      </c>
      <c r="B37" s="18" t="s">
        <v>63</v>
      </c>
      <c r="C37" s="18" t="s">
        <v>9</v>
      </c>
      <c r="D37" s="18" t="s">
        <v>32</v>
      </c>
      <c r="E37" s="18" t="s">
        <v>1338</v>
      </c>
      <c r="F37" s="18" t="s">
        <v>1339</v>
      </c>
      <c r="G37" s="19">
        <v>46174</v>
      </c>
      <c r="H37" s="18" t="s">
        <v>1128</v>
      </c>
      <c r="I37" s="18" t="s">
        <v>874</v>
      </c>
      <c r="J37" s="27" t="s">
        <v>1341</v>
      </c>
    </row>
    <row r="38" spans="1:10" x14ac:dyDescent="0.3">
      <c r="A38" s="24" t="s">
        <v>1342</v>
      </c>
      <c r="B38" s="18" t="s">
        <v>73</v>
      </c>
      <c r="C38" s="18" t="s">
        <v>10</v>
      </c>
      <c r="D38" s="18" t="s">
        <v>27</v>
      </c>
      <c r="E38" s="18" t="s">
        <v>1343</v>
      </c>
      <c r="F38" s="18" t="s">
        <v>1344</v>
      </c>
      <c r="G38" s="19">
        <v>46196</v>
      </c>
      <c r="H38" s="18" t="s">
        <v>962</v>
      </c>
      <c r="I38" s="18" t="s">
        <v>874</v>
      </c>
      <c r="J38" s="27" t="s">
        <v>1345</v>
      </c>
    </row>
    <row r="39" spans="1:10" x14ac:dyDescent="0.3">
      <c r="A39" s="24" t="s">
        <v>1342</v>
      </c>
      <c r="B39" s="18" t="s">
        <v>73</v>
      </c>
      <c r="C39" s="18" t="s">
        <v>10</v>
      </c>
      <c r="D39" s="18" t="s">
        <v>28</v>
      </c>
      <c r="E39" s="18" t="s">
        <v>1346</v>
      </c>
      <c r="F39" s="18" t="s">
        <v>1347</v>
      </c>
      <c r="G39" s="19">
        <v>46191</v>
      </c>
      <c r="H39" s="18" t="s">
        <v>1001</v>
      </c>
      <c r="I39" s="18" t="s">
        <v>874</v>
      </c>
      <c r="J39" s="27" t="s">
        <v>1348</v>
      </c>
    </row>
    <row r="40" spans="1:10" x14ac:dyDescent="0.3">
      <c r="A40" s="24" t="s">
        <v>1342</v>
      </c>
      <c r="B40" s="18" t="s">
        <v>73</v>
      </c>
      <c r="C40" s="18" t="s">
        <v>10</v>
      </c>
      <c r="D40" s="18" t="s">
        <v>29</v>
      </c>
      <c r="E40" s="18" t="s">
        <v>1349</v>
      </c>
      <c r="F40" s="18" t="s">
        <v>1350</v>
      </c>
      <c r="G40" s="19">
        <v>46186</v>
      </c>
      <c r="H40" s="18" t="s">
        <v>1039</v>
      </c>
      <c r="I40" s="18" t="s">
        <v>874</v>
      </c>
      <c r="J40" s="27" t="s">
        <v>1351</v>
      </c>
    </row>
    <row r="41" spans="1:10" x14ac:dyDescent="0.3">
      <c r="A41" s="24" t="s">
        <v>1342</v>
      </c>
      <c r="B41" s="18" t="s">
        <v>73</v>
      </c>
      <c r="C41" s="18" t="s">
        <v>10</v>
      </c>
      <c r="D41" s="18" t="s">
        <v>30</v>
      </c>
      <c r="E41" s="18" t="s">
        <v>1352</v>
      </c>
      <c r="F41" s="18" t="s">
        <v>1353</v>
      </c>
      <c r="G41" s="19">
        <v>46181</v>
      </c>
      <c r="H41" s="18" t="s">
        <v>904</v>
      </c>
      <c r="I41" s="18" t="s">
        <v>874</v>
      </c>
      <c r="J41" s="27" t="s">
        <v>1354</v>
      </c>
    </row>
    <row r="42" spans="1:10" x14ac:dyDescent="0.3">
      <c r="A42" s="24" t="s">
        <v>1342</v>
      </c>
      <c r="B42" s="18" t="s">
        <v>73</v>
      </c>
      <c r="C42" s="18" t="s">
        <v>10</v>
      </c>
      <c r="D42" s="18" t="s">
        <v>31</v>
      </c>
      <c r="E42" s="18" t="s">
        <v>1355</v>
      </c>
      <c r="F42" s="18" t="s">
        <v>1356</v>
      </c>
      <c r="G42" s="19">
        <v>46174</v>
      </c>
      <c r="H42" s="18" t="s">
        <v>1092</v>
      </c>
      <c r="I42" s="18" t="s">
        <v>874</v>
      </c>
      <c r="J42" s="27" t="s">
        <v>1357</v>
      </c>
    </row>
    <row r="43" spans="1:10" x14ac:dyDescent="0.3">
      <c r="A43" s="24" t="s">
        <v>1342</v>
      </c>
      <c r="B43" s="18" t="s">
        <v>73</v>
      </c>
      <c r="C43" s="18" t="s">
        <v>10</v>
      </c>
      <c r="D43" s="18" t="s">
        <v>32</v>
      </c>
      <c r="E43" s="18" t="s">
        <v>1355</v>
      </c>
      <c r="F43" s="18" t="s">
        <v>1356</v>
      </c>
      <c r="G43" s="19">
        <v>46175</v>
      </c>
      <c r="H43" s="18" t="s">
        <v>1131</v>
      </c>
      <c r="I43" s="18" t="s">
        <v>874</v>
      </c>
      <c r="J43" s="27" t="s">
        <v>1358</v>
      </c>
    </row>
    <row r="44" spans="1:10" x14ac:dyDescent="0.3">
      <c r="A44" s="24" t="s">
        <v>1359</v>
      </c>
      <c r="B44" s="18" t="s">
        <v>88</v>
      </c>
      <c r="C44" s="18" t="s">
        <v>11</v>
      </c>
      <c r="D44" s="18" t="s">
        <v>27</v>
      </c>
      <c r="E44" s="18" t="s">
        <v>1360</v>
      </c>
      <c r="F44" s="18" t="s">
        <v>1361</v>
      </c>
      <c r="G44" s="19">
        <v>46194</v>
      </c>
      <c r="H44" s="18" t="s">
        <v>965</v>
      </c>
      <c r="I44" s="18" t="s">
        <v>874</v>
      </c>
      <c r="J44" s="27" t="s">
        <v>1362</v>
      </c>
    </row>
    <row r="45" spans="1:10" x14ac:dyDescent="0.3">
      <c r="A45" s="24" t="s">
        <v>1359</v>
      </c>
      <c r="B45" s="18" t="s">
        <v>88</v>
      </c>
      <c r="C45" s="18" t="s">
        <v>11</v>
      </c>
      <c r="D45" s="18" t="s">
        <v>28</v>
      </c>
      <c r="E45" s="18" t="s">
        <v>1363</v>
      </c>
      <c r="F45" s="18" t="s">
        <v>1364</v>
      </c>
      <c r="G45" s="19">
        <v>46189</v>
      </c>
      <c r="H45" s="18" t="s">
        <v>1004</v>
      </c>
      <c r="I45" s="18" t="s">
        <v>874</v>
      </c>
      <c r="J45" s="27" t="s">
        <v>1365</v>
      </c>
    </row>
    <row r="46" spans="1:10" x14ac:dyDescent="0.3">
      <c r="A46" s="24" t="s">
        <v>1359</v>
      </c>
      <c r="B46" s="18" t="s">
        <v>88</v>
      </c>
      <c r="C46" s="18" t="s">
        <v>11</v>
      </c>
      <c r="D46" s="18" t="s">
        <v>29</v>
      </c>
      <c r="E46" s="18" t="s">
        <v>1366</v>
      </c>
      <c r="F46" s="18" t="s">
        <v>1367</v>
      </c>
      <c r="G46" s="19">
        <v>46184</v>
      </c>
      <c r="H46" s="18" t="s">
        <v>1042</v>
      </c>
      <c r="I46" s="18" t="s">
        <v>874</v>
      </c>
      <c r="J46" s="27" t="s">
        <v>1368</v>
      </c>
    </row>
    <row r="47" spans="1:10" x14ac:dyDescent="0.3">
      <c r="A47" s="24" t="s">
        <v>1359</v>
      </c>
      <c r="B47" s="18" t="s">
        <v>88</v>
      </c>
      <c r="C47" s="18" t="s">
        <v>11</v>
      </c>
      <c r="D47" s="18" t="s">
        <v>30</v>
      </c>
      <c r="E47" s="18" t="s">
        <v>1369</v>
      </c>
      <c r="F47" s="18" t="s">
        <v>1370</v>
      </c>
      <c r="G47" s="19">
        <v>46179</v>
      </c>
      <c r="H47" s="18" t="s">
        <v>909</v>
      </c>
      <c r="I47" s="18" t="s">
        <v>874</v>
      </c>
      <c r="J47" s="27" t="s">
        <v>1371</v>
      </c>
    </row>
    <row r="48" spans="1:10" x14ac:dyDescent="0.3">
      <c r="A48" s="24" t="s">
        <v>1359</v>
      </c>
      <c r="B48" s="18" t="s">
        <v>88</v>
      </c>
      <c r="C48" s="18" t="s">
        <v>11</v>
      </c>
      <c r="D48" s="18" t="s">
        <v>31</v>
      </c>
      <c r="E48" s="18" t="s">
        <v>1372</v>
      </c>
      <c r="F48" s="18" t="s">
        <v>1373</v>
      </c>
      <c r="G48" s="19">
        <v>46172</v>
      </c>
      <c r="H48" s="18" t="s">
        <v>1095</v>
      </c>
      <c r="I48" s="18" t="s">
        <v>874</v>
      </c>
      <c r="J48" s="27" t="s">
        <v>1374</v>
      </c>
    </row>
    <row r="49" spans="1:10" x14ac:dyDescent="0.3">
      <c r="A49" s="24" t="s">
        <v>1359</v>
      </c>
      <c r="B49" s="18" t="s">
        <v>88</v>
      </c>
      <c r="C49" s="18" t="s">
        <v>11</v>
      </c>
      <c r="D49" s="18" t="s">
        <v>32</v>
      </c>
      <c r="E49" s="18" t="s">
        <v>1372</v>
      </c>
      <c r="F49" s="18" t="s">
        <v>1373</v>
      </c>
      <c r="G49" s="19">
        <v>46173</v>
      </c>
      <c r="H49" s="18" t="s">
        <v>1134</v>
      </c>
      <c r="I49" s="18" t="s">
        <v>874</v>
      </c>
      <c r="J49" s="27" t="s">
        <v>1375</v>
      </c>
    </row>
    <row r="50" spans="1:10" x14ac:dyDescent="0.3">
      <c r="A50" s="24" t="s">
        <v>1376</v>
      </c>
      <c r="B50" s="18" t="s">
        <v>93</v>
      </c>
      <c r="C50" s="18" t="s">
        <v>12</v>
      </c>
      <c r="D50" s="18" t="s">
        <v>27</v>
      </c>
      <c r="E50" s="18" t="s">
        <v>1377</v>
      </c>
      <c r="F50" s="18" t="s">
        <v>1378</v>
      </c>
      <c r="G50" s="19">
        <v>46197</v>
      </c>
      <c r="H50" s="18" t="s">
        <v>968</v>
      </c>
      <c r="I50" s="18" t="s">
        <v>874</v>
      </c>
      <c r="J50" s="27" t="s">
        <v>1379</v>
      </c>
    </row>
    <row r="51" spans="1:10" x14ac:dyDescent="0.3">
      <c r="A51" s="24" t="s">
        <v>1376</v>
      </c>
      <c r="B51" s="18" t="s">
        <v>93</v>
      </c>
      <c r="C51" s="18" t="s">
        <v>12</v>
      </c>
      <c r="D51" s="18" t="s">
        <v>28</v>
      </c>
      <c r="E51" s="18" t="s">
        <v>1380</v>
      </c>
      <c r="F51" s="18" t="s">
        <v>1381</v>
      </c>
      <c r="G51" s="19">
        <v>46192</v>
      </c>
      <c r="H51" s="18" t="s">
        <v>1007</v>
      </c>
      <c r="I51" s="18" t="s">
        <v>874</v>
      </c>
      <c r="J51" s="27" t="s">
        <v>1382</v>
      </c>
    </row>
    <row r="52" spans="1:10" x14ac:dyDescent="0.3">
      <c r="A52" s="24" t="s">
        <v>1376</v>
      </c>
      <c r="B52" s="18" t="s">
        <v>93</v>
      </c>
      <c r="C52" s="18" t="s">
        <v>12</v>
      </c>
      <c r="D52" s="18" t="s">
        <v>29</v>
      </c>
      <c r="E52" s="18" t="s">
        <v>1383</v>
      </c>
      <c r="F52" s="18" t="s">
        <v>1384</v>
      </c>
      <c r="G52" s="19">
        <v>46187</v>
      </c>
      <c r="H52" s="18" t="s">
        <v>1045</v>
      </c>
      <c r="I52" s="18" t="s">
        <v>874</v>
      </c>
      <c r="J52" s="27" t="s">
        <v>1385</v>
      </c>
    </row>
    <row r="53" spans="1:10" x14ac:dyDescent="0.3">
      <c r="A53" s="24" t="s">
        <v>1376</v>
      </c>
      <c r="B53" s="18" t="s">
        <v>93</v>
      </c>
      <c r="C53" s="18" t="s">
        <v>12</v>
      </c>
      <c r="D53" s="18" t="s">
        <v>30</v>
      </c>
      <c r="E53" s="18" t="s">
        <v>1386</v>
      </c>
      <c r="F53" s="18" t="s">
        <v>1387</v>
      </c>
      <c r="G53" s="19">
        <v>46182</v>
      </c>
      <c r="H53" s="18" t="s">
        <v>914</v>
      </c>
      <c r="I53" s="18" t="s">
        <v>874</v>
      </c>
      <c r="J53" s="27" t="s">
        <v>1388</v>
      </c>
    </row>
    <row r="54" spans="1:10" x14ac:dyDescent="0.3">
      <c r="A54" s="24" t="s">
        <v>1376</v>
      </c>
      <c r="B54" s="18" t="s">
        <v>93</v>
      </c>
      <c r="C54" s="18" t="s">
        <v>12</v>
      </c>
      <c r="D54" s="18" t="s">
        <v>31</v>
      </c>
      <c r="E54" s="18" t="s">
        <v>1389</v>
      </c>
      <c r="F54" s="18" t="s">
        <v>1390</v>
      </c>
      <c r="G54" s="19">
        <v>46175</v>
      </c>
      <c r="H54" s="18" t="s">
        <v>1098</v>
      </c>
      <c r="I54" s="18" t="s">
        <v>874</v>
      </c>
      <c r="J54" s="27" t="s">
        <v>1391</v>
      </c>
    </row>
    <row r="55" spans="1:10" x14ac:dyDescent="0.3">
      <c r="A55" s="24" t="s">
        <v>1376</v>
      </c>
      <c r="B55" s="18" t="s">
        <v>93</v>
      </c>
      <c r="C55" s="18" t="s">
        <v>12</v>
      </c>
      <c r="D55" s="18" t="s">
        <v>32</v>
      </c>
      <c r="E55" s="18" t="s">
        <v>1389</v>
      </c>
      <c r="F55" s="18" t="s">
        <v>1390</v>
      </c>
      <c r="G55" s="19">
        <v>46176</v>
      </c>
      <c r="H55" s="18" t="s">
        <v>1137</v>
      </c>
      <c r="I55" s="18" t="s">
        <v>874</v>
      </c>
      <c r="J55" s="27" t="s">
        <v>1392</v>
      </c>
    </row>
    <row r="56" spans="1:10" x14ac:dyDescent="0.3">
      <c r="A56" s="24" t="s">
        <v>1393</v>
      </c>
      <c r="B56" s="18" t="s">
        <v>66</v>
      </c>
      <c r="C56" s="18" t="s">
        <v>9</v>
      </c>
      <c r="D56" s="18" t="s">
        <v>27</v>
      </c>
      <c r="E56" s="18" t="s">
        <v>1394</v>
      </c>
      <c r="F56" s="18" t="s">
        <v>1395</v>
      </c>
      <c r="G56" s="19">
        <v>46195</v>
      </c>
      <c r="H56" s="18" t="s">
        <v>971</v>
      </c>
      <c r="I56" s="18" t="s">
        <v>874</v>
      </c>
      <c r="J56" s="27" t="s">
        <v>1396</v>
      </c>
    </row>
    <row r="57" spans="1:10" x14ac:dyDescent="0.3">
      <c r="A57" s="24" t="s">
        <v>1393</v>
      </c>
      <c r="B57" s="18" t="s">
        <v>66</v>
      </c>
      <c r="C57" s="18" t="s">
        <v>9</v>
      </c>
      <c r="D57" s="18" t="s">
        <v>28</v>
      </c>
      <c r="E57" s="18" t="s">
        <v>1397</v>
      </c>
      <c r="F57" s="18" t="s">
        <v>1398</v>
      </c>
      <c r="G57" s="19">
        <v>46190</v>
      </c>
      <c r="H57" s="18" t="s">
        <v>1010</v>
      </c>
      <c r="I57" s="18" t="s">
        <v>874</v>
      </c>
      <c r="J57" s="27" t="s">
        <v>1399</v>
      </c>
    </row>
    <row r="58" spans="1:10" x14ac:dyDescent="0.3">
      <c r="A58" s="24" t="s">
        <v>1393</v>
      </c>
      <c r="B58" s="18" t="s">
        <v>66</v>
      </c>
      <c r="C58" s="18" t="s">
        <v>9</v>
      </c>
      <c r="D58" s="18" t="s">
        <v>29</v>
      </c>
      <c r="E58" s="18" t="s">
        <v>1400</v>
      </c>
      <c r="F58" s="18" t="s">
        <v>1401</v>
      </c>
      <c r="G58" s="19">
        <v>46185</v>
      </c>
      <c r="H58" s="18" t="s">
        <v>1048</v>
      </c>
      <c r="I58" s="18" t="s">
        <v>874</v>
      </c>
      <c r="J58" s="27" t="s">
        <v>1402</v>
      </c>
    </row>
    <row r="59" spans="1:10" x14ac:dyDescent="0.3">
      <c r="A59" s="24" t="s">
        <v>1393</v>
      </c>
      <c r="B59" s="18" t="s">
        <v>66</v>
      </c>
      <c r="C59" s="18" t="s">
        <v>9</v>
      </c>
      <c r="D59" s="18" t="s">
        <v>30</v>
      </c>
      <c r="E59" s="18" t="s">
        <v>1403</v>
      </c>
      <c r="F59" s="18" t="s">
        <v>1404</v>
      </c>
      <c r="G59" s="19">
        <v>46180</v>
      </c>
      <c r="H59" s="18" t="s">
        <v>920</v>
      </c>
      <c r="I59" s="18" t="s">
        <v>874</v>
      </c>
      <c r="J59" s="27" t="s">
        <v>1405</v>
      </c>
    </row>
    <row r="60" spans="1:10" x14ac:dyDescent="0.3">
      <c r="A60" s="24" t="s">
        <v>1393</v>
      </c>
      <c r="B60" s="18" t="s">
        <v>66</v>
      </c>
      <c r="C60" s="18" t="s">
        <v>9</v>
      </c>
      <c r="D60" s="18" t="s">
        <v>31</v>
      </c>
      <c r="E60" s="18" t="s">
        <v>1406</v>
      </c>
      <c r="F60" s="18" t="s">
        <v>1407</v>
      </c>
      <c r="G60" s="19">
        <v>46173</v>
      </c>
      <c r="H60" s="18" t="s">
        <v>1101</v>
      </c>
      <c r="I60" s="18" t="s">
        <v>874</v>
      </c>
      <c r="J60" s="27" t="s">
        <v>1408</v>
      </c>
    </row>
    <row r="61" spans="1:10" x14ac:dyDescent="0.3">
      <c r="A61" s="24" t="s">
        <v>1393</v>
      </c>
      <c r="B61" s="18" t="s">
        <v>66</v>
      </c>
      <c r="C61" s="18" t="s">
        <v>9</v>
      </c>
      <c r="D61" s="18" t="s">
        <v>32</v>
      </c>
      <c r="E61" s="18" t="s">
        <v>1406</v>
      </c>
      <c r="F61" s="18" t="s">
        <v>1407</v>
      </c>
      <c r="G61" s="19">
        <v>46174</v>
      </c>
      <c r="H61" s="18" t="s">
        <v>1140</v>
      </c>
      <c r="I61" s="18" t="s">
        <v>874</v>
      </c>
      <c r="J61" s="27" t="s">
        <v>1409</v>
      </c>
    </row>
    <row r="62" spans="1:10" x14ac:dyDescent="0.3">
      <c r="A62" s="24" t="s">
        <v>1410</v>
      </c>
      <c r="B62" s="18" t="s">
        <v>17</v>
      </c>
      <c r="C62" s="18" t="s">
        <v>5</v>
      </c>
      <c r="D62" s="18" t="s">
        <v>27</v>
      </c>
      <c r="E62" s="18" t="s">
        <v>1411</v>
      </c>
      <c r="F62" s="18" t="s">
        <v>1412</v>
      </c>
      <c r="G62" s="19">
        <v>46193</v>
      </c>
      <c r="H62" s="18" t="s">
        <v>974</v>
      </c>
      <c r="I62" s="18" t="s">
        <v>874</v>
      </c>
      <c r="J62" s="27" t="s">
        <v>1413</v>
      </c>
    </row>
    <row r="63" spans="1:10" x14ac:dyDescent="0.3">
      <c r="A63" s="24" t="s">
        <v>1410</v>
      </c>
      <c r="B63" s="18" t="s">
        <v>17</v>
      </c>
      <c r="C63" s="18" t="s">
        <v>5</v>
      </c>
      <c r="D63" s="18" t="s">
        <v>28</v>
      </c>
      <c r="E63" s="18" t="s">
        <v>1414</v>
      </c>
      <c r="F63" s="18" t="s">
        <v>1415</v>
      </c>
      <c r="G63" s="19">
        <v>46188</v>
      </c>
      <c r="H63" s="18" t="s">
        <v>1013</v>
      </c>
      <c r="I63" s="18" t="s">
        <v>874</v>
      </c>
      <c r="J63" s="27" t="s">
        <v>1416</v>
      </c>
    </row>
    <row r="64" spans="1:10" x14ac:dyDescent="0.3">
      <c r="A64" s="24" t="s">
        <v>1410</v>
      </c>
      <c r="B64" s="18" t="s">
        <v>17</v>
      </c>
      <c r="C64" s="18" t="s">
        <v>5</v>
      </c>
      <c r="D64" s="18" t="s">
        <v>29</v>
      </c>
      <c r="E64" s="18" t="s">
        <v>1417</v>
      </c>
      <c r="F64" s="18" t="s">
        <v>1418</v>
      </c>
      <c r="G64" s="19">
        <v>46183</v>
      </c>
      <c r="H64" s="18" t="s">
        <v>1051</v>
      </c>
      <c r="I64" s="18" t="s">
        <v>874</v>
      </c>
      <c r="J64" s="27" t="s">
        <v>1419</v>
      </c>
    </row>
    <row r="65" spans="1:10" x14ac:dyDescent="0.3">
      <c r="A65" s="24" t="s">
        <v>1410</v>
      </c>
      <c r="B65" s="18" t="s">
        <v>17</v>
      </c>
      <c r="C65" s="18" t="s">
        <v>5</v>
      </c>
      <c r="D65" s="18" t="s">
        <v>30</v>
      </c>
      <c r="E65" s="18" t="s">
        <v>1420</v>
      </c>
      <c r="F65" s="18" t="s">
        <v>1421</v>
      </c>
      <c r="G65" s="19">
        <v>46178</v>
      </c>
      <c r="H65" s="18" t="s">
        <v>925</v>
      </c>
      <c r="I65" s="18" t="s">
        <v>874</v>
      </c>
      <c r="J65" s="27" t="s">
        <v>1422</v>
      </c>
    </row>
    <row r="66" spans="1:10" x14ac:dyDescent="0.3">
      <c r="A66" s="24" t="s">
        <v>1410</v>
      </c>
      <c r="B66" s="18" t="s">
        <v>17</v>
      </c>
      <c r="C66" s="18" t="s">
        <v>5</v>
      </c>
      <c r="D66" s="18" t="s">
        <v>31</v>
      </c>
      <c r="E66" s="18" t="s">
        <v>1423</v>
      </c>
      <c r="F66" s="18" t="s">
        <v>1424</v>
      </c>
      <c r="G66" s="19">
        <v>46170</v>
      </c>
      <c r="H66" s="18" t="s">
        <v>1104</v>
      </c>
      <c r="I66" s="18" t="s">
        <v>874</v>
      </c>
      <c r="J66" s="27" t="s">
        <v>1425</v>
      </c>
    </row>
    <row r="67" spans="1:10" x14ac:dyDescent="0.3">
      <c r="A67" s="24" t="s">
        <v>1410</v>
      </c>
      <c r="B67" s="18" t="s">
        <v>17</v>
      </c>
      <c r="C67" s="18" t="s">
        <v>5</v>
      </c>
      <c r="D67" s="18" t="s">
        <v>32</v>
      </c>
      <c r="E67" s="18" t="s">
        <v>1423</v>
      </c>
      <c r="F67" s="18" t="s">
        <v>1424</v>
      </c>
      <c r="G67" s="19">
        <v>46171</v>
      </c>
      <c r="H67" s="18" t="s">
        <v>1143</v>
      </c>
      <c r="I67" s="18" t="s">
        <v>874</v>
      </c>
      <c r="J67" s="27" t="s">
        <v>1426</v>
      </c>
    </row>
    <row r="68" spans="1:10" x14ac:dyDescent="0.3">
      <c r="A68" s="24" t="s">
        <v>1427</v>
      </c>
      <c r="B68" s="18" t="s">
        <v>45</v>
      </c>
      <c r="C68" s="18" t="s">
        <v>7</v>
      </c>
      <c r="D68" s="18" t="s">
        <v>27</v>
      </c>
      <c r="E68" s="18" t="s">
        <v>1428</v>
      </c>
      <c r="F68" s="18" t="s">
        <v>1429</v>
      </c>
      <c r="G68" s="19">
        <v>46196</v>
      </c>
      <c r="H68" s="18" t="s">
        <v>977</v>
      </c>
      <c r="I68" s="18" t="s">
        <v>874</v>
      </c>
      <c r="J68" s="27" t="s">
        <v>1430</v>
      </c>
    </row>
    <row r="69" spans="1:10" x14ac:dyDescent="0.3">
      <c r="A69" s="24" t="s">
        <v>1427</v>
      </c>
      <c r="B69" s="18" t="s">
        <v>45</v>
      </c>
      <c r="C69" s="18" t="s">
        <v>7</v>
      </c>
      <c r="D69" s="18" t="s">
        <v>28</v>
      </c>
      <c r="E69" s="18" t="s">
        <v>1431</v>
      </c>
      <c r="F69" s="18" t="s">
        <v>1432</v>
      </c>
      <c r="G69" s="19">
        <v>46191</v>
      </c>
      <c r="H69" s="18" t="s">
        <v>1016</v>
      </c>
      <c r="I69" s="18" t="s">
        <v>874</v>
      </c>
      <c r="J69" s="27" t="s">
        <v>1433</v>
      </c>
    </row>
    <row r="70" spans="1:10" x14ac:dyDescent="0.3">
      <c r="A70" s="24" t="s">
        <v>1427</v>
      </c>
      <c r="B70" s="18" t="s">
        <v>45</v>
      </c>
      <c r="C70" s="18" t="s">
        <v>7</v>
      </c>
      <c r="D70" s="18" t="s">
        <v>29</v>
      </c>
      <c r="E70" s="18" t="s">
        <v>1434</v>
      </c>
      <c r="F70" s="18" t="s">
        <v>1435</v>
      </c>
      <c r="G70" s="19">
        <v>46186</v>
      </c>
      <c r="H70" s="18" t="s">
        <v>1054</v>
      </c>
      <c r="I70" s="18" t="s">
        <v>874</v>
      </c>
      <c r="J70" s="27" t="s">
        <v>1300</v>
      </c>
    </row>
    <row r="71" spans="1:10" x14ac:dyDescent="0.3">
      <c r="A71" s="24" t="s">
        <v>1427</v>
      </c>
      <c r="B71" s="18" t="s">
        <v>45</v>
      </c>
      <c r="C71" s="18" t="s">
        <v>7</v>
      </c>
      <c r="D71" s="18" t="s">
        <v>30</v>
      </c>
      <c r="E71" s="18" t="s">
        <v>1436</v>
      </c>
      <c r="F71" s="18" t="s">
        <v>1437</v>
      </c>
      <c r="G71" s="19">
        <v>46181</v>
      </c>
      <c r="H71" s="18" t="s">
        <v>930</v>
      </c>
      <c r="I71" s="18" t="s">
        <v>874</v>
      </c>
      <c r="J71" s="27" t="s">
        <v>1438</v>
      </c>
    </row>
    <row r="72" spans="1:10" x14ac:dyDescent="0.3">
      <c r="A72" s="24" t="s">
        <v>1427</v>
      </c>
      <c r="B72" s="18" t="s">
        <v>45</v>
      </c>
      <c r="C72" s="18" t="s">
        <v>7</v>
      </c>
      <c r="D72" s="18" t="s">
        <v>31</v>
      </c>
      <c r="E72" s="18" t="s">
        <v>1439</v>
      </c>
      <c r="F72" s="18" t="s">
        <v>1440</v>
      </c>
      <c r="G72" s="19">
        <v>46174</v>
      </c>
      <c r="H72" s="18" t="s">
        <v>1107</v>
      </c>
      <c r="I72" s="18" t="s">
        <v>874</v>
      </c>
      <c r="J72" s="27" t="s">
        <v>1441</v>
      </c>
    </row>
    <row r="73" spans="1:10" x14ac:dyDescent="0.3">
      <c r="A73" s="24" t="s">
        <v>1427</v>
      </c>
      <c r="B73" s="18" t="s">
        <v>45</v>
      </c>
      <c r="C73" s="18" t="s">
        <v>7</v>
      </c>
      <c r="D73" s="18" t="s">
        <v>32</v>
      </c>
      <c r="E73" s="18" t="s">
        <v>1439</v>
      </c>
      <c r="F73" s="18" t="s">
        <v>1440</v>
      </c>
      <c r="G73" s="19">
        <v>46175</v>
      </c>
      <c r="H73" s="18" t="s">
        <v>1146</v>
      </c>
      <c r="I73" s="18" t="s">
        <v>874</v>
      </c>
      <c r="J73" s="27" t="s">
        <v>1442</v>
      </c>
    </row>
    <row r="74" spans="1:10" x14ac:dyDescent="0.3">
      <c r="A74" s="24" t="s">
        <v>1443</v>
      </c>
      <c r="B74" s="18" t="s">
        <v>54</v>
      </c>
      <c r="C74" s="18" t="s">
        <v>8</v>
      </c>
      <c r="D74" s="18" t="s">
        <v>27</v>
      </c>
      <c r="E74" s="18" t="s">
        <v>1444</v>
      </c>
      <c r="F74" s="18" t="s">
        <v>1445</v>
      </c>
      <c r="G74" s="19">
        <v>46194</v>
      </c>
      <c r="H74" s="18" t="s">
        <v>941</v>
      </c>
      <c r="I74" s="18" t="s">
        <v>874</v>
      </c>
      <c r="J74" s="27" t="s">
        <v>1446</v>
      </c>
    </row>
    <row r="75" spans="1:10" x14ac:dyDescent="0.3">
      <c r="A75" s="24" t="s">
        <v>1443</v>
      </c>
      <c r="B75" s="18" t="s">
        <v>54</v>
      </c>
      <c r="C75" s="18" t="s">
        <v>8</v>
      </c>
      <c r="D75" s="18" t="s">
        <v>28</v>
      </c>
      <c r="E75" s="18" t="s">
        <v>1447</v>
      </c>
      <c r="F75" s="18" t="s">
        <v>1448</v>
      </c>
      <c r="G75" s="19">
        <v>46189</v>
      </c>
      <c r="H75" s="18" t="s">
        <v>980</v>
      </c>
      <c r="I75" s="18" t="s">
        <v>874</v>
      </c>
      <c r="J75" s="27" t="s">
        <v>1311</v>
      </c>
    </row>
    <row r="76" spans="1:10" x14ac:dyDescent="0.3">
      <c r="A76" s="24" t="s">
        <v>1443</v>
      </c>
      <c r="B76" s="18" t="s">
        <v>54</v>
      </c>
      <c r="C76" s="18" t="s">
        <v>8</v>
      </c>
      <c r="D76" s="18" t="s">
        <v>29</v>
      </c>
      <c r="E76" s="18" t="s">
        <v>1449</v>
      </c>
      <c r="F76" s="18" t="s">
        <v>1450</v>
      </c>
      <c r="G76" s="19">
        <v>46184</v>
      </c>
      <c r="H76" s="18" t="s">
        <v>643</v>
      </c>
      <c r="I76" s="18" t="s">
        <v>874</v>
      </c>
      <c r="J76" s="27" t="s">
        <v>1451</v>
      </c>
    </row>
    <row r="77" spans="1:10" x14ac:dyDescent="0.3">
      <c r="A77" s="24" t="s">
        <v>1443</v>
      </c>
      <c r="B77" s="18" t="s">
        <v>54</v>
      </c>
      <c r="C77" s="18" t="s">
        <v>8</v>
      </c>
      <c r="D77" s="18" t="s">
        <v>30</v>
      </c>
      <c r="E77" s="18" t="s">
        <v>1452</v>
      </c>
      <c r="F77" s="18" t="s">
        <v>1453</v>
      </c>
      <c r="G77" s="19">
        <v>46179</v>
      </c>
      <c r="H77" s="18" t="s">
        <v>870</v>
      </c>
      <c r="I77" s="18" t="s">
        <v>874</v>
      </c>
      <c r="J77" s="27" t="s">
        <v>1286</v>
      </c>
    </row>
    <row r="78" spans="1:10" x14ac:dyDescent="0.3">
      <c r="A78" s="24" t="s">
        <v>1443</v>
      </c>
      <c r="B78" s="18" t="s">
        <v>54</v>
      </c>
      <c r="C78" s="18" t="s">
        <v>8</v>
      </c>
      <c r="D78" s="18" t="s">
        <v>31</v>
      </c>
      <c r="E78" s="18" t="s">
        <v>1454</v>
      </c>
      <c r="F78" s="18" t="s">
        <v>1455</v>
      </c>
      <c r="G78" s="19">
        <v>46172</v>
      </c>
      <c r="H78" s="18" t="s">
        <v>1071</v>
      </c>
      <c r="I78" s="18" t="s">
        <v>874</v>
      </c>
      <c r="J78" s="27" t="s">
        <v>1456</v>
      </c>
    </row>
    <row r="79" spans="1:10" x14ac:dyDescent="0.3">
      <c r="A79" s="24" t="s">
        <v>1443</v>
      </c>
      <c r="B79" s="18" t="s">
        <v>54</v>
      </c>
      <c r="C79" s="18" t="s">
        <v>8</v>
      </c>
      <c r="D79" s="18" t="s">
        <v>32</v>
      </c>
      <c r="E79" s="18" t="s">
        <v>1454</v>
      </c>
      <c r="F79" s="18" t="s">
        <v>1455</v>
      </c>
      <c r="G79" s="19">
        <v>46173</v>
      </c>
      <c r="H79" s="18" t="s">
        <v>1110</v>
      </c>
      <c r="I79" s="18" t="s">
        <v>874</v>
      </c>
      <c r="J79" s="27" t="s">
        <v>1457</v>
      </c>
    </row>
    <row r="80" spans="1:10" x14ac:dyDescent="0.3">
      <c r="A80" s="24" t="s">
        <v>1458</v>
      </c>
      <c r="B80" s="18" t="s">
        <v>74</v>
      </c>
      <c r="C80" s="18" t="s">
        <v>10</v>
      </c>
      <c r="D80" s="18" t="s">
        <v>27</v>
      </c>
      <c r="E80" s="18" t="s">
        <v>1459</v>
      </c>
      <c r="F80" s="18" t="s">
        <v>1460</v>
      </c>
      <c r="G80" s="19">
        <v>46197</v>
      </c>
      <c r="H80" s="18" t="s">
        <v>947</v>
      </c>
      <c r="I80" s="18" t="s">
        <v>874</v>
      </c>
      <c r="J80" s="27" t="s">
        <v>1461</v>
      </c>
    </row>
    <row r="81" spans="1:10" x14ac:dyDescent="0.3">
      <c r="A81" s="24" t="s">
        <v>1458</v>
      </c>
      <c r="B81" s="18" t="s">
        <v>74</v>
      </c>
      <c r="C81" s="18" t="s">
        <v>10</v>
      </c>
      <c r="D81" s="18" t="s">
        <v>28</v>
      </c>
      <c r="E81" s="18" t="s">
        <v>1462</v>
      </c>
      <c r="F81" s="18" t="s">
        <v>1463</v>
      </c>
      <c r="G81" s="19">
        <v>46192</v>
      </c>
      <c r="H81" s="18" t="s">
        <v>986</v>
      </c>
      <c r="I81" s="18" t="s">
        <v>874</v>
      </c>
      <c r="J81" s="27" t="s">
        <v>1464</v>
      </c>
    </row>
    <row r="82" spans="1:10" x14ac:dyDescent="0.3">
      <c r="A82" s="24" t="s">
        <v>1458</v>
      </c>
      <c r="B82" s="18" t="s">
        <v>74</v>
      </c>
      <c r="C82" s="18" t="s">
        <v>10</v>
      </c>
      <c r="D82" s="18" t="s">
        <v>29</v>
      </c>
      <c r="E82" s="18" t="s">
        <v>1465</v>
      </c>
      <c r="F82" s="18" t="s">
        <v>1466</v>
      </c>
      <c r="G82" s="19">
        <v>46187</v>
      </c>
      <c r="H82" s="18" t="s">
        <v>1024</v>
      </c>
      <c r="I82" s="18" t="s">
        <v>874</v>
      </c>
      <c r="J82" s="27" t="s">
        <v>1467</v>
      </c>
    </row>
    <row r="83" spans="1:10" x14ac:dyDescent="0.3">
      <c r="A83" s="24" t="s">
        <v>1458</v>
      </c>
      <c r="B83" s="18" t="s">
        <v>74</v>
      </c>
      <c r="C83" s="18" t="s">
        <v>10</v>
      </c>
      <c r="D83" s="18" t="s">
        <v>30</v>
      </c>
      <c r="E83" s="18" t="s">
        <v>1468</v>
      </c>
      <c r="F83" s="18" t="s">
        <v>1469</v>
      </c>
      <c r="G83" s="19">
        <v>46182</v>
      </c>
      <c r="H83" s="18" t="s">
        <v>877</v>
      </c>
      <c r="I83" s="18" t="s">
        <v>874</v>
      </c>
      <c r="J83" s="27" t="s">
        <v>1470</v>
      </c>
    </row>
    <row r="84" spans="1:10" x14ac:dyDescent="0.3">
      <c r="A84" s="24" t="s">
        <v>1458</v>
      </c>
      <c r="B84" s="18" t="s">
        <v>74</v>
      </c>
      <c r="C84" s="18" t="s">
        <v>10</v>
      </c>
      <c r="D84" s="18" t="s">
        <v>31</v>
      </c>
      <c r="E84" s="18" t="s">
        <v>1471</v>
      </c>
      <c r="F84" s="18" t="s">
        <v>1472</v>
      </c>
      <c r="G84" s="19">
        <v>46175</v>
      </c>
      <c r="H84" s="18" t="s">
        <v>1077</v>
      </c>
      <c r="I84" s="18" t="s">
        <v>874</v>
      </c>
      <c r="J84" s="27" t="s">
        <v>1473</v>
      </c>
    </row>
    <row r="85" spans="1:10" x14ac:dyDescent="0.3">
      <c r="A85" s="24" t="s">
        <v>1458</v>
      </c>
      <c r="B85" s="18" t="s">
        <v>74</v>
      </c>
      <c r="C85" s="18" t="s">
        <v>10</v>
      </c>
      <c r="D85" s="18" t="s">
        <v>32</v>
      </c>
      <c r="E85" s="18" t="s">
        <v>1471</v>
      </c>
      <c r="F85" s="18" t="s">
        <v>1472</v>
      </c>
      <c r="G85" s="19">
        <v>46176</v>
      </c>
      <c r="H85" s="18" t="s">
        <v>1116</v>
      </c>
      <c r="I85" s="18" t="s">
        <v>874</v>
      </c>
      <c r="J85" s="27" t="s">
        <v>1474</v>
      </c>
    </row>
    <row r="86" spans="1:10" x14ac:dyDescent="0.3">
      <c r="A86" s="24" t="s">
        <v>1475</v>
      </c>
      <c r="B86" s="18" t="s">
        <v>84</v>
      </c>
      <c r="C86" s="18" t="s">
        <v>11</v>
      </c>
      <c r="D86" s="18" t="s">
        <v>27</v>
      </c>
      <c r="E86" s="18" t="s">
        <v>1476</v>
      </c>
      <c r="F86" s="18" t="s">
        <v>1477</v>
      </c>
      <c r="G86" s="19">
        <v>46195</v>
      </c>
      <c r="H86" s="18" t="s">
        <v>950</v>
      </c>
      <c r="I86" s="18" t="s">
        <v>874</v>
      </c>
      <c r="J86" s="27" t="s">
        <v>1478</v>
      </c>
    </row>
    <row r="87" spans="1:10" x14ac:dyDescent="0.3">
      <c r="A87" s="24" t="s">
        <v>1475</v>
      </c>
      <c r="B87" s="18" t="s">
        <v>84</v>
      </c>
      <c r="C87" s="18" t="s">
        <v>11</v>
      </c>
      <c r="D87" s="18" t="s">
        <v>28</v>
      </c>
      <c r="E87" s="18" t="s">
        <v>1284</v>
      </c>
      <c r="F87" s="18" t="s">
        <v>1479</v>
      </c>
      <c r="G87" s="19">
        <v>46190</v>
      </c>
      <c r="H87" s="18" t="s">
        <v>989</v>
      </c>
      <c r="I87" s="18" t="s">
        <v>874</v>
      </c>
      <c r="J87" s="27" t="s">
        <v>1480</v>
      </c>
    </row>
    <row r="88" spans="1:10" x14ac:dyDescent="0.3">
      <c r="A88" s="24" t="s">
        <v>1475</v>
      </c>
      <c r="B88" s="18" t="s">
        <v>84</v>
      </c>
      <c r="C88" s="18" t="s">
        <v>11</v>
      </c>
      <c r="D88" s="18" t="s">
        <v>29</v>
      </c>
      <c r="E88" s="18" t="s">
        <v>1481</v>
      </c>
      <c r="F88" s="18" t="s">
        <v>1482</v>
      </c>
      <c r="G88" s="19">
        <v>46185</v>
      </c>
      <c r="H88" s="18" t="s">
        <v>1027</v>
      </c>
      <c r="I88" s="18" t="s">
        <v>874</v>
      </c>
      <c r="J88" s="27" t="s">
        <v>1483</v>
      </c>
    </row>
    <row r="89" spans="1:10" x14ac:dyDescent="0.3">
      <c r="A89" s="24" t="s">
        <v>1475</v>
      </c>
      <c r="B89" s="18" t="s">
        <v>84</v>
      </c>
      <c r="C89" s="18" t="s">
        <v>11</v>
      </c>
      <c r="D89" s="18" t="s">
        <v>30</v>
      </c>
      <c r="E89" s="18" t="s">
        <v>1484</v>
      </c>
      <c r="F89" s="18" t="s">
        <v>1485</v>
      </c>
      <c r="G89" s="19">
        <v>46180</v>
      </c>
      <c r="H89" s="18" t="s">
        <v>882</v>
      </c>
      <c r="I89" s="18" t="s">
        <v>874</v>
      </c>
      <c r="J89" s="27" t="s">
        <v>1486</v>
      </c>
    </row>
    <row r="90" spans="1:10" x14ac:dyDescent="0.3">
      <c r="A90" s="24" t="s">
        <v>1475</v>
      </c>
      <c r="B90" s="18" t="s">
        <v>84</v>
      </c>
      <c r="C90" s="18" t="s">
        <v>11</v>
      </c>
      <c r="D90" s="18" t="s">
        <v>31</v>
      </c>
      <c r="E90" s="18" t="s">
        <v>1487</v>
      </c>
      <c r="F90" s="18" t="s">
        <v>1488</v>
      </c>
      <c r="G90" s="19">
        <v>46173</v>
      </c>
      <c r="H90" s="18" t="s">
        <v>1080</v>
      </c>
      <c r="I90" s="18" t="s">
        <v>874</v>
      </c>
      <c r="J90" s="27" t="s">
        <v>1489</v>
      </c>
    </row>
    <row r="91" spans="1:10" x14ac:dyDescent="0.3">
      <c r="A91" s="24" t="s">
        <v>1475</v>
      </c>
      <c r="B91" s="18" t="s">
        <v>84</v>
      </c>
      <c r="C91" s="18" t="s">
        <v>11</v>
      </c>
      <c r="D91" s="18" t="s">
        <v>32</v>
      </c>
      <c r="E91" s="18" t="s">
        <v>1487</v>
      </c>
      <c r="F91" s="18" t="s">
        <v>1488</v>
      </c>
      <c r="G91" s="19">
        <v>46174</v>
      </c>
      <c r="H91" s="18" t="s">
        <v>1119</v>
      </c>
      <c r="I91" s="18" t="s">
        <v>874</v>
      </c>
      <c r="J91" s="27" t="s">
        <v>1490</v>
      </c>
    </row>
    <row r="92" spans="1:10" x14ac:dyDescent="0.3">
      <c r="A92" s="24" t="s">
        <v>1491</v>
      </c>
      <c r="B92" s="18" t="s">
        <v>97</v>
      </c>
      <c r="C92" s="18" t="s">
        <v>12</v>
      </c>
      <c r="D92" s="18" t="s">
        <v>27</v>
      </c>
      <c r="E92" s="18" t="s">
        <v>1492</v>
      </c>
      <c r="F92" s="18" t="s">
        <v>1493</v>
      </c>
      <c r="G92" s="19">
        <v>46196</v>
      </c>
      <c r="H92" s="18" t="s">
        <v>953</v>
      </c>
      <c r="I92" s="18" t="s">
        <v>874</v>
      </c>
      <c r="J92" s="27" t="s">
        <v>1494</v>
      </c>
    </row>
    <row r="93" spans="1:10" x14ac:dyDescent="0.3">
      <c r="A93" s="24" t="s">
        <v>1491</v>
      </c>
      <c r="B93" s="18" t="s">
        <v>97</v>
      </c>
      <c r="C93" s="18" t="s">
        <v>12</v>
      </c>
      <c r="D93" s="18" t="s">
        <v>28</v>
      </c>
      <c r="E93" s="18" t="s">
        <v>1495</v>
      </c>
      <c r="F93" s="18" t="s">
        <v>1496</v>
      </c>
      <c r="G93" s="19">
        <v>46191</v>
      </c>
      <c r="H93" s="18" t="s">
        <v>992</v>
      </c>
      <c r="I93" s="18" t="s">
        <v>874</v>
      </c>
      <c r="J93" s="27" t="s">
        <v>1497</v>
      </c>
    </row>
    <row r="94" spans="1:10" x14ac:dyDescent="0.3">
      <c r="A94" s="24" t="s">
        <v>1491</v>
      </c>
      <c r="B94" s="18" t="s">
        <v>97</v>
      </c>
      <c r="C94" s="18" t="s">
        <v>12</v>
      </c>
      <c r="D94" s="18" t="s">
        <v>29</v>
      </c>
      <c r="E94" s="18" t="s">
        <v>1498</v>
      </c>
      <c r="F94" s="18" t="s">
        <v>1499</v>
      </c>
      <c r="G94" s="19">
        <v>46186</v>
      </c>
      <c r="H94" s="18" t="s">
        <v>1030</v>
      </c>
      <c r="I94" s="18" t="s">
        <v>874</v>
      </c>
      <c r="J94" s="27" t="s">
        <v>1500</v>
      </c>
    </row>
    <row r="95" spans="1:10" x14ac:dyDescent="0.3">
      <c r="A95" s="24" t="s">
        <v>1491</v>
      </c>
      <c r="B95" s="18" t="s">
        <v>97</v>
      </c>
      <c r="C95" s="18" t="s">
        <v>12</v>
      </c>
      <c r="D95" s="18" t="s">
        <v>30</v>
      </c>
      <c r="E95" s="18" t="s">
        <v>1501</v>
      </c>
      <c r="F95" s="18" t="s">
        <v>1502</v>
      </c>
      <c r="G95" s="19">
        <v>46181</v>
      </c>
      <c r="H95" s="18" t="s">
        <v>888</v>
      </c>
      <c r="I95" s="18" t="s">
        <v>874</v>
      </c>
      <c r="J95" s="27" t="s">
        <v>1503</v>
      </c>
    </row>
    <row r="96" spans="1:10" x14ac:dyDescent="0.3">
      <c r="A96" s="24" t="s">
        <v>1491</v>
      </c>
      <c r="B96" s="18" t="s">
        <v>97</v>
      </c>
      <c r="C96" s="18" t="s">
        <v>12</v>
      </c>
      <c r="D96" s="18" t="s">
        <v>31</v>
      </c>
      <c r="E96" s="18" t="s">
        <v>1504</v>
      </c>
      <c r="F96" s="18" t="s">
        <v>1505</v>
      </c>
      <c r="G96" s="19">
        <v>46174</v>
      </c>
      <c r="H96" s="18" t="s">
        <v>1083</v>
      </c>
      <c r="I96" s="18" t="s">
        <v>874</v>
      </c>
      <c r="J96" s="27" t="s">
        <v>1506</v>
      </c>
    </row>
    <row r="97" spans="1:10" x14ac:dyDescent="0.3">
      <c r="A97" s="24" t="s">
        <v>1491</v>
      </c>
      <c r="B97" s="18" t="s">
        <v>97</v>
      </c>
      <c r="C97" s="18" t="s">
        <v>12</v>
      </c>
      <c r="D97" s="18" t="s">
        <v>32</v>
      </c>
      <c r="E97" s="18" t="s">
        <v>1504</v>
      </c>
      <c r="F97" s="18" t="s">
        <v>1505</v>
      </c>
      <c r="G97" s="19">
        <v>46175</v>
      </c>
      <c r="H97" s="18" t="s">
        <v>1122</v>
      </c>
      <c r="I97" s="18" t="s">
        <v>874</v>
      </c>
      <c r="J97" s="27" t="s">
        <v>1507</v>
      </c>
    </row>
    <row r="98" spans="1:10" x14ac:dyDescent="0.3">
      <c r="A98" s="24" t="s">
        <v>1508</v>
      </c>
      <c r="B98" s="18" t="s">
        <v>35</v>
      </c>
      <c r="C98" s="18" t="s">
        <v>6</v>
      </c>
      <c r="D98" s="18" t="s">
        <v>27</v>
      </c>
      <c r="E98" s="18" t="s">
        <v>1509</v>
      </c>
      <c r="F98" s="18" t="s">
        <v>1510</v>
      </c>
      <c r="G98" s="19">
        <v>46194</v>
      </c>
      <c r="H98" s="18" t="s">
        <v>956</v>
      </c>
      <c r="I98" s="18" t="s">
        <v>874</v>
      </c>
      <c r="J98" s="27" t="s">
        <v>1511</v>
      </c>
    </row>
    <row r="99" spans="1:10" x14ac:dyDescent="0.3">
      <c r="A99" s="24" t="s">
        <v>1508</v>
      </c>
      <c r="B99" s="18" t="s">
        <v>35</v>
      </c>
      <c r="C99" s="18" t="s">
        <v>6</v>
      </c>
      <c r="D99" s="18" t="s">
        <v>28</v>
      </c>
      <c r="E99" s="18" t="s">
        <v>1244</v>
      </c>
      <c r="F99" s="18" t="s">
        <v>1512</v>
      </c>
      <c r="G99" s="19">
        <v>46189</v>
      </c>
      <c r="H99" s="18" t="s">
        <v>995</v>
      </c>
      <c r="I99" s="18" t="s">
        <v>874</v>
      </c>
      <c r="J99" s="27" t="s">
        <v>1513</v>
      </c>
    </row>
    <row r="100" spans="1:10" x14ac:dyDescent="0.3">
      <c r="A100" s="24" t="s">
        <v>1508</v>
      </c>
      <c r="B100" s="18" t="s">
        <v>35</v>
      </c>
      <c r="C100" s="18" t="s">
        <v>6</v>
      </c>
      <c r="D100" s="18" t="s">
        <v>29</v>
      </c>
      <c r="E100" s="18" t="s">
        <v>1514</v>
      </c>
      <c r="F100" s="18" t="s">
        <v>1515</v>
      </c>
      <c r="G100" s="19">
        <v>46184</v>
      </c>
      <c r="H100" s="18" t="s">
        <v>1033</v>
      </c>
      <c r="I100" s="18" t="s">
        <v>874</v>
      </c>
      <c r="J100" s="27" t="s">
        <v>1516</v>
      </c>
    </row>
    <row r="101" spans="1:10" x14ac:dyDescent="0.3">
      <c r="A101" s="24" t="s">
        <v>1508</v>
      </c>
      <c r="B101" s="18" t="s">
        <v>35</v>
      </c>
      <c r="C101" s="18" t="s">
        <v>6</v>
      </c>
      <c r="D101" s="18" t="s">
        <v>30</v>
      </c>
      <c r="E101" s="18" t="s">
        <v>1247</v>
      </c>
      <c r="F101" s="18" t="s">
        <v>1517</v>
      </c>
      <c r="G101" s="19">
        <v>46179</v>
      </c>
      <c r="H101" s="18" t="s">
        <v>893</v>
      </c>
      <c r="I101" s="18" t="s">
        <v>874</v>
      </c>
      <c r="J101" s="27" t="s">
        <v>1518</v>
      </c>
    </row>
    <row r="102" spans="1:10" x14ac:dyDescent="0.3">
      <c r="A102" s="24" t="s">
        <v>1508</v>
      </c>
      <c r="B102" s="18" t="s">
        <v>35</v>
      </c>
      <c r="C102" s="18" t="s">
        <v>6</v>
      </c>
      <c r="D102" s="18" t="s">
        <v>31</v>
      </c>
      <c r="E102" s="18" t="s">
        <v>1519</v>
      </c>
      <c r="F102" s="18" t="s">
        <v>1520</v>
      </c>
      <c r="G102" s="19">
        <v>46172</v>
      </c>
      <c r="H102" s="18" t="s">
        <v>1086</v>
      </c>
      <c r="I102" s="18" t="s">
        <v>874</v>
      </c>
      <c r="J102" s="27" t="s">
        <v>1521</v>
      </c>
    </row>
    <row r="103" spans="1:10" x14ac:dyDescent="0.3">
      <c r="A103" s="24" t="s">
        <v>1508</v>
      </c>
      <c r="B103" s="18" t="s">
        <v>35</v>
      </c>
      <c r="C103" s="18" t="s">
        <v>6</v>
      </c>
      <c r="D103" s="18" t="s">
        <v>32</v>
      </c>
      <c r="E103" s="18" t="s">
        <v>1519</v>
      </c>
      <c r="F103" s="18" t="s">
        <v>1520</v>
      </c>
      <c r="G103" s="19">
        <v>46173</v>
      </c>
      <c r="H103" s="18" t="s">
        <v>1125</v>
      </c>
      <c r="I103" s="18" t="s">
        <v>874</v>
      </c>
      <c r="J103" s="27" t="s">
        <v>1522</v>
      </c>
    </row>
    <row r="104" spans="1:10" x14ac:dyDescent="0.3">
      <c r="A104" s="24" t="s">
        <v>1523</v>
      </c>
      <c r="B104" s="18" t="s">
        <v>72</v>
      </c>
      <c r="C104" s="18" t="s">
        <v>9</v>
      </c>
      <c r="D104" s="18" t="s">
        <v>27</v>
      </c>
      <c r="E104" s="18" t="s">
        <v>1524</v>
      </c>
      <c r="F104" s="18" t="s">
        <v>1525</v>
      </c>
      <c r="G104" s="19">
        <v>46197</v>
      </c>
      <c r="H104" s="18" t="s">
        <v>959</v>
      </c>
      <c r="I104" s="18" t="s">
        <v>874</v>
      </c>
      <c r="J104" s="27" t="s">
        <v>1526</v>
      </c>
    </row>
    <row r="105" spans="1:10" x14ac:dyDescent="0.3">
      <c r="A105" s="24" t="s">
        <v>1523</v>
      </c>
      <c r="B105" s="18" t="s">
        <v>72</v>
      </c>
      <c r="C105" s="18" t="s">
        <v>9</v>
      </c>
      <c r="D105" s="18" t="s">
        <v>28</v>
      </c>
      <c r="E105" s="18" t="s">
        <v>1527</v>
      </c>
      <c r="F105" s="18" t="s">
        <v>1528</v>
      </c>
      <c r="G105" s="19">
        <v>46192</v>
      </c>
      <c r="H105" s="18" t="s">
        <v>998</v>
      </c>
      <c r="I105" s="18" t="s">
        <v>874</v>
      </c>
      <c r="J105" s="27" t="s">
        <v>1529</v>
      </c>
    </row>
    <row r="106" spans="1:10" x14ac:dyDescent="0.3">
      <c r="A106" s="24" t="s">
        <v>1523</v>
      </c>
      <c r="B106" s="18" t="s">
        <v>72</v>
      </c>
      <c r="C106" s="18" t="s">
        <v>9</v>
      </c>
      <c r="D106" s="18" t="s">
        <v>29</v>
      </c>
      <c r="E106" s="18" t="s">
        <v>1530</v>
      </c>
      <c r="F106" s="18" t="s">
        <v>1531</v>
      </c>
      <c r="G106" s="19">
        <v>46187</v>
      </c>
      <c r="H106" s="18" t="s">
        <v>1036</v>
      </c>
      <c r="I106" s="18" t="s">
        <v>874</v>
      </c>
      <c r="J106" s="27" t="s">
        <v>1532</v>
      </c>
    </row>
    <row r="107" spans="1:10" x14ac:dyDescent="0.3">
      <c r="A107" s="24" t="s">
        <v>1523</v>
      </c>
      <c r="B107" s="18" t="s">
        <v>72</v>
      </c>
      <c r="C107" s="18" t="s">
        <v>9</v>
      </c>
      <c r="D107" s="18" t="s">
        <v>30</v>
      </c>
      <c r="E107" s="18" t="s">
        <v>1533</v>
      </c>
      <c r="F107" s="18" t="s">
        <v>1534</v>
      </c>
      <c r="G107" s="19">
        <v>46182</v>
      </c>
      <c r="H107" s="18" t="s">
        <v>899</v>
      </c>
      <c r="I107" s="18" t="s">
        <v>874</v>
      </c>
      <c r="J107" s="27" t="s">
        <v>1535</v>
      </c>
    </row>
    <row r="108" spans="1:10" x14ac:dyDescent="0.3">
      <c r="A108" s="24" t="s">
        <v>1523</v>
      </c>
      <c r="B108" s="18" t="s">
        <v>72</v>
      </c>
      <c r="C108" s="18" t="s">
        <v>9</v>
      </c>
      <c r="D108" s="18" t="s">
        <v>31</v>
      </c>
      <c r="E108" s="18" t="s">
        <v>1536</v>
      </c>
      <c r="F108" s="18" t="s">
        <v>1537</v>
      </c>
      <c r="G108" s="19">
        <v>46175</v>
      </c>
      <c r="H108" s="18" t="s">
        <v>1089</v>
      </c>
      <c r="I108" s="18" t="s">
        <v>874</v>
      </c>
      <c r="J108" s="27" t="s">
        <v>1538</v>
      </c>
    </row>
    <row r="109" spans="1:10" x14ac:dyDescent="0.3">
      <c r="A109" s="24" t="s">
        <v>1523</v>
      </c>
      <c r="B109" s="18" t="s">
        <v>72</v>
      </c>
      <c r="C109" s="18" t="s">
        <v>9</v>
      </c>
      <c r="D109" s="18" t="s">
        <v>32</v>
      </c>
      <c r="E109" s="18" t="s">
        <v>1536</v>
      </c>
      <c r="F109" s="18" t="s">
        <v>1537</v>
      </c>
      <c r="G109" s="19">
        <v>46176</v>
      </c>
      <c r="H109" s="18" t="s">
        <v>1128</v>
      </c>
      <c r="I109" s="18" t="s">
        <v>874</v>
      </c>
      <c r="J109" s="27" t="s">
        <v>1539</v>
      </c>
    </row>
    <row r="110" spans="1:10" x14ac:dyDescent="0.3">
      <c r="A110" s="24" t="s">
        <v>1540</v>
      </c>
      <c r="B110" s="18" t="s">
        <v>15</v>
      </c>
      <c r="C110" s="18" t="s">
        <v>5</v>
      </c>
      <c r="D110" s="18" t="s">
        <v>27</v>
      </c>
      <c r="E110" s="18" t="s">
        <v>1541</v>
      </c>
      <c r="F110" s="18" t="s">
        <v>1542</v>
      </c>
      <c r="G110" s="19">
        <v>46193</v>
      </c>
      <c r="H110" s="18" t="s">
        <v>962</v>
      </c>
      <c r="I110" s="18" t="s">
        <v>874</v>
      </c>
      <c r="J110" s="27" t="s">
        <v>1543</v>
      </c>
    </row>
    <row r="111" spans="1:10" x14ac:dyDescent="0.3">
      <c r="A111" s="24" t="s">
        <v>1540</v>
      </c>
      <c r="B111" s="18" t="s">
        <v>15</v>
      </c>
      <c r="C111" s="18" t="s">
        <v>5</v>
      </c>
      <c r="D111" s="18" t="s">
        <v>28</v>
      </c>
      <c r="E111" s="18" t="s">
        <v>1544</v>
      </c>
      <c r="F111" s="18" t="s">
        <v>1545</v>
      </c>
      <c r="G111" s="19">
        <v>46188</v>
      </c>
      <c r="H111" s="18" t="s">
        <v>1001</v>
      </c>
      <c r="I111" s="18" t="s">
        <v>874</v>
      </c>
      <c r="J111" s="27" t="s">
        <v>1546</v>
      </c>
    </row>
    <row r="112" spans="1:10" x14ac:dyDescent="0.3">
      <c r="A112" s="24" t="s">
        <v>1540</v>
      </c>
      <c r="B112" s="18" t="s">
        <v>15</v>
      </c>
      <c r="C112" s="18" t="s">
        <v>5</v>
      </c>
      <c r="D112" s="18" t="s">
        <v>29</v>
      </c>
      <c r="E112" s="18" t="s">
        <v>1547</v>
      </c>
      <c r="F112" s="18" t="s">
        <v>1548</v>
      </c>
      <c r="G112" s="19">
        <v>46183</v>
      </c>
      <c r="H112" s="18" t="s">
        <v>1039</v>
      </c>
      <c r="I112" s="18" t="s">
        <v>874</v>
      </c>
      <c r="J112" s="27" t="s">
        <v>1549</v>
      </c>
    </row>
    <row r="113" spans="1:10" x14ac:dyDescent="0.3">
      <c r="A113" s="24" t="s">
        <v>1540</v>
      </c>
      <c r="B113" s="18" t="s">
        <v>15</v>
      </c>
      <c r="C113" s="18" t="s">
        <v>5</v>
      </c>
      <c r="D113" s="18" t="s">
        <v>30</v>
      </c>
      <c r="E113" s="18" t="s">
        <v>1550</v>
      </c>
      <c r="F113" s="18" t="s">
        <v>1551</v>
      </c>
      <c r="G113" s="19">
        <v>46178</v>
      </c>
      <c r="H113" s="18" t="s">
        <v>904</v>
      </c>
      <c r="I113" s="18" t="s">
        <v>874</v>
      </c>
      <c r="J113" s="27" t="s">
        <v>1552</v>
      </c>
    </row>
    <row r="114" spans="1:10" x14ac:dyDescent="0.3">
      <c r="A114" s="24" t="s">
        <v>1540</v>
      </c>
      <c r="B114" s="18" t="s">
        <v>15</v>
      </c>
      <c r="C114" s="18" t="s">
        <v>5</v>
      </c>
      <c r="D114" s="18" t="s">
        <v>31</v>
      </c>
      <c r="E114" s="18" t="s">
        <v>1553</v>
      </c>
      <c r="F114" s="18" t="s">
        <v>1554</v>
      </c>
      <c r="G114" s="19">
        <v>46170</v>
      </c>
      <c r="H114" s="18" t="s">
        <v>1092</v>
      </c>
      <c r="I114" s="18" t="s">
        <v>874</v>
      </c>
      <c r="J114" s="27" t="s">
        <v>1555</v>
      </c>
    </row>
    <row r="115" spans="1:10" x14ac:dyDescent="0.3">
      <c r="A115" s="24" t="s">
        <v>1540</v>
      </c>
      <c r="B115" s="18" t="s">
        <v>15</v>
      </c>
      <c r="C115" s="18" t="s">
        <v>5</v>
      </c>
      <c r="D115" s="18" t="s">
        <v>32</v>
      </c>
      <c r="E115" s="18" t="s">
        <v>1553</v>
      </c>
      <c r="F115" s="18" t="s">
        <v>1554</v>
      </c>
      <c r="G115" s="19">
        <v>46171</v>
      </c>
      <c r="H115" s="18" t="s">
        <v>1131</v>
      </c>
      <c r="I115" s="18" t="s">
        <v>874</v>
      </c>
      <c r="J115" s="27" t="s">
        <v>1556</v>
      </c>
    </row>
    <row r="116" spans="1:10" x14ac:dyDescent="0.3">
      <c r="A116" s="24" t="s">
        <v>1557</v>
      </c>
      <c r="B116" s="18" t="s">
        <v>47</v>
      </c>
      <c r="C116" s="18" t="s">
        <v>7</v>
      </c>
      <c r="D116" s="18" t="s">
        <v>27</v>
      </c>
      <c r="E116" s="18" t="s">
        <v>1558</v>
      </c>
      <c r="F116" s="18" t="s">
        <v>1559</v>
      </c>
      <c r="G116" s="19">
        <v>46196</v>
      </c>
      <c r="H116" s="18" t="s">
        <v>965</v>
      </c>
      <c r="I116" s="18" t="s">
        <v>874</v>
      </c>
      <c r="J116" s="27" t="s">
        <v>1560</v>
      </c>
    </row>
    <row r="117" spans="1:10" x14ac:dyDescent="0.3">
      <c r="A117" s="24" t="s">
        <v>1557</v>
      </c>
      <c r="B117" s="18" t="s">
        <v>47</v>
      </c>
      <c r="C117" s="18" t="s">
        <v>7</v>
      </c>
      <c r="D117" s="18" t="s">
        <v>28</v>
      </c>
      <c r="E117" s="18" t="s">
        <v>1318</v>
      </c>
      <c r="F117" s="18" t="s">
        <v>1561</v>
      </c>
      <c r="G117" s="19">
        <v>46191</v>
      </c>
      <c r="H117" s="18" t="s">
        <v>1004</v>
      </c>
      <c r="I117" s="18" t="s">
        <v>874</v>
      </c>
      <c r="J117" s="27" t="s">
        <v>1562</v>
      </c>
    </row>
    <row r="118" spans="1:10" x14ac:dyDescent="0.3">
      <c r="A118" s="24" t="s">
        <v>1557</v>
      </c>
      <c r="B118" s="18" t="s">
        <v>47</v>
      </c>
      <c r="C118" s="18" t="s">
        <v>7</v>
      </c>
      <c r="D118" s="18" t="s">
        <v>29</v>
      </c>
      <c r="E118" s="18" t="s">
        <v>1563</v>
      </c>
      <c r="F118" s="18" t="s">
        <v>1564</v>
      </c>
      <c r="G118" s="19">
        <v>46186</v>
      </c>
      <c r="H118" s="18" t="s">
        <v>1042</v>
      </c>
      <c r="I118" s="18" t="s">
        <v>874</v>
      </c>
      <c r="J118" s="27" t="s">
        <v>1565</v>
      </c>
    </row>
    <row r="119" spans="1:10" x14ac:dyDescent="0.3">
      <c r="A119" s="24" t="s">
        <v>1557</v>
      </c>
      <c r="B119" s="18" t="s">
        <v>47</v>
      </c>
      <c r="C119" s="18" t="s">
        <v>7</v>
      </c>
      <c r="D119" s="18" t="s">
        <v>30</v>
      </c>
      <c r="E119" s="18" t="s">
        <v>1566</v>
      </c>
      <c r="F119" s="18" t="s">
        <v>1567</v>
      </c>
      <c r="G119" s="19">
        <v>46181</v>
      </c>
      <c r="H119" s="18" t="s">
        <v>909</v>
      </c>
      <c r="I119" s="18" t="s">
        <v>874</v>
      </c>
      <c r="J119" s="27" t="s">
        <v>1568</v>
      </c>
    </row>
    <row r="120" spans="1:10" x14ac:dyDescent="0.3">
      <c r="A120" s="24" t="s">
        <v>1557</v>
      </c>
      <c r="B120" s="18" t="s">
        <v>47</v>
      </c>
      <c r="C120" s="18" t="s">
        <v>7</v>
      </c>
      <c r="D120" s="18" t="s">
        <v>31</v>
      </c>
      <c r="E120" s="18" t="s">
        <v>1569</v>
      </c>
      <c r="F120" s="18" t="s">
        <v>1570</v>
      </c>
      <c r="G120" s="19">
        <v>46174</v>
      </c>
      <c r="H120" s="18" t="s">
        <v>1095</v>
      </c>
      <c r="I120" s="18" t="s">
        <v>874</v>
      </c>
      <c r="J120" s="27" t="s">
        <v>1571</v>
      </c>
    </row>
    <row r="121" spans="1:10" x14ac:dyDescent="0.3">
      <c r="A121" s="24" t="s">
        <v>1557</v>
      </c>
      <c r="B121" s="18" t="s">
        <v>47</v>
      </c>
      <c r="C121" s="18" t="s">
        <v>7</v>
      </c>
      <c r="D121" s="18" t="s">
        <v>32</v>
      </c>
      <c r="E121" s="18" t="s">
        <v>1569</v>
      </c>
      <c r="F121" s="18" t="s">
        <v>1570</v>
      </c>
      <c r="G121" s="19">
        <v>46175</v>
      </c>
      <c r="H121" s="18" t="s">
        <v>1134</v>
      </c>
      <c r="I121" s="18" t="s">
        <v>874</v>
      </c>
      <c r="J121" s="27" t="s">
        <v>1572</v>
      </c>
    </row>
    <row r="122" spans="1:10" x14ac:dyDescent="0.3">
      <c r="A122" s="24" t="s">
        <v>1573</v>
      </c>
      <c r="B122" s="18" t="s">
        <v>65</v>
      </c>
      <c r="C122" s="18" t="s">
        <v>9</v>
      </c>
      <c r="D122" s="18" t="s">
        <v>27</v>
      </c>
      <c r="E122" s="18" t="s">
        <v>1574</v>
      </c>
      <c r="F122" s="18" t="s">
        <v>1575</v>
      </c>
      <c r="G122" s="19">
        <v>46195</v>
      </c>
      <c r="H122" s="18" t="s">
        <v>968</v>
      </c>
      <c r="I122" s="18" t="s">
        <v>874</v>
      </c>
      <c r="J122" s="27" t="s">
        <v>1576</v>
      </c>
    </row>
    <row r="123" spans="1:10" x14ac:dyDescent="0.3">
      <c r="A123" s="24" t="s">
        <v>1573</v>
      </c>
      <c r="B123" s="18" t="s">
        <v>65</v>
      </c>
      <c r="C123" s="18" t="s">
        <v>9</v>
      </c>
      <c r="D123" s="18" t="s">
        <v>28</v>
      </c>
      <c r="E123" s="18" t="s">
        <v>1577</v>
      </c>
      <c r="F123" s="18" t="s">
        <v>1578</v>
      </c>
      <c r="G123" s="19">
        <v>46190</v>
      </c>
      <c r="H123" s="18" t="s">
        <v>1007</v>
      </c>
      <c r="I123" s="18" t="s">
        <v>874</v>
      </c>
      <c r="J123" s="27" t="s">
        <v>1579</v>
      </c>
    </row>
    <row r="124" spans="1:10" x14ac:dyDescent="0.3">
      <c r="A124" s="24" t="s">
        <v>1573</v>
      </c>
      <c r="B124" s="18" t="s">
        <v>65</v>
      </c>
      <c r="C124" s="18" t="s">
        <v>9</v>
      </c>
      <c r="D124" s="18" t="s">
        <v>29</v>
      </c>
      <c r="E124" s="18" t="s">
        <v>1580</v>
      </c>
      <c r="F124" s="18" t="s">
        <v>1581</v>
      </c>
      <c r="G124" s="19">
        <v>46185</v>
      </c>
      <c r="H124" s="18" t="s">
        <v>1045</v>
      </c>
      <c r="I124" s="18" t="s">
        <v>874</v>
      </c>
      <c r="J124" s="27" t="s">
        <v>1582</v>
      </c>
    </row>
    <row r="125" spans="1:10" x14ac:dyDescent="0.3">
      <c r="A125" s="24" t="s">
        <v>1573</v>
      </c>
      <c r="B125" s="18" t="s">
        <v>65</v>
      </c>
      <c r="C125" s="18" t="s">
        <v>9</v>
      </c>
      <c r="D125" s="18" t="s">
        <v>30</v>
      </c>
      <c r="E125" s="18" t="s">
        <v>1583</v>
      </c>
      <c r="F125" s="18" t="s">
        <v>1584</v>
      </c>
      <c r="G125" s="19">
        <v>46180</v>
      </c>
      <c r="H125" s="18" t="s">
        <v>914</v>
      </c>
      <c r="I125" s="18" t="s">
        <v>874</v>
      </c>
      <c r="J125" s="27" t="s">
        <v>1585</v>
      </c>
    </row>
    <row r="126" spans="1:10" x14ac:dyDescent="0.3">
      <c r="A126" s="24" t="s">
        <v>1573</v>
      </c>
      <c r="B126" s="18" t="s">
        <v>65</v>
      </c>
      <c r="C126" s="18" t="s">
        <v>9</v>
      </c>
      <c r="D126" s="18" t="s">
        <v>31</v>
      </c>
      <c r="E126" s="18" t="s">
        <v>1586</v>
      </c>
      <c r="F126" s="18" t="s">
        <v>1587</v>
      </c>
      <c r="G126" s="19">
        <v>46173</v>
      </c>
      <c r="H126" s="18" t="s">
        <v>1098</v>
      </c>
      <c r="I126" s="18" t="s">
        <v>874</v>
      </c>
      <c r="J126" s="27" t="s">
        <v>1588</v>
      </c>
    </row>
    <row r="127" spans="1:10" x14ac:dyDescent="0.3">
      <c r="A127" s="24" t="s">
        <v>1573</v>
      </c>
      <c r="B127" s="18" t="s">
        <v>65</v>
      </c>
      <c r="C127" s="18" t="s">
        <v>9</v>
      </c>
      <c r="D127" s="18" t="s">
        <v>32</v>
      </c>
      <c r="E127" s="18" t="s">
        <v>1586</v>
      </c>
      <c r="F127" s="18" t="s">
        <v>1587</v>
      </c>
      <c r="G127" s="19">
        <v>46174</v>
      </c>
      <c r="H127" s="18" t="s">
        <v>1137</v>
      </c>
      <c r="I127" s="18" t="s">
        <v>874</v>
      </c>
      <c r="J127" s="27" t="s">
        <v>1589</v>
      </c>
    </row>
    <row r="128" spans="1:10" x14ac:dyDescent="0.3">
      <c r="A128" s="24" t="s">
        <v>1590</v>
      </c>
      <c r="B128" s="18" t="s">
        <v>94</v>
      </c>
      <c r="C128" s="18" t="s">
        <v>12</v>
      </c>
      <c r="D128" s="18" t="s">
        <v>27</v>
      </c>
      <c r="E128" s="18" t="s">
        <v>1591</v>
      </c>
      <c r="F128" s="18" t="s">
        <v>1592</v>
      </c>
      <c r="G128" s="19">
        <v>46197</v>
      </c>
      <c r="H128" s="18" t="s">
        <v>971</v>
      </c>
      <c r="I128" s="18" t="s">
        <v>874</v>
      </c>
      <c r="J128" s="27" t="s">
        <v>1593</v>
      </c>
    </row>
    <row r="129" spans="1:10" x14ac:dyDescent="0.3">
      <c r="A129" s="24" t="s">
        <v>1590</v>
      </c>
      <c r="B129" s="18" t="s">
        <v>94</v>
      </c>
      <c r="C129" s="18" t="s">
        <v>12</v>
      </c>
      <c r="D129" s="18" t="s">
        <v>28</v>
      </c>
      <c r="E129" s="18" t="s">
        <v>1594</v>
      </c>
      <c r="F129" s="18" t="s">
        <v>1595</v>
      </c>
      <c r="G129" s="19">
        <v>46192</v>
      </c>
      <c r="H129" s="18" t="s">
        <v>1010</v>
      </c>
      <c r="I129" s="18" t="s">
        <v>874</v>
      </c>
      <c r="J129" s="27" t="s">
        <v>1596</v>
      </c>
    </row>
    <row r="130" spans="1:10" x14ac:dyDescent="0.3">
      <c r="A130" s="24" t="s">
        <v>1590</v>
      </c>
      <c r="B130" s="18" t="s">
        <v>94</v>
      </c>
      <c r="C130" s="18" t="s">
        <v>12</v>
      </c>
      <c r="D130" s="18" t="s">
        <v>29</v>
      </c>
      <c r="E130" s="18" t="s">
        <v>1597</v>
      </c>
      <c r="F130" s="18" t="s">
        <v>1598</v>
      </c>
      <c r="G130" s="19">
        <v>46187</v>
      </c>
      <c r="H130" s="18" t="s">
        <v>1048</v>
      </c>
      <c r="I130" s="18" t="s">
        <v>874</v>
      </c>
      <c r="J130" s="27" t="s">
        <v>1599</v>
      </c>
    </row>
    <row r="131" spans="1:10" x14ac:dyDescent="0.3">
      <c r="A131" s="24" t="s">
        <v>1590</v>
      </c>
      <c r="B131" s="18" t="s">
        <v>94</v>
      </c>
      <c r="C131" s="18" t="s">
        <v>12</v>
      </c>
      <c r="D131" s="18" t="s">
        <v>30</v>
      </c>
      <c r="E131" s="18" t="s">
        <v>1600</v>
      </c>
      <c r="F131" s="18" t="s">
        <v>1601</v>
      </c>
      <c r="G131" s="19">
        <v>46182</v>
      </c>
      <c r="H131" s="18" t="s">
        <v>920</v>
      </c>
      <c r="I131" s="18" t="s">
        <v>874</v>
      </c>
      <c r="J131" s="27" t="s">
        <v>1602</v>
      </c>
    </row>
    <row r="132" spans="1:10" x14ac:dyDescent="0.3">
      <c r="A132" s="24" t="s">
        <v>1590</v>
      </c>
      <c r="B132" s="18" t="s">
        <v>94</v>
      </c>
      <c r="C132" s="18" t="s">
        <v>12</v>
      </c>
      <c r="D132" s="18" t="s">
        <v>31</v>
      </c>
      <c r="E132" s="18" t="s">
        <v>1603</v>
      </c>
      <c r="F132" s="18" t="s">
        <v>1604</v>
      </c>
      <c r="G132" s="19">
        <v>46175</v>
      </c>
      <c r="H132" s="18" t="s">
        <v>1101</v>
      </c>
      <c r="I132" s="18" t="s">
        <v>874</v>
      </c>
      <c r="J132" s="27" t="s">
        <v>1605</v>
      </c>
    </row>
    <row r="133" spans="1:10" x14ac:dyDescent="0.3">
      <c r="A133" s="24" t="s">
        <v>1590</v>
      </c>
      <c r="B133" s="18" t="s">
        <v>94</v>
      </c>
      <c r="C133" s="18" t="s">
        <v>12</v>
      </c>
      <c r="D133" s="18" t="s">
        <v>32</v>
      </c>
      <c r="E133" s="18" t="s">
        <v>1603</v>
      </c>
      <c r="F133" s="18" t="s">
        <v>1604</v>
      </c>
      <c r="G133" s="19">
        <v>46176</v>
      </c>
      <c r="H133" s="18" t="s">
        <v>1140</v>
      </c>
      <c r="I133" s="18" t="s">
        <v>874</v>
      </c>
      <c r="J133" s="27" t="s">
        <v>1606</v>
      </c>
    </row>
    <row r="134" spans="1:10" x14ac:dyDescent="0.3">
      <c r="A134" s="24" t="s">
        <v>1607</v>
      </c>
      <c r="B134" s="18" t="s">
        <v>75</v>
      </c>
      <c r="C134" s="18" t="s">
        <v>10</v>
      </c>
      <c r="D134" s="18" t="s">
        <v>27</v>
      </c>
      <c r="E134" s="18" t="s">
        <v>1608</v>
      </c>
      <c r="F134" s="18" t="s">
        <v>1609</v>
      </c>
      <c r="G134" s="19">
        <v>46194</v>
      </c>
      <c r="H134" s="18" t="s">
        <v>974</v>
      </c>
      <c r="I134" s="18" t="s">
        <v>874</v>
      </c>
      <c r="J134" s="27" t="s">
        <v>1610</v>
      </c>
    </row>
    <row r="135" spans="1:10" x14ac:dyDescent="0.3">
      <c r="A135" s="24" t="s">
        <v>1607</v>
      </c>
      <c r="B135" s="18" t="s">
        <v>75</v>
      </c>
      <c r="C135" s="18" t="s">
        <v>10</v>
      </c>
      <c r="D135" s="18" t="s">
        <v>28</v>
      </c>
      <c r="E135" s="18" t="s">
        <v>1611</v>
      </c>
      <c r="F135" s="18" t="s">
        <v>1612</v>
      </c>
      <c r="G135" s="19">
        <v>46189</v>
      </c>
      <c r="H135" s="18" t="s">
        <v>1013</v>
      </c>
      <c r="I135" s="18" t="s">
        <v>874</v>
      </c>
      <c r="J135" s="27" t="s">
        <v>1613</v>
      </c>
    </row>
    <row r="136" spans="1:10" x14ac:dyDescent="0.3">
      <c r="A136" s="24" t="s">
        <v>1607</v>
      </c>
      <c r="B136" s="18" t="s">
        <v>75</v>
      </c>
      <c r="C136" s="18" t="s">
        <v>10</v>
      </c>
      <c r="D136" s="18" t="s">
        <v>29</v>
      </c>
      <c r="E136" s="18" t="s">
        <v>1614</v>
      </c>
      <c r="F136" s="18" t="s">
        <v>1615</v>
      </c>
      <c r="G136" s="19">
        <v>46184</v>
      </c>
      <c r="H136" s="18" t="s">
        <v>1051</v>
      </c>
      <c r="I136" s="18" t="s">
        <v>874</v>
      </c>
      <c r="J136" s="27" t="s">
        <v>1616</v>
      </c>
    </row>
    <row r="137" spans="1:10" x14ac:dyDescent="0.3">
      <c r="A137" s="24" t="s">
        <v>1607</v>
      </c>
      <c r="B137" s="18" t="s">
        <v>75</v>
      </c>
      <c r="C137" s="18" t="s">
        <v>10</v>
      </c>
      <c r="D137" s="18" t="s">
        <v>30</v>
      </c>
      <c r="E137" s="18" t="s">
        <v>1617</v>
      </c>
      <c r="F137" s="18" t="s">
        <v>1618</v>
      </c>
      <c r="G137" s="19">
        <v>46179</v>
      </c>
      <c r="H137" s="18" t="s">
        <v>925</v>
      </c>
      <c r="I137" s="18" t="s">
        <v>874</v>
      </c>
      <c r="J137" s="27" t="s">
        <v>1619</v>
      </c>
    </row>
    <row r="138" spans="1:10" x14ac:dyDescent="0.3">
      <c r="A138" s="24" t="s">
        <v>1607</v>
      </c>
      <c r="B138" s="18" t="s">
        <v>75</v>
      </c>
      <c r="C138" s="18" t="s">
        <v>10</v>
      </c>
      <c r="D138" s="18" t="s">
        <v>31</v>
      </c>
      <c r="E138" s="18" t="s">
        <v>1620</v>
      </c>
      <c r="F138" s="18" t="s">
        <v>1621</v>
      </c>
      <c r="G138" s="19">
        <v>46172</v>
      </c>
      <c r="H138" s="18" t="s">
        <v>1104</v>
      </c>
      <c r="I138" s="18" t="s">
        <v>874</v>
      </c>
      <c r="J138" s="27" t="s">
        <v>1622</v>
      </c>
    </row>
    <row r="139" spans="1:10" x14ac:dyDescent="0.3">
      <c r="A139" s="24" t="s">
        <v>1607</v>
      </c>
      <c r="B139" s="18" t="s">
        <v>75</v>
      </c>
      <c r="C139" s="18" t="s">
        <v>10</v>
      </c>
      <c r="D139" s="18" t="s">
        <v>32</v>
      </c>
      <c r="E139" s="18" t="s">
        <v>1620</v>
      </c>
      <c r="F139" s="18" t="s">
        <v>1621</v>
      </c>
      <c r="G139" s="19">
        <v>46173</v>
      </c>
      <c r="H139" s="18" t="s">
        <v>1143</v>
      </c>
      <c r="I139" s="18" t="s">
        <v>874</v>
      </c>
      <c r="J139" s="27" t="s">
        <v>1623</v>
      </c>
    </row>
    <row r="140" spans="1:10" x14ac:dyDescent="0.3">
      <c r="A140" s="24" t="s">
        <v>1624</v>
      </c>
      <c r="B140" s="18" t="s">
        <v>55</v>
      </c>
      <c r="C140" s="18" t="s">
        <v>8</v>
      </c>
      <c r="D140" s="18" t="s">
        <v>27</v>
      </c>
      <c r="E140" s="18" t="s">
        <v>1625</v>
      </c>
      <c r="F140" s="18" t="s">
        <v>1626</v>
      </c>
      <c r="G140" s="19">
        <v>46196</v>
      </c>
      <c r="H140" s="18" t="s">
        <v>977</v>
      </c>
      <c r="I140" s="18" t="s">
        <v>874</v>
      </c>
      <c r="J140" s="27" t="s">
        <v>1627</v>
      </c>
    </row>
    <row r="141" spans="1:10" x14ac:dyDescent="0.3">
      <c r="A141" s="24" t="s">
        <v>1624</v>
      </c>
      <c r="B141" s="18" t="s">
        <v>55</v>
      </c>
      <c r="C141" s="18" t="s">
        <v>8</v>
      </c>
      <c r="D141" s="18" t="s">
        <v>28</v>
      </c>
      <c r="E141" s="18" t="s">
        <v>1628</v>
      </c>
      <c r="F141" s="18" t="s">
        <v>1629</v>
      </c>
      <c r="G141" s="19">
        <v>46191</v>
      </c>
      <c r="H141" s="18" t="s">
        <v>1016</v>
      </c>
      <c r="I141" s="18" t="s">
        <v>874</v>
      </c>
      <c r="J141" s="27" t="s">
        <v>1630</v>
      </c>
    </row>
    <row r="142" spans="1:10" x14ac:dyDescent="0.3">
      <c r="A142" s="24" t="s">
        <v>1624</v>
      </c>
      <c r="B142" s="18" t="s">
        <v>55</v>
      </c>
      <c r="C142" s="18" t="s">
        <v>8</v>
      </c>
      <c r="D142" s="18" t="s">
        <v>29</v>
      </c>
      <c r="E142" s="18" t="s">
        <v>1631</v>
      </c>
      <c r="F142" s="18" t="s">
        <v>1632</v>
      </c>
      <c r="G142" s="19">
        <v>46186</v>
      </c>
      <c r="H142" s="18" t="s">
        <v>1054</v>
      </c>
      <c r="I142" s="18" t="s">
        <v>874</v>
      </c>
      <c r="J142" s="27" t="s">
        <v>1633</v>
      </c>
    </row>
    <row r="143" spans="1:10" x14ac:dyDescent="0.3">
      <c r="A143" s="24" t="s">
        <v>1624</v>
      </c>
      <c r="B143" s="18" t="s">
        <v>55</v>
      </c>
      <c r="C143" s="18" t="s">
        <v>8</v>
      </c>
      <c r="D143" s="18" t="s">
        <v>30</v>
      </c>
      <c r="E143" s="18" t="s">
        <v>1634</v>
      </c>
      <c r="F143" s="18" t="s">
        <v>1635</v>
      </c>
      <c r="G143" s="19">
        <v>46181</v>
      </c>
      <c r="H143" s="18" t="s">
        <v>930</v>
      </c>
      <c r="I143" s="18" t="s">
        <v>874</v>
      </c>
      <c r="J143" s="27" t="s">
        <v>1636</v>
      </c>
    </row>
    <row r="144" spans="1:10" x14ac:dyDescent="0.3">
      <c r="A144" s="24" t="s">
        <v>1624</v>
      </c>
      <c r="B144" s="18" t="s">
        <v>55</v>
      </c>
      <c r="C144" s="18" t="s">
        <v>8</v>
      </c>
      <c r="D144" s="18" t="s">
        <v>31</v>
      </c>
      <c r="E144" s="18" t="s">
        <v>1637</v>
      </c>
      <c r="F144" s="18" t="s">
        <v>1638</v>
      </c>
      <c r="G144" s="19">
        <v>46174</v>
      </c>
      <c r="H144" s="18" t="s">
        <v>1107</v>
      </c>
      <c r="I144" s="18" t="s">
        <v>874</v>
      </c>
      <c r="J144" s="27" t="s">
        <v>1639</v>
      </c>
    </row>
    <row r="145" spans="1:10" x14ac:dyDescent="0.3">
      <c r="A145" s="24" t="s">
        <v>1624</v>
      </c>
      <c r="B145" s="18" t="s">
        <v>55</v>
      </c>
      <c r="C145" s="18" t="s">
        <v>8</v>
      </c>
      <c r="D145" s="18" t="s">
        <v>32</v>
      </c>
      <c r="E145" s="18" t="s">
        <v>1637</v>
      </c>
      <c r="F145" s="18" t="s">
        <v>1638</v>
      </c>
      <c r="G145" s="19">
        <v>46175</v>
      </c>
      <c r="H145" s="18" t="s">
        <v>1146</v>
      </c>
      <c r="I145" s="18" t="s">
        <v>874</v>
      </c>
      <c r="J145" s="27" t="s">
        <v>1640</v>
      </c>
    </row>
    <row r="146" spans="1:10" x14ac:dyDescent="0.3">
      <c r="A146" s="24" t="s">
        <v>1641</v>
      </c>
      <c r="B146" s="18" t="s">
        <v>83</v>
      </c>
      <c r="C146" s="18" t="s">
        <v>11</v>
      </c>
      <c r="D146" s="18" t="s">
        <v>27</v>
      </c>
      <c r="E146" s="18" t="s">
        <v>1509</v>
      </c>
      <c r="F146" s="18" t="s">
        <v>1642</v>
      </c>
      <c r="G146" s="19">
        <v>46195</v>
      </c>
      <c r="H146" s="18" t="s">
        <v>941</v>
      </c>
      <c r="I146" s="18" t="s">
        <v>874</v>
      </c>
      <c r="J146" s="27" t="s">
        <v>1643</v>
      </c>
    </row>
    <row r="147" spans="1:10" x14ac:dyDescent="0.3">
      <c r="A147" s="24" t="s">
        <v>1641</v>
      </c>
      <c r="B147" s="18" t="s">
        <v>83</v>
      </c>
      <c r="C147" s="18" t="s">
        <v>11</v>
      </c>
      <c r="D147" s="18" t="s">
        <v>28</v>
      </c>
      <c r="E147" s="18" t="s">
        <v>1244</v>
      </c>
      <c r="F147" s="18" t="s">
        <v>1644</v>
      </c>
      <c r="G147" s="19">
        <v>46190</v>
      </c>
      <c r="H147" s="18" t="s">
        <v>980</v>
      </c>
      <c r="I147" s="18" t="s">
        <v>874</v>
      </c>
      <c r="J147" s="27" t="s">
        <v>1645</v>
      </c>
    </row>
    <row r="148" spans="1:10" x14ac:dyDescent="0.3">
      <c r="A148" s="24" t="s">
        <v>1641</v>
      </c>
      <c r="B148" s="18" t="s">
        <v>83</v>
      </c>
      <c r="C148" s="18" t="s">
        <v>11</v>
      </c>
      <c r="D148" s="18" t="s">
        <v>29</v>
      </c>
      <c r="E148" s="18" t="s">
        <v>1514</v>
      </c>
      <c r="F148" s="18" t="s">
        <v>1646</v>
      </c>
      <c r="G148" s="19">
        <v>46185</v>
      </c>
      <c r="H148" s="18" t="s">
        <v>643</v>
      </c>
      <c r="I148" s="18" t="s">
        <v>874</v>
      </c>
      <c r="J148" s="27" t="s">
        <v>1368</v>
      </c>
    </row>
    <row r="149" spans="1:10" x14ac:dyDescent="0.3">
      <c r="A149" s="24" t="s">
        <v>1641</v>
      </c>
      <c r="B149" s="18" t="s">
        <v>83</v>
      </c>
      <c r="C149" s="18" t="s">
        <v>11</v>
      </c>
      <c r="D149" s="18" t="s">
        <v>30</v>
      </c>
      <c r="E149" s="18" t="s">
        <v>1247</v>
      </c>
      <c r="F149" s="18" t="s">
        <v>1647</v>
      </c>
      <c r="G149" s="19">
        <v>46180</v>
      </c>
      <c r="H149" s="18" t="s">
        <v>870</v>
      </c>
      <c r="I149" s="18" t="s">
        <v>874</v>
      </c>
      <c r="J149" s="27" t="s">
        <v>1648</v>
      </c>
    </row>
    <row r="150" spans="1:10" x14ac:dyDescent="0.3">
      <c r="A150" s="24" t="s">
        <v>1641</v>
      </c>
      <c r="B150" s="18" t="s">
        <v>83</v>
      </c>
      <c r="C150" s="18" t="s">
        <v>11</v>
      </c>
      <c r="D150" s="18" t="s">
        <v>31</v>
      </c>
      <c r="E150" s="18" t="s">
        <v>1519</v>
      </c>
      <c r="F150" s="18" t="s">
        <v>1649</v>
      </c>
      <c r="G150" s="19">
        <v>46173</v>
      </c>
      <c r="H150" s="18" t="s">
        <v>1071</v>
      </c>
      <c r="I150" s="18" t="s">
        <v>874</v>
      </c>
      <c r="J150" s="27" t="s">
        <v>1650</v>
      </c>
    </row>
    <row r="151" spans="1:10" x14ac:dyDescent="0.3">
      <c r="A151" s="24" t="s">
        <v>1641</v>
      </c>
      <c r="B151" s="18" t="s">
        <v>83</v>
      </c>
      <c r="C151" s="18" t="s">
        <v>11</v>
      </c>
      <c r="D151" s="18" t="s">
        <v>32</v>
      </c>
      <c r="E151" s="18" t="s">
        <v>1519</v>
      </c>
      <c r="F151" s="18" t="s">
        <v>1649</v>
      </c>
      <c r="G151" s="19">
        <v>46174</v>
      </c>
      <c r="H151" s="18" t="s">
        <v>1110</v>
      </c>
      <c r="I151" s="18" t="s">
        <v>874</v>
      </c>
      <c r="J151" s="27" t="s">
        <v>1651</v>
      </c>
    </row>
    <row r="152" spans="1:10" x14ac:dyDescent="0.3">
      <c r="A152" s="24" t="s">
        <v>1652</v>
      </c>
      <c r="B152" s="18" t="s">
        <v>36</v>
      </c>
      <c r="C152" s="18" t="s">
        <v>6</v>
      </c>
      <c r="D152" s="18" t="s">
        <v>27</v>
      </c>
      <c r="E152" s="18" t="s">
        <v>1444</v>
      </c>
      <c r="F152" s="18" t="s">
        <v>1653</v>
      </c>
      <c r="G152" s="19">
        <v>46197</v>
      </c>
      <c r="H152" s="18" t="s">
        <v>947</v>
      </c>
      <c r="I152" s="18" t="s">
        <v>874</v>
      </c>
      <c r="J152" s="27" t="s">
        <v>1654</v>
      </c>
    </row>
    <row r="153" spans="1:10" x14ac:dyDescent="0.3">
      <c r="A153" s="24" t="s">
        <v>1652</v>
      </c>
      <c r="B153" s="18" t="s">
        <v>36</v>
      </c>
      <c r="C153" s="18" t="s">
        <v>6</v>
      </c>
      <c r="D153" s="18" t="s">
        <v>28</v>
      </c>
      <c r="E153" s="18" t="s">
        <v>1447</v>
      </c>
      <c r="F153" s="18" t="s">
        <v>1655</v>
      </c>
      <c r="G153" s="19">
        <v>46192</v>
      </c>
      <c r="H153" s="18" t="s">
        <v>986</v>
      </c>
      <c r="I153" s="18" t="s">
        <v>874</v>
      </c>
      <c r="J153" s="27" t="s">
        <v>1656</v>
      </c>
    </row>
    <row r="154" spans="1:10" x14ac:dyDescent="0.3">
      <c r="A154" s="24" t="s">
        <v>1652</v>
      </c>
      <c r="B154" s="18" t="s">
        <v>36</v>
      </c>
      <c r="C154" s="18" t="s">
        <v>6</v>
      </c>
      <c r="D154" s="18" t="s">
        <v>29</v>
      </c>
      <c r="E154" s="18" t="s">
        <v>1449</v>
      </c>
      <c r="F154" s="18" t="s">
        <v>1657</v>
      </c>
      <c r="G154" s="19">
        <v>46187</v>
      </c>
      <c r="H154" s="18" t="s">
        <v>1024</v>
      </c>
      <c r="I154" s="18" t="s">
        <v>874</v>
      </c>
      <c r="J154" s="27" t="s">
        <v>1658</v>
      </c>
    </row>
    <row r="155" spans="1:10" x14ac:dyDescent="0.3">
      <c r="A155" s="24" t="s">
        <v>1652</v>
      </c>
      <c r="B155" s="18" t="s">
        <v>36</v>
      </c>
      <c r="C155" s="18" t="s">
        <v>6</v>
      </c>
      <c r="D155" s="18" t="s">
        <v>30</v>
      </c>
      <c r="E155" s="18" t="s">
        <v>1452</v>
      </c>
      <c r="F155" s="18" t="s">
        <v>1659</v>
      </c>
      <c r="G155" s="19">
        <v>46182</v>
      </c>
      <c r="H155" s="18" t="s">
        <v>877</v>
      </c>
      <c r="I155" s="18" t="s">
        <v>874</v>
      </c>
      <c r="J155" s="27" t="s">
        <v>1337</v>
      </c>
    </row>
    <row r="156" spans="1:10" x14ac:dyDescent="0.3">
      <c r="A156" s="24" t="s">
        <v>1652</v>
      </c>
      <c r="B156" s="18" t="s">
        <v>36</v>
      </c>
      <c r="C156" s="18" t="s">
        <v>6</v>
      </c>
      <c r="D156" s="18" t="s">
        <v>31</v>
      </c>
      <c r="E156" s="18" t="s">
        <v>1454</v>
      </c>
      <c r="F156" s="18" t="s">
        <v>1660</v>
      </c>
      <c r="G156" s="19">
        <v>46175</v>
      </c>
      <c r="H156" s="18" t="s">
        <v>1077</v>
      </c>
      <c r="I156" s="18" t="s">
        <v>874</v>
      </c>
      <c r="J156" s="27" t="s">
        <v>1661</v>
      </c>
    </row>
    <row r="157" spans="1:10" x14ac:dyDescent="0.3">
      <c r="A157" s="24" t="s">
        <v>1652</v>
      </c>
      <c r="B157" s="18" t="s">
        <v>36</v>
      </c>
      <c r="C157" s="18" t="s">
        <v>6</v>
      </c>
      <c r="D157" s="18" t="s">
        <v>32</v>
      </c>
      <c r="E157" s="18" t="s">
        <v>1454</v>
      </c>
      <c r="F157" s="18" t="s">
        <v>1660</v>
      </c>
      <c r="G157" s="19">
        <v>46176</v>
      </c>
      <c r="H157" s="18" t="s">
        <v>1116</v>
      </c>
      <c r="I157" s="18" t="s">
        <v>874</v>
      </c>
      <c r="J157" s="27" t="s">
        <v>1490</v>
      </c>
    </row>
    <row r="158" spans="1:10" x14ac:dyDescent="0.3">
      <c r="A158" s="24" t="s">
        <v>1662</v>
      </c>
      <c r="B158" s="18" t="s">
        <v>22</v>
      </c>
      <c r="C158" s="18" t="s">
        <v>5</v>
      </c>
      <c r="D158" s="18" t="s">
        <v>27</v>
      </c>
      <c r="E158" s="18" t="s">
        <v>1663</v>
      </c>
      <c r="F158" s="18" t="s">
        <v>1664</v>
      </c>
      <c r="G158" s="19">
        <v>46194</v>
      </c>
      <c r="H158" s="18" t="s">
        <v>950</v>
      </c>
      <c r="I158" s="18" t="s">
        <v>874</v>
      </c>
      <c r="J158" s="27" t="s">
        <v>1665</v>
      </c>
    </row>
    <row r="159" spans="1:10" x14ac:dyDescent="0.3">
      <c r="A159" s="24" t="s">
        <v>1662</v>
      </c>
      <c r="B159" s="18" t="s">
        <v>22</v>
      </c>
      <c r="C159" s="18" t="s">
        <v>5</v>
      </c>
      <c r="D159" s="18" t="s">
        <v>28</v>
      </c>
      <c r="E159" s="18" t="s">
        <v>1346</v>
      </c>
      <c r="F159" s="18" t="s">
        <v>1666</v>
      </c>
      <c r="G159" s="19">
        <v>46189</v>
      </c>
      <c r="H159" s="18" t="s">
        <v>989</v>
      </c>
      <c r="I159" s="18" t="s">
        <v>874</v>
      </c>
      <c r="J159" s="27" t="s">
        <v>1667</v>
      </c>
    </row>
    <row r="160" spans="1:10" x14ac:dyDescent="0.3">
      <c r="A160" s="24" t="s">
        <v>1662</v>
      </c>
      <c r="B160" s="18" t="s">
        <v>22</v>
      </c>
      <c r="C160" s="18" t="s">
        <v>5</v>
      </c>
      <c r="D160" s="18" t="s">
        <v>29</v>
      </c>
      <c r="E160" s="18" t="s">
        <v>1349</v>
      </c>
      <c r="F160" s="18" t="s">
        <v>1668</v>
      </c>
      <c r="G160" s="19">
        <v>46184</v>
      </c>
      <c r="H160" s="18" t="s">
        <v>1027</v>
      </c>
      <c r="I160" s="18" t="s">
        <v>874</v>
      </c>
      <c r="J160" s="27" t="s">
        <v>1669</v>
      </c>
    </row>
    <row r="161" spans="1:10" x14ac:dyDescent="0.3">
      <c r="A161" s="24" t="s">
        <v>1662</v>
      </c>
      <c r="B161" s="18" t="s">
        <v>22</v>
      </c>
      <c r="C161" s="18" t="s">
        <v>5</v>
      </c>
      <c r="D161" s="18" t="s">
        <v>30</v>
      </c>
      <c r="E161" s="18" t="s">
        <v>1352</v>
      </c>
      <c r="F161" s="18" t="s">
        <v>1670</v>
      </c>
      <c r="G161" s="19">
        <v>46179</v>
      </c>
      <c r="H161" s="18" t="s">
        <v>882</v>
      </c>
      <c r="I161" s="18" t="s">
        <v>874</v>
      </c>
      <c r="J161" s="27" t="s">
        <v>1671</v>
      </c>
    </row>
    <row r="162" spans="1:10" x14ac:dyDescent="0.3">
      <c r="A162" s="24" t="s">
        <v>1662</v>
      </c>
      <c r="B162" s="18" t="s">
        <v>22</v>
      </c>
      <c r="C162" s="18" t="s">
        <v>5</v>
      </c>
      <c r="D162" s="18" t="s">
        <v>31</v>
      </c>
      <c r="E162" s="18" t="s">
        <v>1355</v>
      </c>
      <c r="F162" s="18" t="s">
        <v>1672</v>
      </c>
      <c r="G162" s="19">
        <v>46172</v>
      </c>
      <c r="H162" s="18" t="s">
        <v>1080</v>
      </c>
      <c r="I162" s="18" t="s">
        <v>874</v>
      </c>
      <c r="J162" s="27" t="s">
        <v>1673</v>
      </c>
    </row>
    <row r="163" spans="1:10" x14ac:dyDescent="0.3">
      <c r="A163" s="24" t="s">
        <v>1662</v>
      </c>
      <c r="B163" s="18" t="s">
        <v>22</v>
      </c>
      <c r="C163" s="18" t="s">
        <v>5</v>
      </c>
      <c r="D163" s="18" t="s">
        <v>32</v>
      </c>
      <c r="E163" s="18" t="s">
        <v>1355</v>
      </c>
      <c r="F163" s="18" t="s">
        <v>1672</v>
      </c>
      <c r="G163" s="19">
        <v>46173</v>
      </c>
      <c r="H163" s="18" t="s">
        <v>1119</v>
      </c>
      <c r="I163" s="18" t="s">
        <v>874</v>
      </c>
      <c r="J163" s="27" t="s">
        <v>1474</v>
      </c>
    </row>
    <row r="164" spans="1:10" x14ac:dyDescent="0.3">
      <c r="A164" s="24" t="s">
        <v>1674</v>
      </c>
      <c r="B164" s="18" t="s">
        <v>95</v>
      </c>
      <c r="C164" s="18" t="s">
        <v>12</v>
      </c>
      <c r="D164" s="18" t="s">
        <v>27</v>
      </c>
      <c r="E164" s="18" t="s">
        <v>1675</v>
      </c>
      <c r="F164" s="18" t="s">
        <v>1676</v>
      </c>
      <c r="G164" s="19">
        <v>46196</v>
      </c>
      <c r="H164" s="18" t="s">
        <v>953</v>
      </c>
      <c r="I164" s="18" t="s">
        <v>874</v>
      </c>
      <c r="J164" s="27" t="s">
        <v>1677</v>
      </c>
    </row>
    <row r="165" spans="1:10" x14ac:dyDescent="0.3">
      <c r="A165" s="24" t="s">
        <v>1674</v>
      </c>
      <c r="B165" s="18" t="s">
        <v>95</v>
      </c>
      <c r="C165" s="18" t="s">
        <v>12</v>
      </c>
      <c r="D165" s="18" t="s">
        <v>28</v>
      </c>
      <c r="E165" s="18" t="s">
        <v>1678</v>
      </c>
      <c r="F165" s="18" t="s">
        <v>1679</v>
      </c>
      <c r="G165" s="19">
        <v>46191</v>
      </c>
      <c r="H165" s="18" t="s">
        <v>992</v>
      </c>
      <c r="I165" s="18" t="s">
        <v>874</v>
      </c>
      <c r="J165" s="27" t="s">
        <v>1680</v>
      </c>
    </row>
    <row r="166" spans="1:10" x14ac:dyDescent="0.3">
      <c r="A166" s="24" t="s">
        <v>1674</v>
      </c>
      <c r="B166" s="18" t="s">
        <v>95</v>
      </c>
      <c r="C166" s="18" t="s">
        <v>12</v>
      </c>
      <c r="D166" s="18" t="s">
        <v>29</v>
      </c>
      <c r="E166" s="18" t="s">
        <v>1681</v>
      </c>
      <c r="F166" s="18" t="s">
        <v>1682</v>
      </c>
      <c r="G166" s="19">
        <v>46186</v>
      </c>
      <c r="H166" s="18" t="s">
        <v>1030</v>
      </c>
      <c r="I166" s="18" t="s">
        <v>874</v>
      </c>
      <c r="J166" s="27" t="s">
        <v>1385</v>
      </c>
    </row>
    <row r="167" spans="1:10" x14ac:dyDescent="0.3">
      <c r="A167" s="24" t="s">
        <v>1674</v>
      </c>
      <c r="B167" s="18" t="s">
        <v>95</v>
      </c>
      <c r="C167" s="18" t="s">
        <v>12</v>
      </c>
      <c r="D167" s="18" t="s">
        <v>30</v>
      </c>
      <c r="E167" s="18" t="s">
        <v>1683</v>
      </c>
      <c r="F167" s="18" t="s">
        <v>1684</v>
      </c>
      <c r="G167" s="19">
        <v>46181</v>
      </c>
      <c r="H167" s="18" t="s">
        <v>888</v>
      </c>
      <c r="I167" s="18" t="s">
        <v>874</v>
      </c>
      <c r="J167" s="27" t="s">
        <v>1470</v>
      </c>
    </row>
    <row r="168" spans="1:10" x14ac:dyDescent="0.3">
      <c r="A168" s="24" t="s">
        <v>1674</v>
      </c>
      <c r="B168" s="18" t="s">
        <v>95</v>
      </c>
      <c r="C168" s="18" t="s">
        <v>12</v>
      </c>
      <c r="D168" s="18" t="s">
        <v>31</v>
      </c>
      <c r="E168" s="18" t="s">
        <v>1685</v>
      </c>
      <c r="F168" s="18" t="s">
        <v>1686</v>
      </c>
      <c r="G168" s="19">
        <v>46174</v>
      </c>
      <c r="H168" s="18" t="s">
        <v>1083</v>
      </c>
      <c r="I168" s="18" t="s">
        <v>874</v>
      </c>
      <c r="J168" s="27" t="s">
        <v>1687</v>
      </c>
    </row>
    <row r="169" spans="1:10" x14ac:dyDescent="0.3">
      <c r="A169" s="24" t="s">
        <v>1674</v>
      </c>
      <c r="B169" s="18" t="s">
        <v>95</v>
      </c>
      <c r="C169" s="18" t="s">
        <v>12</v>
      </c>
      <c r="D169" s="18" t="s">
        <v>32</v>
      </c>
      <c r="E169" s="18" t="s">
        <v>1685</v>
      </c>
      <c r="F169" s="18" t="s">
        <v>1686</v>
      </c>
      <c r="G169" s="19">
        <v>46175</v>
      </c>
      <c r="H169" s="18" t="s">
        <v>1122</v>
      </c>
      <c r="I169" s="18" t="s">
        <v>874</v>
      </c>
      <c r="J169" s="27" t="s">
        <v>1688</v>
      </c>
    </row>
    <row r="170" spans="1:10" x14ac:dyDescent="0.3">
      <c r="A170" s="24" t="s">
        <v>1689</v>
      </c>
      <c r="B170" s="18" t="s">
        <v>58</v>
      </c>
      <c r="C170" s="18" t="s">
        <v>8</v>
      </c>
      <c r="D170" s="18" t="s">
        <v>27</v>
      </c>
      <c r="E170" s="18" t="s">
        <v>1690</v>
      </c>
      <c r="F170" s="18" t="s">
        <v>1691</v>
      </c>
      <c r="G170" s="19">
        <v>46195</v>
      </c>
      <c r="H170" s="18" t="s">
        <v>956</v>
      </c>
      <c r="I170" s="18" t="s">
        <v>874</v>
      </c>
      <c r="J170" s="27" t="s">
        <v>1692</v>
      </c>
    </row>
    <row r="171" spans="1:10" x14ac:dyDescent="0.3">
      <c r="A171" s="24" t="s">
        <v>1689</v>
      </c>
      <c r="B171" s="18" t="s">
        <v>58</v>
      </c>
      <c r="C171" s="18" t="s">
        <v>8</v>
      </c>
      <c r="D171" s="18" t="s">
        <v>28</v>
      </c>
      <c r="E171" s="18" t="s">
        <v>1693</v>
      </c>
      <c r="F171" s="18" t="s">
        <v>1694</v>
      </c>
      <c r="G171" s="19">
        <v>46190</v>
      </c>
      <c r="H171" s="18" t="s">
        <v>995</v>
      </c>
      <c r="I171" s="18" t="s">
        <v>874</v>
      </c>
      <c r="J171" s="27" t="s">
        <v>1695</v>
      </c>
    </row>
    <row r="172" spans="1:10" x14ac:dyDescent="0.3">
      <c r="A172" s="24" t="s">
        <v>1689</v>
      </c>
      <c r="B172" s="18" t="s">
        <v>58</v>
      </c>
      <c r="C172" s="18" t="s">
        <v>8</v>
      </c>
      <c r="D172" s="18" t="s">
        <v>29</v>
      </c>
      <c r="E172" s="18" t="s">
        <v>1611</v>
      </c>
      <c r="F172" s="18" t="s">
        <v>1696</v>
      </c>
      <c r="G172" s="19">
        <v>46185</v>
      </c>
      <c r="H172" s="18" t="s">
        <v>1033</v>
      </c>
      <c r="I172" s="18" t="s">
        <v>874</v>
      </c>
      <c r="J172" s="27" t="s">
        <v>1697</v>
      </c>
    </row>
    <row r="173" spans="1:10" x14ac:dyDescent="0.3">
      <c r="A173" s="24" t="s">
        <v>1689</v>
      </c>
      <c r="B173" s="18" t="s">
        <v>58</v>
      </c>
      <c r="C173" s="18" t="s">
        <v>8</v>
      </c>
      <c r="D173" s="18" t="s">
        <v>30</v>
      </c>
      <c r="E173" s="18" t="s">
        <v>1614</v>
      </c>
      <c r="F173" s="18" t="s">
        <v>1698</v>
      </c>
      <c r="G173" s="19">
        <v>46180</v>
      </c>
      <c r="H173" s="18" t="s">
        <v>893</v>
      </c>
      <c r="I173" s="18" t="s">
        <v>874</v>
      </c>
      <c r="J173" s="27" t="s">
        <v>1619</v>
      </c>
    </row>
    <row r="174" spans="1:10" x14ac:dyDescent="0.3">
      <c r="A174" s="24" t="s">
        <v>1689</v>
      </c>
      <c r="B174" s="18" t="s">
        <v>58</v>
      </c>
      <c r="C174" s="18" t="s">
        <v>8</v>
      </c>
      <c r="D174" s="18" t="s">
        <v>31</v>
      </c>
      <c r="E174" s="18" t="s">
        <v>1699</v>
      </c>
      <c r="F174" s="18" t="s">
        <v>1700</v>
      </c>
      <c r="G174" s="19">
        <v>46173</v>
      </c>
      <c r="H174" s="18" t="s">
        <v>1086</v>
      </c>
      <c r="I174" s="18" t="s">
        <v>874</v>
      </c>
      <c r="J174" s="27" t="s">
        <v>1701</v>
      </c>
    </row>
    <row r="175" spans="1:10" x14ac:dyDescent="0.3">
      <c r="A175" s="24" t="s">
        <v>1689</v>
      </c>
      <c r="B175" s="18" t="s">
        <v>58</v>
      </c>
      <c r="C175" s="18" t="s">
        <v>8</v>
      </c>
      <c r="D175" s="18" t="s">
        <v>32</v>
      </c>
      <c r="E175" s="18" t="s">
        <v>1699</v>
      </c>
      <c r="F175" s="18" t="s">
        <v>1700</v>
      </c>
      <c r="G175" s="19">
        <v>46174</v>
      </c>
      <c r="H175" s="18" t="s">
        <v>1125</v>
      </c>
      <c r="I175" s="18" t="s">
        <v>874</v>
      </c>
      <c r="J175" s="27" t="s">
        <v>1702</v>
      </c>
    </row>
    <row r="176" spans="1:10" x14ac:dyDescent="0.3">
      <c r="A176" s="24" t="s">
        <v>1703</v>
      </c>
      <c r="B176" s="18" t="s">
        <v>70</v>
      </c>
      <c r="C176" s="18" t="s">
        <v>9</v>
      </c>
      <c r="D176" s="18" t="s">
        <v>27</v>
      </c>
      <c r="E176" s="18" t="s">
        <v>1704</v>
      </c>
      <c r="F176" s="18" t="s">
        <v>1705</v>
      </c>
      <c r="G176" s="19">
        <v>46197</v>
      </c>
      <c r="H176" s="18" t="s">
        <v>959</v>
      </c>
      <c r="I176" s="18" t="s">
        <v>874</v>
      </c>
      <c r="J176" s="27" t="s">
        <v>1706</v>
      </c>
    </row>
    <row r="177" spans="1:10" x14ac:dyDescent="0.3">
      <c r="A177" s="24" t="s">
        <v>1703</v>
      </c>
      <c r="B177" s="18" t="s">
        <v>70</v>
      </c>
      <c r="C177" s="18" t="s">
        <v>9</v>
      </c>
      <c r="D177" s="18" t="s">
        <v>28</v>
      </c>
      <c r="E177" s="18" t="s">
        <v>1707</v>
      </c>
      <c r="F177" s="18" t="s">
        <v>1708</v>
      </c>
      <c r="G177" s="19">
        <v>46192</v>
      </c>
      <c r="H177" s="18" t="s">
        <v>998</v>
      </c>
      <c r="I177" s="18" t="s">
        <v>874</v>
      </c>
      <c r="J177" s="27" t="s">
        <v>1709</v>
      </c>
    </row>
    <row r="178" spans="1:10" x14ac:dyDescent="0.3">
      <c r="A178" s="24" t="s">
        <v>1703</v>
      </c>
      <c r="B178" s="18" t="s">
        <v>70</v>
      </c>
      <c r="C178" s="18" t="s">
        <v>9</v>
      </c>
      <c r="D178" s="18" t="s">
        <v>29</v>
      </c>
      <c r="E178" s="18" t="s">
        <v>1710</v>
      </c>
      <c r="F178" s="18" t="s">
        <v>1711</v>
      </c>
      <c r="G178" s="19">
        <v>46187</v>
      </c>
      <c r="H178" s="18" t="s">
        <v>1036</v>
      </c>
      <c r="I178" s="18" t="s">
        <v>874</v>
      </c>
      <c r="J178" s="27" t="s">
        <v>1402</v>
      </c>
    </row>
    <row r="179" spans="1:10" x14ac:dyDescent="0.3">
      <c r="A179" s="24" t="s">
        <v>1703</v>
      </c>
      <c r="B179" s="18" t="s">
        <v>70</v>
      </c>
      <c r="C179" s="18" t="s">
        <v>9</v>
      </c>
      <c r="D179" s="18" t="s">
        <v>30</v>
      </c>
      <c r="E179" s="18" t="s">
        <v>1712</v>
      </c>
      <c r="F179" s="18" t="s">
        <v>1713</v>
      </c>
      <c r="G179" s="19">
        <v>46182</v>
      </c>
      <c r="H179" s="18" t="s">
        <v>899</v>
      </c>
      <c r="I179" s="18" t="s">
        <v>874</v>
      </c>
      <c r="J179" s="27" t="s">
        <v>1470</v>
      </c>
    </row>
    <row r="180" spans="1:10" x14ac:dyDescent="0.3">
      <c r="A180" s="24" t="s">
        <v>1703</v>
      </c>
      <c r="B180" s="18" t="s">
        <v>70</v>
      </c>
      <c r="C180" s="18" t="s">
        <v>9</v>
      </c>
      <c r="D180" s="18" t="s">
        <v>31</v>
      </c>
      <c r="E180" s="18" t="s">
        <v>1714</v>
      </c>
      <c r="F180" s="18" t="s">
        <v>1715</v>
      </c>
      <c r="G180" s="19">
        <v>46175</v>
      </c>
      <c r="H180" s="18" t="s">
        <v>1089</v>
      </c>
      <c r="I180" s="18" t="s">
        <v>874</v>
      </c>
      <c r="J180" s="27" t="s">
        <v>1716</v>
      </c>
    </row>
    <row r="181" spans="1:10" x14ac:dyDescent="0.3">
      <c r="A181" s="25" t="s">
        <v>1703</v>
      </c>
      <c r="B181" s="20" t="s">
        <v>70</v>
      </c>
      <c r="C181" s="20" t="s">
        <v>9</v>
      </c>
      <c r="D181" s="20" t="s">
        <v>32</v>
      </c>
      <c r="E181" s="20" t="s">
        <v>1714</v>
      </c>
      <c r="F181" s="20" t="s">
        <v>1715</v>
      </c>
      <c r="G181" s="21">
        <v>46176</v>
      </c>
      <c r="H181" s="20" t="s">
        <v>1128</v>
      </c>
      <c r="I181" s="20" t="s">
        <v>874</v>
      </c>
      <c r="J181" s="28" t="s">
        <v>1441</v>
      </c>
    </row>
    <row r="184" spans="1:10" ht="15.6" x14ac:dyDescent="0.3">
      <c r="A184" s="384" t="s">
        <v>4761</v>
      </c>
      <c r="B184" s="384"/>
      <c r="C184" s="384"/>
      <c r="D184" s="384"/>
      <c r="E184" s="384"/>
      <c r="F184" s="384"/>
      <c r="G184" s="384"/>
      <c r="H184" s="384"/>
      <c r="I184" s="384"/>
      <c r="J184" s="384"/>
    </row>
    <row r="185" spans="1:10" x14ac:dyDescent="0.3">
      <c r="A185" s="237"/>
      <c r="B185" s="237"/>
      <c r="C185" s="237"/>
      <c r="D185" s="237"/>
      <c r="E185" s="237"/>
      <c r="F185" s="237"/>
      <c r="G185" s="237"/>
      <c r="H185" s="237"/>
      <c r="I185" s="237"/>
      <c r="J185" s="237"/>
    </row>
    <row r="186" spans="1:10" x14ac:dyDescent="0.3">
      <c r="A186" s="237" t="s">
        <v>4762</v>
      </c>
      <c r="B186" s="237"/>
      <c r="C186" s="237"/>
      <c r="D186" s="237"/>
      <c r="E186" s="237"/>
      <c r="F186" s="237"/>
      <c r="G186" s="237"/>
      <c r="H186" s="237"/>
      <c r="I186" s="237"/>
      <c r="J186" s="237"/>
    </row>
    <row r="187" spans="1:10" x14ac:dyDescent="0.3">
      <c r="A187" s="237"/>
      <c r="B187" s="237"/>
      <c r="C187" s="237"/>
      <c r="D187" s="237"/>
      <c r="E187" s="237"/>
      <c r="F187" s="237"/>
      <c r="G187" s="237"/>
      <c r="H187" s="237"/>
      <c r="I187" s="237"/>
      <c r="J187" s="237"/>
    </row>
    <row r="188" spans="1:10" x14ac:dyDescent="0.3">
      <c r="A188" s="237" t="s">
        <v>4763</v>
      </c>
      <c r="B188" s="237"/>
      <c r="C188" s="237"/>
      <c r="D188" s="237"/>
      <c r="E188" s="237"/>
      <c r="F188" s="237"/>
      <c r="G188" s="237"/>
      <c r="H188" s="237"/>
      <c r="I188" s="237"/>
      <c r="J188" s="237"/>
    </row>
    <row r="189" spans="1:10" x14ac:dyDescent="0.3">
      <c r="A189" s="237"/>
      <c r="B189" s="237"/>
      <c r="C189" s="237"/>
      <c r="D189" s="237"/>
      <c r="E189" s="237"/>
      <c r="F189" s="237"/>
      <c r="G189" s="237"/>
      <c r="H189" s="237"/>
      <c r="I189" s="237"/>
      <c r="J189" s="237"/>
    </row>
    <row r="190" spans="1:10" x14ac:dyDescent="0.3">
      <c r="A190" s="237" t="s">
        <v>4764</v>
      </c>
      <c r="B190" s="237"/>
      <c r="C190" s="237"/>
      <c r="D190" s="237"/>
      <c r="E190" s="237"/>
      <c r="F190" s="237"/>
      <c r="G190" s="237"/>
      <c r="H190" s="237"/>
      <c r="I190" s="237"/>
      <c r="J190" s="237"/>
    </row>
    <row r="191" spans="1:10" x14ac:dyDescent="0.3">
      <c r="A191" s="237"/>
      <c r="B191" s="237"/>
      <c r="C191" s="237"/>
      <c r="D191" s="237"/>
      <c r="E191" s="237"/>
      <c r="F191" s="237"/>
      <c r="G191" s="237"/>
      <c r="H191" s="237"/>
      <c r="I191" s="237"/>
      <c r="J191" s="237"/>
    </row>
    <row r="192" spans="1:10" x14ac:dyDescent="0.3">
      <c r="A192" s="237" t="s">
        <v>4748</v>
      </c>
      <c r="B192" s="237"/>
      <c r="C192" s="237"/>
      <c r="D192" s="237"/>
      <c r="E192" s="237"/>
      <c r="F192" s="237"/>
      <c r="G192" s="237"/>
      <c r="H192" s="237"/>
      <c r="I192" s="237"/>
      <c r="J192" s="237"/>
    </row>
    <row r="194" spans="1:10" ht="18" x14ac:dyDescent="0.35">
      <c r="A194" s="385" t="s">
        <v>4383</v>
      </c>
      <c r="B194" s="385"/>
      <c r="C194" s="385"/>
      <c r="D194" s="385"/>
      <c r="E194" s="385"/>
      <c r="F194" s="385"/>
      <c r="G194" s="385"/>
      <c r="H194" s="385"/>
      <c r="I194" s="385"/>
      <c r="J194" s="385"/>
    </row>
    <row r="196" spans="1:10" ht="15.6" x14ac:dyDescent="0.3">
      <c r="A196" s="222" t="s">
        <v>4384</v>
      </c>
      <c r="B196" s="223"/>
      <c r="C196" s="223"/>
      <c r="D196" s="223"/>
      <c r="E196" s="223"/>
      <c r="F196" s="223"/>
      <c r="G196" s="223"/>
      <c r="H196" s="223"/>
      <c r="I196" s="223"/>
      <c r="J196" s="223"/>
    </row>
    <row r="197" spans="1:10" x14ac:dyDescent="0.3">
      <c r="A197" s="223" t="s">
        <v>4385</v>
      </c>
      <c r="B197" s="223"/>
      <c r="C197" s="223"/>
      <c r="D197" s="223"/>
      <c r="E197" s="223"/>
      <c r="F197" s="223"/>
      <c r="G197" s="223"/>
      <c r="H197" s="223"/>
      <c r="I197" s="223"/>
      <c r="J197" s="223"/>
    </row>
    <row r="198" spans="1:10" x14ac:dyDescent="0.3">
      <c r="A198" s="223" t="s">
        <v>4386</v>
      </c>
      <c r="B198" s="223"/>
      <c r="C198" s="223"/>
      <c r="D198" s="223"/>
      <c r="E198" s="223"/>
      <c r="F198" s="223"/>
      <c r="G198" s="223"/>
      <c r="H198" s="223"/>
      <c r="I198" s="223"/>
      <c r="J198" s="223"/>
    </row>
    <row r="199" spans="1:10" x14ac:dyDescent="0.3">
      <c r="A199" s="223"/>
      <c r="B199" s="223"/>
      <c r="C199" s="223"/>
      <c r="D199" s="223"/>
      <c r="E199" s="223"/>
      <c r="F199" s="223"/>
      <c r="G199" s="223"/>
      <c r="H199" s="223"/>
      <c r="I199" s="223"/>
      <c r="J199" s="223"/>
    </row>
    <row r="200" spans="1:10" x14ac:dyDescent="0.3">
      <c r="A200" s="223" t="s">
        <v>4387</v>
      </c>
      <c r="B200" s="223"/>
      <c r="C200" s="223"/>
      <c r="D200" s="223"/>
      <c r="E200" s="223"/>
      <c r="F200" s="223"/>
      <c r="G200" s="223"/>
      <c r="H200" s="223"/>
      <c r="I200" s="223"/>
      <c r="J200" s="223"/>
    </row>
    <row r="201" spans="1:10" x14ac:dyDescent="0.3">
      <c r="A201" s="223" t="s">
        <v>4388</v>
      </c>
      <c r="B201" s="223"/>
      <c r="C201" s="223"/>
      <c r="D201" s="223"/>
      <c r="E201" s="223"/>
      <c r="F201" s="223"/>
      <c r="G201" s="223"/>
      <c r="H201" s="223"/>
      <c r="I201" s="223"/>
      <c r="J201" s="223"/>
    </row>
    <row r="202" spans="1:10" x14ac:dyDescent="0.3">
      <c r="A202" s="223" t="s">
        <v>4389</v>
      </c>
      <c r="B202" s="223"/>
      <c r="C202" s="223"/>
      <c r="D202" s="223"/>
      <c r="E202" s="223"/>
      <c r="F202" s="223"/>
      <c r="G202" s="223"/>
      <c r="H202" s="223"/>
      <c r="I202" s="223"/>
      <c r="J202" s="223"/>
    </row>
    <row r="203" spans="1:10" x14ac:dyDescent="0.3">
      <c r="A203" s="223" t="s">
        <v>4390</v>
      </c>
      <c r="B203" s="223"/>
      <c r="C203" s="223"/>
      <c r="D203" s="223"/>
      <c r="E203" s="223"/>
      <c r="F203" s="223"/>
      <c r="G203" s="223"/>
      <c r="H203" s="223"/>
      <c r="I203" s="223"/>
      <c r="J203" s="223"/>
    </row>
    <row r="204" spans="1:10" x14ac:dyDescent="0.3">
      <c r="A204" s="223" t="s">
        <v>4391</v>
      </c>
      <c r="B204" s="223"/>
      <c r="C204" s="223"/>
      <c r="D204" s="223"/>
      <c r="E204" s="223"/>
      <c r="F204" s="223"/>
      <c r="G204" s="223"/>
      <c r="H204" s="223"/>
      <c r="I204" s="223"/>
      <c r="J204" s="223"/>
    </row>
    <row r="205" spans="1:10" x14ac:dyDescent="0.3">
      <c r="A205" s="223"/>
      <c r="B205" s="223"/>
      <c r="C205" s="223"/>
      <c r="D205" s="223"/>
      <c r="E205" s="223"/>
      <c r="F205" s="223"/>
      <c r="G205" s="223"/>
      <c r="H205" s="223"/>
      <c r="I205" s="223"/>
      <c r="J205" s="223"/>
    </row>
    <row r="206" spans="1:10" ht="15.6" x14ac:dyDescent="0.3">
      <c r="A206" s="222" t="s">
        <v>4392</v>
      </c>
      <c r="B206" s="223"/>
      <c r="C206" s="223"/>
      <c r="D206" s="223"/>
      <c r="E206" s="223"/>
      <c r="F206" s="223"/>
      <c r="G206" s="223"/>
      <c r="H206" s="223"/>
      <c r="I206" s="223"/>
      <c r="J206" s="223"/>
    </row>
    <row r="207" spans="1:10" x14ac:dyDescent="0.3">
      <c r="A207" s="223"/>
      <c r="B207" s="223"/>
      <c r="C207" s="223"/>
      <c r="D207" s="223"/>
      <c r="E207" s="223"/>
      <c r="F207" s="223"/>
      <c r="G207" s="223"/>
      <c r="H207" s="223"/>
      <c r="I207" s="223"/>
      <c r="J207" s="223"/>
    </row>
    <row r="208" spans="1:10" x14ac:dyDescent="0.3">
      <c r="A208" s="223" t="s">
        <v>4393</v>
      </c>
      <c r="B208" s="223"/>
      <c r="C208" s="223"/>
      <c r="D208" s="223"/>
      <c r="E208" s="223"/>
      <c r="F208" s="223"/>
      <c r="G208" s="223"/>
      <c r="H208" s="223"/>
      <c r="I208" s="223"/>
      <c r="J208" s="223"/>
    </row>
    <row r="209" spans="1:10" x14ac:dyDescent="0.3">
      <c r="A209" s="223"/>
      <c r="B209" s="223"/>
      <c r="C209" s="223"/>
      <c r="D209" s="223"/>
      <c r="E209" s="223"/>
      <c r="F209" s="223"/>
      <c r="G209" s="223"/>
      <c r="H209" s="223"/>
      <c r="I209" s="223"/>
      <c r="J209" s="223"/>
    </row>
    <row r="210" spans="1:10" x14ac:dyDescent="0.3">
      <c r="A210" s="223" t="s">
        <v>4394</v>
      </c>
      <c r="B210" s="223"/>
      <c r="C210" s="223"/>
      <c r="D210" s="223"/>
      <c r="E210" s="223"/>
      <c r="F210" s="223"/>
      <c r="G210" s="223"/>
      <c r="H210" s="223"/>
      <c r="I210" s="223"/>
      <c r="J210" s="223"/>
    </row>
    <row r="211" spans="1:10" x14ac:dyDescent="0.3">
      <c r="A211" s="223" t="s">
        <v>4395</v>
      </c>
      <c r="B211" s="223"/>
      <c r="C211" s="223"/>
      <c r="D211" s="223"/>
      <c r="E211" s="223"/>
      <c r="F211" s="223"/>
      <c r="G211" s="223"/>
      <c r="H211" s="223"/>
      <c r="I211" s="223"/>
      <c r="J211" s="223"/>
    </row>
    <row r="212" spans="1:10" x14ac:dyDescent="0.3">
      <c r="A212" s="223" t="s">
        <v>4396</v>
      </c>
      <c r="B212" s="223"/>
      <c r="C212" s="223"/>
      <c r="D212" s="223"/>
      <c r="E212" s="223"/>
      <c r="F212" s="223"/>
      <c r="G212" s="223"/>
      <c r="H212" s="223"/>
      <c r="I212" s="223"/>
      <c r="J212" s="223"/>
    </row>
    <row r="213" spans="1:10" x14ac:dyDescent="0.3">
      <c r="A213" s="223" t="s">
        <v>4397</v>
      </c>
      <c r="B213" s="223"/>
      <c r="C213" s="223"/>
      <c r="D213" s="223"/>
      <c r="E213" s="223"/>
      <c r="F213" s="223"/>
      <c r="G213" s="223"/>
      <c r="H213" s="223"/>
      <c r="I213" s="223"/>
      <c r="J213" s="223"/>
    </row>
    <row r="214" spans="1:10" x14ac:dyDescent="0.3">
      <c r="A214" s="223" t="s">
        <v>4398</v>
      </c>
      <c r="B214" s="223"/>
      <c r="C214" s="223"/>
      <c r="D214" s="223"/>
      <c r="E214" s="223"/>
      <c r="F214" s="223"/>
      <c r="G214" s="223"/>
      <c r="H214" s="223"/>
      <c r="I214" s="223"/>
      <c r="J214" s="223"/>
    </row>
    <row r="215" spans="1:10" x14ac:dyDescent="0.3">
      <c r="A215" s="223" t="s">
        <v>4399</v>
      </c>
      <c r="B215" s="223"/>
      <c r="C215" s="223"/>
      <c r="D215" s="223"/>
      <c r="E215" s="223"/>
      <c r="F215" s="223"/>
      <c r="G215" s="223"/>
      <c r="H215" s="223"/>
      <c r="I215" s="223"/>
      <c r="J215" s="223"/>
    </row>
    <row r="216" spans="1:10" x14ac:dyDescent="0.3">
      <c r="A216" s="223"/>
      <c r="B216" s="223"/>
      <c r="C216" s="223"/>
      <c r="D216" s="223"/>
      <c r="E216" s="223"/>
      <c r="F216" s="223"/>
      <c r="G216" s="223"/>
      <c r="H216" s="223"/>
      <c r="I216" s="223"/>
      <c r="J216" s="223"/>
    </row>
    <row r="217" spans="1:10" ht="15.6" x14ac:dyDescent="0.3">
      <c r="A217" s="222" t="s">
        <v>4292</v>
      </c>
      <c r="B217" s="223"/>
      <c r="C217" s="223"/>
      <c r="D217" s="223"/>
      <c r="E217" s="223"/>
      <c r="F217" s="223"/>
      <c r="G217" s="223"/>
      <c r="H217" s="223"/>
      <c r="I217" s="223"/>
      <c r="J217" s="223"/>
    </row>
    <row r="218" spans="1:10" x14ac:dyDescent="0.3">
      <c r="A218" s="223"/>
      <c r="B218" s="223"/>
      <c r="C218" s="223"/>
      <c r="D218" s="223"/>
      <c r="E218" s="223"/>
      <c r="F218" s="223"/>
      <c r="G218" s="223"/>
      <c r="H218" s="223"/>
      <c r="I218" s="223"/>
      <c r="J218" s="223"/>
    </row>
    <row r="219" spans="1:10" x14ac:dyDescent="0.3">
      <c r="A219" s="223" t="s">
        <v>4400</v>
      </c>
      <c r="B219" s="223"/>
      <c r="C219" s="223"/>
      <c r="D219" s="223"/>
      <c r="E219" s="223"/>
      <c r="F219" s="223"/>
      <c r="G219" s="223"/>
      <c r="H219" s="223"/>
      <c r="I219" s="223"/>
      <c r="J219" s="223"/>
    </row>
    <row r="220" spans="1:10" x14ac:dyDescent="0.3">
      <c r="A220" s="223" t="s">
        <v>4401</v>
      </c>
      <c r="B220" s="223"/>
      <c r="C220" s="223"/>
      <c r="D220" s="223"/>
      <c r="E220" s="223"/>
      <c r="F220" s="223"/>
      <c r="G220" s="223"/>
      <c r="H220" s="223"/>
      <c r="I220" s="223"/>
      <c r="J220" s="223"/>
    </row>
    <row r="221" spans="1:10" x14ac:dyDescent="0.3">
      <c r="A221" s="223" t="s">
        <v>4402</v>
      </c>
      <c r="B221" s="223"/>
      <c r="C221" s="223"/>
      <c r="D221" s="223"/>
      <c r="E221" s="223"/>
      <c r="F221" s="223"/>
      <c r="G221" s="223"/>
      <c r="H221" s="223"/>
      <c r="I221" s="223"/>
      <c r="J221" s="223"/>
    </row>
    <row r="222" spans="1:10" x14ac:dyDescent="0.3">
      <c r="A222" s="223" t="s">
        <v>4403</v>
      </c>
      <c r="B222" s="223"/>
      <c r="C222" s="223"/>
      <c r="D222" s="223"/>
      <c r="E222" s="223"/>
      <c r="F222" s="223"/>
      <c r="G222" s="223"/>
      <c r="H222" s="223"/>
      <c r="I222" s="223"/>
      <c r="J222" s="223"/>
    </row>
    <row r="223" spans="1:10" x14ac:dyDescent="0.3">
      <c r="A223" s="223"/>
      <c r="B223" s="223"/>
      <c r="C223" s="223"/>
      <c r="D223" s="223"/>
      <c r="E223" s="223"/>
      <c r="F223" s="223"/>
      <c r="G223" s="223"/>
      <c r="H223" s="223"/>
      <c r="I223" s="223"/>
      <c r="J223" s="223"/>
    </row>
    <row r="224" spans="1:10" x14ac:dyDescent="0.3">
      <c r="A224" s="223" t="s">
        <v>4404</v>
      </c>
      <c r="B224" s="223"/>
      <c r="C224" s="223"/>
      <c r="D224" s="223"/>
      <c r="E224" s="223"/>
      <c r="F224" s="223"/>
      <c r="G224" s="223"/>
      <c r="H224" s="223"/>
      <c r="I224" s="223"/>
      <c r="J224" s="223"/>
    </row>
    <row r="225" spans="1:10" x14ac:dyDescent="0.3">
      <c r="A225" s="223" t="s">
        <v>4405</v>
      </c>
      <c r="B225" s="223"/>
      <c r="C225" s="223"/>
      <c r="D225" s="223"/>
      <c r="E225" s="223"/>
      <c r="F225" s="223"/>
      <c r="G225" s="223"/>
      <c r="H225" s="223"/>
      <c r="I225" s="223"/>
      <c r="J225" s="223"/>
    </row>
    <row r="226" spans="1:10" x14ac:dyDescent="0.3">
      <c r="A226" s="223" t="s">
        <v>4406</v>
      </c>
      <c r="B226" s="223"/>
      <c r="C226" s="223"/>
      <c r="D226" s="223"/>
      <c r="E226" s="223"/>
      <c r="F226" s="223"/>
      <c r="G226" s="223"/>
      <c r="H226" s="223"/>
      <c r="I226" s="223"/>
      <c r="J226" s="223"/>
    </row>
    <row r="227" spans="1:10" x14ac:dyDescent="0.3">
      <c r="A227" s="223" t="s">
        <v>4407</v>
      </c>
      <c r="B227" s="223"/>
      <c r="C227" s="223"/>
      <c r="D227" s="223"/>
      <c r="E227" s="223"/>
      <c r="F227" s="223"/>
      <c r="G227" s="223"/>
      <c r="H227" s="223"/>
      <c r="I227" s="223"/>
      <c r="J227" s="223"/>
    </row>
    <row r="228" spans="1:10" x14ac:dyDescent="0.3">
      <c r="A228" s="223"/>
      <c r="B228" s="223"/>
      <c r="C228" s="223"/>
      <c r="D228" s="223"/>
      <c r="E228" s="223"/>
      <c r="F228" s="223"/>
      <c r="G228" s="223"/>
      <c r="H228" s="223"/>
      <c r="I228" s="223"/>
      <c r="J228" s="223"/>
    </row>
    <row r="229" spans="1:10" x14ac:dyDescent="0.3">
      <c r="A229" s="223" t="s">
        <v>4408</v>
      </c>
      <c r="B229" s="223"/>
      <c r="C229" s="223"/>
      <c r="D229" s="223"/>
      <c r="E229" s="223"/>
      <c r="F229" s="223"/>
      <c r="G229" s="223"/>
      <c r="H229" s="223"/>
      <c r="I229" s="223"/>
      <c r="J229" s="223"/>
    </row>
    <row r="230" spans="1:10" x14ac:dyDescent="0.3">
      <c r="A230" s="223" t="s">
        <v>4409</v>
      </c>
      <c r="B230" s="223"/>
      <c r="C230" s="223"/>
      <c r="D230" s="223"/>
      <c r="E230" s="223"/>
      <c r="F230" s="223"/>
      <c r="G230" s="223"/>
      <c r="H230" s="223"/>
      <c r="I230" s="223"/>
      <c r="J230" s="223"/>
    </row>
    <row r="231" spans="1:10" x14ac:dyDescent="0.3">
      <c r="A231" s="223" t="s">
        <v>4410</v>
      </c>
      <c r="B231" s="223"/>
      <c r="C231" s="223"/>
      <c r="D231" s="223"/>
      <c r="E231" s="223"/>
      <c r="F231" s="223"/>
      <c r="G231" s="223"/>
      <c r="H231" s="223"/>
      <c r="I231" s="223"/>
      <c r="J231" s="223"/>
    </row>
    <row r="232" spans="1:10" x14ac:dyDescent="0.3">
      <c r="A232" s="223" t="s">
        <v>4411</v>
      </c>
      <c r="B232" s="223"/>
      <c r="C232" s="223"/>
      <c r="D232" s="223"/>
      <c r="E232" s="223"/>
      <c r="F232" s="223"/>
      <c r="G232" s="223"/>
      <c r="H232" s="223"/>
      <c r="I232" s="223"/>
      <c r="J232" s="223"/>
    </row>
    <row r="233" spans="1:10" x14ac:dyDescent="0.3">
      <c r="A233" s="223"/>
      <c r="B233" s="223"/>
      <c r="C233" s="223"/>
      <c r="D233" s="223"/>
      <c r="E233" s="223"/>
      <c r="F233" s="223"/>
      <c r="G233" s="223"/>
      <c r="H233" s="223"/>
      <c r="I233" s="223"/>
      <c r="J233" s="223"/>
    </row>
    <row r="234" spans="1:10" x14ac:dyDescent="0.3">
      <c r="A234" s="225" t="s">
        <v>4257</v>
      </c>
      <c r="B234" s="223"/>
      <c r="C234" s="223"/>
      <c r="D234" s="223"/>
      <c r="E234" s="223"/>
      <c r="F234" s="223"/>
      <c r="G234" s="223"/>
      <c r="H234" s="223"/>
      <c r="I234" s="223"/>
      <c r="J234" s="223"/>
    </row>
    <row r="235" spans="1:10" x14ac:dyDescent="0.3">
      <c r="A235" s="223"/>
      <c r="B235" s="223"/>
      <c r="C235" s="223"/>
      <c r="D235" s="223"/>
      <c r="E235" s="223"/>
      <c r="F235" s="223"/>
      <c r="G235" s="223"/>
      <c r="H235" s="223"/>
      <c r="I235" s="223"/>
      <c r="J235" s="223"/>
    </row>
    <row r="236" spans="1:10" x14ac:dyDescent="0.3">
      <c r="A236" s="223" t="s">
        <v>4412</v>
      </c>
      <c r="B236" s="223"/>
      <c r="C236" s="223"/>
      <c r="D236" s="223"/>
      <c r="E236" s="223"/>
      <c r="F236" s="223"/>
      <c r="G236" s="223"/>
      <c r="H236" s="223"/>
      <c r="I236" s="223"/>
      <c r="J236" s="223"/>
    </row>
    <row r="237" spans="1:10" x14ac:dyDescent="0.3">
      <c r="A237" s="223" t="s">
        <v>4413</v>
      </c>
      <c r="B237" s="223"/>
      <c r="C237" s="223"/>
      <c r="D237" s="223"/>
      <c r="E237" s="223"/>
      <c r="F237" s="223"/>
      <c r="G237" s="223"/>
      <c r="H237" s="223"/>
      <c r="I237" s="223"/>
      <c r="J237" s="223"/>
    </row>
    <row r="238" spans="1:10" x14ac:dyDescent="0.3">
      <c r="A238" s="223" t="s">
        <v>4414</v>
      </c>
      <c r="B238" s="223"/>
      <c r="C238" s="223"/>
      <c r="D238" s="223"/>
      <c r="E238" s="223"/>
      <c r="F238" s="223"/>
      <c r="G238" s="223"/>
      <c r="H238" s="223"/>
      <c r="I238" s="223"/>
      <c r="J238" s="223"/>
    </row>
    <row r="239" spans="1:10" x14ac:dyDescent="0.3">
      <c r="A239" s="223" t="s">
        <v>4415</v>
      </c>
      <c r="B239" s="223"/>
      <c r="C239" s="223"/>
      <c r="D239" s="223"/>
      <c r="E239" s="223"/>
      <c r="F239" s="223"/>
      <c r="G239" s="223"/>
      <c r="H239" s="223"/>
      <c r="I239" s="223"/>
      <c r="J239" s="223"/>
    </row>
    <row r="240" spans="1:10" x14ac:dyDescent="0.3">
      <c r="A240" s="223" t="s">
        <v>4416</v>
      </c>
      <c r="B240" s="223"/>
      <c r="C240" s="223"/>
      <c r="D240" s="223"/>
      <c r="E240" s="223"/>
      <c r="F240" s="223"/>
      <c r="G240" s="223"/>
      <c r="H240" s="223"/>
      <c r="I240" s="223"/>
      <c r="J240" s="223"/>
    </row>
    <row r="241" spans="1:10" x14ac:dyDescent="0.3">
      <c r="A241" s="223" t="s">
        <v>4417</v>
      </c>
      <c r="B241" s="223"/>
      <c r="C241" s="223"/>
      <c r="D241" s="223"/>
      <c r="E241" s="223"/>
      <c r="F241" s="223"/>
      <c r="G241" s="223"/>
      <c r="H241" s="223"/>
      <c r="I241" s="223"/>
      <c r="J241" s="223"/>
    </row>
    <row r="242" spans="1:10" x14ac:dyDescent="0.3">
      <c r="A242" s="223"/>
      <c r="B242" s="223"/>
      <c r="C242" s="223"/>
      <c r="D242" s="223"/>
      <c r="E242" s="223"/>
      <c r="F242" s="223"/>
      <c r="G242" s="223"/>
      <c r="H242" s="223"/>
      <c r="I242" s="223"/>
      <c r="J242" s="223"/>
    </row>
  </sheetData>
  <mergeCells count="2">
    <mergeCell ref="A194:J194"/>
    <mergeCell ref="A184:J18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E6EB-313F-462F-8C6F-138753095050}">
  <sheetPr>
    <tabColor theme="5"/>
  </sheetPr>
  <dimension ref="A1:K195"/>
  <sheetViews>
    <sheetView topLeftCell="A156" workbookViewId="0">
      <selection activeCell="H16" sqref="H16"/>
    </sheetView>
  </sheetViews>
  <sheetFormatPr defaultRowHeight="14.4" x14ac:dyDescent="0.3"/>
  <cols>
    <col min="1" max="1" width="37" customWidth="1"/>
    <col min="2" max="2" width="40.6640625" bestFit="1" customWidth="1"/>
    <col min="3" max="3" width="27.21875" bestFit="1" customWidth="1"/>
    <col min="4" max="4" width="30.44140625" bestFit="1" customWidth="1"/>
    <col min="5" max="5" width="23.21875" bestFit="1" customWidth="1"/>
    <col min="6" max="6" width="39.88671875" bestFit="1" customWidth="1"/>
    <col min="7" max="7" width="38.77734375" bestFit="1" customWidth="1"/>
    <col min="8" max="8" width="5.5546875" bestFit="1" customWidth="1"/>
    <col min="9" max="9" width="17.21875" bestFit="1" customWidth="1"/>
    <col min="10" max="11" width="10" bestFit="1" customWidth="1"/>
  </cols>
  <sheetData>
    <row r="1" spans="1:6" ht="23.4" x14ac:dyDescent="0.45">
      <c r="A1" s="8" t="s">
        <v>369</v>
      </c>
    </row>
    <row r="3" spans="1:6" x14ac:dyDescent="0.3">
      <c r="A3" s="1" t="s">
        <v>370</v>
      </c>
    </row>
    <row r="4" spans="1:6" x14ac:dyDescent="0.3">
      <c r="A4" t="s">
        <v>371</v>
      </c>
      <c r="B4" t="s">
        <v>372</v>
      </c>
    </row>
    <row r="5" spans="1:6" x14ac:dyDescent="0.3">
      <c r="A5" t="s">
        <v>373</v>
      </c>
      <c r="B5" t="s">
        <v>374</v>
      </c>
    </row>
    <row r="6" spans="1:6" x14ac:dyDescent="0.3">
      <c r="A6" t="s">
        <v>375</v>
      </c>
      <c r="B6" t="s">
        <v>376</v>
      </c>
    </row>
    <row r="7" spans="1:6" x14ac:dyDescent="0.3">
      <c r="A7" t="s">
        <v>377</v>
      </c>
      <c r="B7" t="s">
        <v>378</v>
      </c>
    </row>
    <row r="8" spans="1:6" x14ac:dyDescent="0.3">
      <c r="A8" t="s">
        <v>379</v>
      </c>
      <c r="B8" t="s">
        <v>380</v>
      </c>
    </row>
    <row r="10" spans="1:6" ht="18" x14ac:dyDescent="0.35">
      <c r="A10" s="396" t="s">
        <v>381</v>
      </c>
      <c r="B10" s="396"/>
      <c r="C10" s="396"/>
      <c r="D10" s="396"/>
      <c r="E10" s="396"/>
      <c r="F10" s="396"/>
    </row>
    <row r="11" spans="1:6" x14ac:dyDescent="0.3">
      <c r="A11" s="9" t="s">
        <v>382</v>
      </c>
      <c r="B11" s="9" t="s">
        <v>1</v>
      </c>
      <c r="C11" s="9" t="s">
        <v>383</v>
      </c>
      <c r="D11" s="9" t="s">
        <v>384</v>
      </c>
      <c r="E11" s="9" t="s">
        <v>385</v>
      </c>
      <c r="F11" s="9" t="s">
        <v>386</v>
      </c>
    </row>
    <row r="12" spans="1:6" x14ac:dyDescent="0.3">
      <c r="A12" t="s">
        <v>387</v>
      </c>
      <c r="B12" t="s">
        <v>388</v>
      </c>
      <c r="C12" t="s">
        <v>389</v>
      </c>
      <c r="D12" t="s">
        <v>390</v>
      </c>
      <c r="E12" t="s">
        <v>391</v>
      </c>
      <c r="F12" t="s">
        <v>392</v>
      </c>
    </row>
    <row r="13" spans="1:6" x14ac:dyDescent="0.3">
      <c r="A13" t="s">
        <v>73</v>
      </c>
      <c r="B13" t="s">
        <v>10</v>
      </c>
      <c r="C13" t="s">
        <v>393</v>
      </c>
      <c r="D13" t="s">
        <v>394</v>
      </c>
      <c r="E13" t="s">
        <v>391</v>
      </c>
      <c r="F13" t="s">
        <v>395</v>
      </c>
    </row>
    <row r="14" spans="1:6" x14ac:dyDescent="0.3">
      <c r="A14" t="s">
        <v>63</v>
      </c>
      <c r="B14" t="s">
        <v>9</v>
      </c>
      <c r="C14" t="s">
        <v>396</v>
      </c>
      <c r="D14" t="s">
        <v>390</v>
      </c>
      <c r="E14" t="s">
        <v>391</v>
      </c>
      <c r="F14" t="s">
        <v>397</v>
      </c>
    </row>
    <row r="15" spans="1:6" x14ac:dyDescent="0.3">
      <c r="A15" t="s">
        <v>398</v>
      </c>
      <c r="B15" t="s">
        <v>7</v>
      </c>
      <c r="C15" t="s">
        <v>399</v>
      </c>
      <c r="D15" t="s">
        <v>400</v>
      </c>
      <c r="E15" t="s">
        <v>391</v>
      </c>
      <c r="F15" t="s">
        <v>401</v>
      </c>
    </row>
    <row r="18" spans="1:9" ht="18" x14ac:dyDescent="0.35">
      <c r="A18" s="397" t="s">
        <v>402</v>
      </c>
      <c r="B18" s="397"/>
      <c r="C18" s="397"/>
      <c r="D18" s="397"/>
      <c r="E18" s="397"/>
      <c r="F18" s="397"/>
      <c r="G18" s="397"/>
      <c r="H18" s="397"/>
      <c r="I18" s="397"/>
    </row>
    <row r="19" spans="1:9" x14ac:dyDescent="0.3">
      <c r="A19" s="10" t="s">
        <v>403</v>
      </c>
      <c r="B19" s="10" t="s">
        <v>5</v>
      </c>
      <c r="C19" s="10" t="s">
        <v>10</v>
      </c>
      <c r="D19" s="10" t="s">
        <v>9</v>
      </c>
      <c r="E19" s="10" t="s">
        <v>7</v>
      </c>
      <c r="F19" s="10" t="s">
        <v>8</v>
      </c>
      <c r="G19" s="10" t="s">
        <v>6</v>
      </c>
      <c r="H19" s="10" t="s">
        <v>11</v>
      </c>
      <c r="I19" s="10" t="s">
        <v>12</v>
      </c>
    </row>
    <row r="20" spans="1:9" x14ac:dyDescent="0.3">
      <c r="A20" s="10" t="s">
        <v>5</v>
      </c>
      <c r="B20" s="5" t="s">
        <v>404</v>
      </c>
      <c r="C20" s="5" t="s">
        <v>405</v>
      </c>
      <c r="D20" s="5" t="s">
        <v>405</v>
      </c>
      <c r="E20" s="5" t="s">
        <v>405</v>
      </c>
      <c r="F20" s="5" t="s">
        <v>405</v>
      </c>
      <c r="G20" s="5" t="s">
        <v>405</v>
      </c>
      <c r="H20" s="5" t="s">
        <v>405</v>
      </c>
      <c r="I20" s="5" t="s">
        <v>406</v>
      </c>
    </row>
    <row r="21" spans="1:9" x14ac:dyDescent="0.3">
      <c r="A21" s="10" t="s">
        <v>10</v>
      </c>
      <c r="B21" s="5" t="s">
        <v>405</v>
      </c>
      <c r="C21" s="5" t="s">
        <v>404</v>
      </c>
      <c r="D21" s="5" t="s">
        <v>405</v>
      </c>
      <c r="E21" s="5" t="s">
        <v>406</v>
      </c>
      <c r="F21" s="5" t="s">
        <v>406</v>
      </c>
      <c r="G21" s="5" t="s">
        <v>406</v>
      </c>
      <c r="H21" s="5" t="s">
        <v>405</v>
      </c>
      <c r="I21" s="5" t="s">
        <v>405</v>
      </c>
    </row>
    <row r="22" spans="1:9" x14ac:dyDescent="0.3">
      <c r="A22" s="10" t="s">
        <v>9</v>
      </c>
      <c r="B22" s="5" t="s">
        <v>405</v>
      </c>
      <c r="C22" s="5" t="s">
        <v>405</v>
      </c>
      <c r="D22" s="5" t="s">
        <v>404</v>
      </c>
      <c r="E22" s="5" t="s">
        <v>405</v>
      </c>
      <c r="F22" s="5" t="s">
        <v>405</v>
      </c>
      <c r="G22" s="5" t="s">
        <v>405</v>
      </c>
      <c r="H22" s="5" t="s">
        <v>405</v>
      </c>
      <c r="I22" s="5" t="s">
        <v>405</v>
      </c>
    </row>
    <row r="23" spans="1:9" x14ac:dyDescent="0.3">
      <c r="A23" s="10" t="s">
        <v>7</v>
      </c>
      <c r="B23" s="5" t="s">
        <v>405</v>
      </c>
      <c r="C23" s="5" t="s">
        <v>406</v>
      </c>
      <c r="D23" s="5" t="s">
        <v>405</v>
      </c>
      <c r="E23" s="5" t="s">
        <v>404</v>
      </c>
      <c r="F23" s="5" t="s">
        <v>405</v>
      </c>
      <c r="G23" s="5" t="s">
        <v>405</v>
      </c>
      <c r="H23" s="5" t="s">
        <v>405</v>
      </c>
      <c r="I23" s="5" t="s">
        <v>406</v>
      </c>
    </row>
    <row r="24" spans="1:9" x14ac:dyDescent="0.3">
      <c r="A24" s="10" t="s">
        <v>8</v>
      </c>
      <c r="B24" s="5" t="s">
        <v>405</v>
      </c>
      <c r="C24" s="5" t="s">
        <v>406</v>
      </c>
      <c r="D24" s="5" t="s">
        <v>405</v>
      </c>
      <c r="E24" s="5" t="s">
        <v>405</v>
      </c>
      <c r="F24" s="5" t="s">
        <v>404</v>
      </c>
      <c r="G24" s="5" t="s">
        <v>405</v>
      </c>
      <c r="H24" s="5" t="s">
        <v>406</v>
      </c>
      <c r="I24" s="5" t="s">
        <v>406</v>
      </c>
    </row>
    <row r="25" spans="1:9" x14ac:dyDescent="0.3">
      <c r="A25" s="10" t="s">
        <v>6</v>
      </c>
      <c r="B25" s="5" t="s">
        <v>405</v>
      </c>
      <c r="C25" s="5" t="s">
        <v>406</v>
      </c>
      <c r="D25" s="5" t="s">
        <v>405</v>
      </c>
      <c r="E25" s="5" t="s">
        <v>405</v>
      </c>
      <c r="F25" s="5" t="s">
        <v>405</v>
      </c>
      <c r="G25" s="5" t="s">
        <v>404</v>
      </c>
      <c r="H25" s="5" t="s">
        <v>406</v>
      </c>
      <c r="I25" s="5" t="s">
        <v>406</v>
      </c>
    </row>
    <row r="26" spans="1:9" x14ac:dyDescent="0.3">
      <c r="A26" s="10" t="s">
        <v>11</v>
      </c>
      <c r="B26" s="5" t="s">
        <v>405</v>
      </c>
      <c r="C26" s="5" t="s">
        <v>405</v>
      </c>
      <c r="D26" s="5" t="s">
        <v>405</v>
      </c>
      <c r="E26" s="5" t="s">
        <v>405</v>
      </c>
      <c r="F26" s="5" t="s">
        <v>406</v>
      </c>
      <c r="G26" s="5" t="s">
        <v>406</v>
      </c>
      <c r="H26" s="5" t="s">
        <v>404</v>
      </c>
      <c r="I26" s="5" t="s">
        <v>405</v>
      </c>
    </row>
    <row r="27" spans="1:9" x14ac:dyDescent="0.3">
      <c r="A27" s="10" t="s">
        <v>12</v>
      </c>
      <c r="B27" s="5" t="s">
        <v>406</v>
      </c>
      <c r="C27" s="5" t="s">
        <v>405</v>
      </c>
      <c r="D27" s="5" t="s">
        <v>405</v>
      </c>
      <c r="E27" s="5" t="s">
        <v>406</v>
      </c>
      <c r="F27" s="5" t="s">
        <v>406</v>
      </c>
      <c r="G27" s="5" t="s">
        <v>406</v>
      </c>
      <c r="H27" s="5" t="s">
        <v>405</v>
      </c>
      <c r="I27" s="5" t="s">
        <v>404</v>
      </c>
    </row>
    <row r="29" spans="1:9" x14ac:dyDescent="0.3">
      <c r="A29" s="1" t="s">
        <v>407</v>
      </c>
      <c r="B29" t="s">
        <v>408</v>
      </c>
    </row>
    <row r="30" spans="1:9" x14ac:dyDescent="0.3">
      <c r="A30" s="1" t="s">
        <v>409</v>
      </c>
      <c r="B30" t="s">
        <v>410</v>
      </c>
    </row>
    <row r="33" spans="1:7" ht="18" x14ac:dyDescent="0.35">
      <c r="A33" s="398" t="s">
        <v>411</v>
      </c>
      <c r="B33" s="398"/>
      <c r="C33" s="398"/>
      <c r="D33" s="398"/>
      <c r="E33" s="398"/>
      <c r="F33" s="398"/>
      <c r="G33" s="398"/>
    </row>
    <row r="34" spans="1:7" x14ac:dyDescent="0.3">
      <c r="A34" s="11" t="s">
        <v>412</v>
      </c>
      <c r="B34" s="11" t="s">
        <v>413</v>
      </c>
      <c r="C34" s="11" t="s">
        <v>414</v>
      </c>
      <c r="D34" s="11" t="s">
        <v>415</v>
      </c>
      <c r="E34" s="11" t="s">
        <v>416</v>
      </c>
      <c r="F34" s="11" t="s">
        <v>417</v>
      </c>
      <c r="G34" s="11" t="s">
        <v>418</v>
      </c>
    </row>
    <row r="35" spans="1:7" x14ac:dyDescent="0.3">
      <c r="A35" s="5" t="s">
        <v>419</v>
      </c>
      <c r="B35" s="5" t="s">
        <v>398</v>
      </c>
      <c r="C35" s="5" t="s">
        <v>420</v>
      </c>
      <c r="D35" s="5" t="s">
        <v>421</v>
      </c>
      <c r="E35" s="5" t="s">
        <v>422</v>
      </c>
      <c r="F35" s="5" t="s">
        <v>423</v>
      </c>
      <c r="G35" s="5" t="s">
        <v>424</v>
      </c>
    </row>
    <row r="36" spans="1:7" x14ac:dyDescent="0.3">
      <c r="A36" s="5" t="s">
        <v>425</v>
      </c>
      <c r="B36" s="5" t="s">
        <v>420</v>
      </c>
      <c r="C36" s="5" t="s">
        <v>73</v>
      </c>
      <c r="D36" s="5" t="s">
        <v>426</v>
      </c>
      <c r="E36" s="5" t="s">
        <v>427</v>
      </c>
      <c r="F36" s="5" t="s">
        <v>428</v>
      </c>
      <c r="G36" s="5" t="s">
        <v>429</v>
      </c>
    </row>
    <row r="37" spans="1:7" x14ac:dyDescent="0.3">
      <c r="A37" s="5" t="s">
        <v>430</v>
      </c>
      <c r="B37" s="5" t="s">
        <v>73</v>
      </c>
      <c r="C37" s="5" t="s">
        <v>431</v>
      </c>
      <c r="D37" s="5" t="s">
        <v>432</v>
      </c>
      <c r="E37" s="5" t="s">
        <v>422</v>
      </c>
      <c r="F37" s="5" t="s">
        <v>433</v>
      </c>
      <c r="G37" s="5" t="s">
        <v>434</v>
      </c>
    </row>
    <row r="38" spans="1:7" x14ac:dyDescent="0.3">
      <c r="A38" s="5" t="s">
        <v>435</v>
      </c>
      <c r="B38" s="5" t="s">
        <v>436</v>
      </c>
      <c r="C38" s="5" t="s">
        <v>35</v>
      </c>
      <c r="D38" s="5" t="s">
        <v>437</v>
      </c>
      <c r="E38" s="5" t="s">
        <v>438</v>
      </c>
      <c r="F38" s="5" t="s">
        <v>439</v>
      </c>
      <c r="G38" s="5" t="s">
        <v>440</v>
      </c>
    </row>
    <row r="39" spans="1:7" x14ac:dyDescent="0.3">
      <c r="A39" s="5" t="s">
        <v>441</v>
      </c>
      <c r="B39" s="5" t="s">
        <v>35</v>
      </c>
      <c r="C39" s="5" t="s">
        <v>442</v>
      </c>
      <c r="D39" s="5" t="s">
        <v>443</v>
      </c>
      <c r="E39" s="5" t="s">
        <v>422</v>
      </c>
      <c r="F39" s="5" t="s">
        <v>444</v>
      </c>
      <c r="G39" s="5" t="s">
        <v>445</v>
      </c>
    </row>
    <row r="40" spans="1:7" x14ac:dyDescent="0.3">
      <c r="A40" s="5" t="s">
        <v>446</v>
      </c>
      <c r="B40" s="5" t="s">
        <v>63</v>
      </c>
      <c r="C40" s="5" t="s">
        <v>95</v>
      </c>
      <c r="D40" s="5" t="s">
        <v>443</v>
      </c>
      <c r="E40" s="5" t="s">
        <v>422</v>
      </c>
      <c r="F40" s="5" t="s">
        <v>447</v>
      </c>
      <c r="G40" s="5" t="s">
        <v>448</v>
      </c>
    </row>
    <row r="41" spans="1:7" x14ac:dyDescent="0.3">
      <c r="A41" s="5" t="s">
        <v>449</v>
      </c>
      <c r="B41" s="5" t="s">
        <v>450</v>
      </c>
      <c r="C41" s="5" t="s">
        <v>96</v>
      </c>
      <c r="D41" s="5" t="s">
        <v>443</v>
      </c>
      <c r="E41" s="5" t="s">
        <v>422</v>
      </c>
      <c r="F41" s="5" t="s">
        <v>451</v>
      </c>
      <c r="G41" s="5" t="s">
        <v>452</v>
      </c>
    </row>
    <row r="42" spans="1:7" x14ac:dyDescent="0.3">
      <c r="A42" s="5" t="s">
        <v>453</v>
      </c>
      <c r="B42" s="5" t="s">
        <v>88</v>
      </c>
      <c r="C42" s="5" t="s">
        <v>420</v>
      </c>
      <c r="D42" s="5" t="s">
        <v>443</v>
      </c>
      <c r="E42" s="5" t="s">
        <v>454</v>
      </c>
      <c r="F42" s="5" t="s">
        <v>455</v>
      </c>
      <c r="G42" s="5" t="s">
        <v>456</v>
      </c>
    </row>
    <row r="43" spans="1:7" x14ac:dyDescent="0.3">
      <c r="A43" s="5" t="s">
        <v>457</v>
      </c>
      <c r="B43" s="5" t="s">
        <v>14</v>
      </c>
      <c r="C43" s="5" t="s">
        <v>420</v>
      </c>
      <c r="D43" s="5" t="s">
        <v>458</v>
      </c>
      <c r="E43" s="5" t="s">
        <v>427</v>
      </c>
      <c r="F43" s="5" t="s">
        <v>459</v>
      </c>
      <c r="G43" s="5" t="s">
        <v>460</v>
      </c>
    </row>
    <row r="44" spans="1:7" x14ac:dyDescent="0.3">
      <c r="A44" s="5" t="s">
        <v>461</v>
      </c>
      <c r="B44" s="5" t="s">
        <v>462</v>
      </c>
      <c r="C44" s="5" t="s">
        <v>463</v>
      </c>
      <c r="D44" s="5" t="s">
        <v>458</v>
      </c>
      <c r="E44" s="5" t="s">
        <v>464</v>
      </c>
      <c r="F44" s="5" t="s">
        <v>465</v>
      </c>
      <c r="G44" s="5" t="s">
        <v>466</v>
      </c>
    </row>
    <row r="45" spans="1:7" x14ac:dyDescent="0.3">
      <c r="A45" s="5" t="s">
        <v>467</v>
      </c>
      <c r="B45" s="5" t="s">
        <v>398</v>
      </c>
      <c r="C45" s="5" t="s">
        <v>51</v>
      </c>
      <c r="D45" s="5" t="s">
        <v>443</v>
      </c>
      <c r="E45" s="5" t="s">
        <v>422</v>
      </c>
      <c r="F45" s="5" t="s">
        <v>468</v>
      </c>
      <c r="G45" s="5" t="s">
        <v>469</v>
      </c>
    </row>
    <row r="46" spans="1:7" x14ac:dyDescent="0.3">
      <c r="A46" s="5" t="s">
        <v>470</v>
      </c>
      <c r="B46" s="5" t="s">
        <v>420</v>
      </c>
      <c r="C46" s="5" t="s">
        <v>24</v>
      </c>
      <c r="D46" s="5" t="s">
        <v>458</v>
      </c>
      <c r="E46" s="5" t="s">
        <v>427</v>
      </c>
      <c r="F46" s="5" t="s">
        <v>471</v>
      </c>
      <c r="G46" s="5" t="s">
        <v>472</v>
      </c>
    </row>
    <row r="47" spans="1:7" x14ac:dyDescent="0.3">
      <c r="A47" s="5" t="s">
        <v>473</v>
      </c>
      <c r="B47" s="5" t="s">
        <v>474</v>
      </c>
      <c r="C47" s="5" t="s">
        <v>98</v>
      </c>
      <c r="D47" s="5" t="s">
        <v>443</v>
      </c>
      <c r="E47" s="5" t="s">
        <v>422</v>
      </c>
      <c r="F47" s="5" t="s">
        <v>475</v>
      </c>
      <c r="G47" s="5" t="s">
        <v>476</v>
      </c>
    </row>
    <row r="48" spans="1:7" x14ac:dyDescent="0.3">
      <c r="A48" s="5" t="s">
        <v>477</v>
      </c>
      <c r="B48" s="5" t="s">
        <v>478</v>
      </c>
      <c r="C48" s="5" t="s">
        <v>479</v>
      </c>
      <c r="D48" s="5" t="s">
        <v>443</v>
      </c>
      <c r="E48" s="5" t="s">
        <v>427</v>
      </c>
      <c r="F48" s="5" t="s">
        <v>480</v>
      </c>
      <c r="G48" s="5" t="s">
        <v>481</v>
      </c>
    </row>
    <row r="49" spans="1:11" x14ac:dyDescent="0.3">
      <c r="A49" s="5" t="s">
        <v>482</v>
      </c>
      <c r="B49" s="5" t="s">
        <v>21</v>
      </c>
      <c r="C49" s="5" t="s">
        <v>420</v>
      </c>
      <c r="D49" s="5" t="s">
        <v>443</v>
      </c>
      <c r="E49" s="5" t="s">
        <v>427</v>
      </c>
      <c r="F49" s="5" t="s">
        <v>483</v>
      </c>
      <c r="G49" s="5" t="s">
        <v>484</v>
      </c>
    </row>
    <row r="52" spans="1:11" ht="18" x14ac:dyDescent="0.35">
      <c r="A52" s="399" t="s">
        <v>485</v>
      </c>
      <c r="B52" s="399"/>
      <c r="C52" s="399"/>
      <c r="D52" s="399"/>
      <c r="E52" s="399"/>
      <c r="F52" s="399"/>
      <c r="G52" s="399"/>
      <c r="H52" s="399"/>
      <c r="I52" s="399"/>
      <c r="J52" s="399"/>
      <c r="K52" s="399"/>
    </row>
    <row r="53" spans="1:11" x14ac:dyDescent="0.3">
      <c r="A53" s="339"/>
      <c r="B53" s="339"/>
      <c r="C53" s="339"/>
      <c r="D53" s="339"/>
      <c r="E53" s="339"/>
      <c r="F53" s="339"/>
      <c r="G53" s="339"/>
      <c r="H53" s="339"/>
      <c r="I53" s="339"/>
      <c r="J53" s="339"/>
      <c r="K53" s="339"/>
    </row>
    <row r="54" spans="1:11" x14ac:dyDescent="0.3">
      <c r="A54" s="395" t="s">
        <v>588</v>
      </c>
      <c r="B54" s="395"/>
      <c r="C54" s="395"/>
      <c r="D54" s="395"/>
      <c r="E54" s="395"/>
      <c r="F54" s="395"/>
      <c r="G54" s="395"/>
      <c r="H54" s="395"/>
      <c r="I54" s="395"/>
      <c r="J54" s="395"/>
      <c r="K54" s="395"/>
    </row>
    <row r="55" spans="1:11" x14ac:dyDescent="0.3">
      <c r="A55" s="395" t="s">
        <v>589</v>
      </c>
      <c r="B55" s="395"/>
      <c r="C55" s="395"/>
      <c r="D55" s="395"/>
      <c r="E55" s="395"/>
      <c r="F55" s="395"/>
      <c r="G55" s="395"/>
      <c r="H55" s="395"/>
      <c r="I55" s="395"/>
      <c r="J55" s="395"/>
      <c r="K55" s="395"/>
    </row>
    <row r="56" spans="1:11" x14ac:dyDescent="0.3">
      <c r="A56" s="395" t="s">
        <v>590</v>
      </c>
      <c r="B56" s="395"/>
      <c r="C56" s="395"/>
      <c r="D56" s="395"/>
      <c r="E56" s="395"/>
      <c r="F56" s="395"/>
      <c r="G56" s="395"/>
      <c r="H56" s="395"/>
      <c r="I56" s="395"/>
      <c r="J56" s="395"/>
      <c r="K56" s="395"/>
    </row>
    <row r="57" spans="1:11" x14ac:dyDescent="0.3">
      <c r="A57" s="395" t="s">
        <v>591</v>
      </c>
      <c r="B57" s="395"/>
      <c r="C57" s="395"/>
      <c r="D57" s="395"/>
      <c r="E57" s="395"/>
      <c r="F57" s="395"/>
      <c r="G57" s="395"/>
      <c r="H57" s="395"/>
      <c r="I57" s="395"/>
      <c r="J57" s="395"/>
      <c r="K57" s="395"/>
    </row>
    <row r="58" spans="1:11" x14ac:dyDescent="0.3">
      <c r="A58" s="395" t="s">
        <v>592</v>
      </c>
      <c r="B58" s="395"/>
      <c r="C58" s="395"/>
      <c r="D58" s="395"/>
      <c r="E58" s="395"/>
      <c r="F58" s="395"/>
      <c r="G58" s="395"/>
      <c r="H58" s="395"/>
      <c r="I58" s="395"/>
      <c r="J58" s="395"/>
      <c r="K58" s="395"/>
    </row>
    <row r="59" spans="1:11" x14ac:dyDescent="0.3">
      <c r="A59" s="395" t="s">
        <v>593</v>
      </c>
      <c r="B59" s="395"/>
      <c r="C59" s="395"/>
      <c r="D59" s="395"/>
      <c r="E59" s="395"/>
      <c r="F59" s="395"/>
      <c r="G59" s="395"/>
      <c r="H59" s="395"/>
      <c r="I59" s="395"/>
      <c r="J59" s="395"/>
      <c r="K59" s="395"/>
    </row>
    <row r="60" spans="1:11" x14ac:dyDescent="0.3">
      <c r="A60" s="395" t="s">
        <v>594</v>
      </c>
      <c r="B60" s="395"/>
      <c r="C60" s="395"/>
      <c r="D60" s="395"/>
      <c r="E60" s="395"/>
      <c r="F60" s="395"/>
      <c r="G60" s="395"/>
      <c r="H60" s="395"/>
      <c r="I60" s="395"/>
      <c r="J60" s="395"/>
      <c r="K60" s="395"/>
    </row>
    <row r="61" spans="1:11" x14ac:dyDescent="0.3">
      <c r="A61" s="395" t="s">
        <v>595</v>
      </c>
      <c r="B61" s="395"/>
      <c r="C61" s="395"/>
      <c r="D61" s="395"/>
      <c r="E61" s="395"/>
      <c r="F61" s="395"/>
      <c r="G61" s="395"/>
      <c r="H61" s="395"/>
      <c r="I61" s="395"/>
      <c r="J61" s="395"/>
      <c r="K61" s="395"/>
    </row>
    <row r="62" spans="1:11" x14ac:dyDescent="0.3">
      <c r="A62" s="395" t="s">
        <v>596</v>
      </c>
      <c r="B62" s="395"/>
      <c r="C62" s="395"/>
      <c r="D62" s="395"/>
      <c r="E62" s="395"/>
      <c r="F62" s="395"/>
      <c r="G62" s="395"/>
      <c r="H62" s="395"/>
      <c r="I62" s="395"/>
      <c r="J62" s="395"/>
      <c r="K62" s="395"/>
    </row>
    <row r="63" spans="1:11" x14ac:dyDescent="0.3">
      <c r="A63" s="395" t="s">
        <v>597</v>
      </c>
      <c r="B63" s="395"/>
      <c r="C63" s="395"/>
      <c r="D63" s="395"/>
      <c r="E63" s="395"/>
      <c r="F63" s="395"/>
      <c r="G63" s="395"/>
      <c r="H63" s="395"/>
      <c r="I63" s="395"/>
      <c r="J63" s="395"/>
      <c r="K63" s="395"/>
    </row>
    <row r="64" spans="1:11" x14ac:dyDescent="0.3">
      <c r="A64" s="395" t="s">
        <v>598</v>
      </c>
      <c r="B64" s="395"/>
      <c r="C64" s="395"/>
      <c r="D64" s="395"/>
      <c r="E64" s="395"/>
      <c r="F64" s="395"/>
      <c r="G64" s="395"/>
      <c r="H64" s="395"/>
      <c r="I64" s="395"/>
      <c r="J64" s="395"/>
      <c r="K64" s="395"/>
    </row>
    <row r="65" spans="1:11" x14ac:dyDescent="0.3">
      <c r="A65" s="395" t="s">
        <v>599</v>
      </c>
      <c r="B65" s="395"/>
      <c r="C65" s="395"/>
      <c r="D65" s="395"/>
      <c r="E65" s="395"/>
      <c r="F65" s="395"/>
      <c r="G65" s="395"/>
      <c r="H65" s="395"/>
      <c r="I65" s="395"/>
      <c r="J65" s="395"/>
      <c r="K65" s="395"/>
    </row>
    <row r="66" spans="1:11" x14ac:dyDescent="0.3">
      <c r="A66" s="395" t="s">
        <v>600</v>
      </c>
      <c r="B66" s="395"/>
      <c r="C66" s="395"/>
      <c r="D66" s="395"/>
      <c r="E66" s="395"/>
      <c r="F66" s="395"/>
      <c r="G66" s="395"/>
      <c r="H66" s="395"/>
      <c r="I66" s="395"/>
      <c r="J66" s="395"/>
      <c r="K66" s="395"/>
    </row>
    <row r="67" spans="1:11" x14ac:dyDescent="0.3">
      <c r="A67" s="395" t="s">
        <v>601</v>
      </c>
      <c r="B67" s="395"/>
      <c r="C67" s="395"/>
      <c r="D67" s="395"/>
      <c r="E67" s="395"/>
      <c r="F67" s="395"/>
      <c r="G67" s="395"/>
      <c r="H67" s="395"/>
      <c r="I67" s="395"/>
      <c r="J67" s="395"/>
      <c r="K67" s="395"/>
    </row>
    <row r="68" spans="1:11" x14ac:dyDescent="0.3">
      <c r="A68" s="395" t="s">
        <v>602</v>
      </c>
      <c r="B68" s="395"/>
      <c r="C68" s="395"/>
      <c r="D68" s="395"/>
      <c r="E68" s="395"/>
      <c r="F68" s="395"/>
      <c r="G68" s="395"/>
      <c r="H68" s="395"/>
      <c r="I68" s="395"/>
      <c r="J68" s="395"/>
      <c r="K68" s="395"/>
    </row>
    <row r="69" spans="1:11" x14ac:dyDescent="0.3">
      <c r="A69" s="395" t="s">
        <v>603</v>
      </c>
      <c r="B69" s="395"/>
      <c r="C69" s="395"/>
      <c r="D69" s="395"/>
      <c r="E69" s="395"/>
      <c r="F69" s="395"/>
      <c r="G69" s="395"/>
      <c r="H69" s="395"/>
      <c r="I69" s="395"/>
      <c r="J69" s="395"/>
      <c r="K69" s="395"/>
    </row>
    <row r="70" spans="1:11" x14ac:dyDescent="0.3">
      <c r="A70" s="395" t="s">
        <v>602</v>
      </c>
      <c r="B70" s="395"/>
      <c r="C70" s="395"/>
      <c r="D70" s="395"/>
      <c r="E70" s="395"/>
      <c r="F70" s="395"/>
      <c r="G70" s="395"/>
      <c r="H70" s="395"/>
      <c r="I70" s="395"/>
      <c r="J70" s="395"/>
      <c r="K70" s="395"/>
    </row>
    <row r="71" spans="1:11" x14ac:dyDescent="0.3">
      <c r="A71" s="395" t="s">
        <v>604</v>
      </c>
      <c r="B71" s="395"/>
      <c r="C71" s="395"/>
      <c r="D71" s="395"/>
      <c r="E71" s="395"/>
      <c r="F71" s="395"/>
      <c r="G71" s="395"/>
      <c r="H71" s="395"/>
      <c r="I71" s="395"/>
      <c r="J71" s="395"/>
      <c r="K71" s="395"/>
    </row>
    <row r="72" spans="1:11" x14ac:dyDescent="0.3">
      <c r="A72" s="395" t="s">
        <v>605</v>
      </c>
      <c r="B72" s="395"/>
      <c r="C72" s="395"/>
      <c r="D72" s="395"/>
      <c r="E72" s="395"/>
      <c r="F72" s="395"/>
      <c r="G72" s="395"/>
      <c r="H72" s="395"/>
      <c r="I72" s="395"/>
      <c r="J72" s="395"/>
      <c r="K72" s="395"/>
    </row>
    <row r="73" spans="1:11" x14ac:dyDescent="0.3">
      <c r="A73" s="395" t="s">
        <v>606</v>
      </c>
      <c r="B73" s="395"/>
      <c r="C73" s="395"/>
      <c r="D73" s="395"/>
      <c r="E73" s="395"/>
      <c r="F73" s="395"/>
      <c r="G73" s="395"/>
      <c r="H73" s="395"/>
      <c r="I73" s="395"/>
      <c r="J73" s="395"/>
      <c r="K73" s="395"/>
    </row>
    <row r="74" spans="1:11" x14ac:dyDescent="0.3">
      <c r="A74" s="395" t="s">
        <v>607</v>
      </c>
      <c r="B74" s="395"/>
      <c r="C74" s="395"/>
      <c r="D74" s="395"/>
      <c r="E74" s="395"/>
      <c r="F74" s="395"/>
      <c r="G74" s="395"/>
      <c r="H74" s="395"/>
      <c r="I74" s="395"/>
      <c r="J74" s="395"/>
      <c r="K74" s="395"/>
    </row>
    <row r="75" spans="1:11" x14ac:dyDescent="0.3">
      <c r="A75" s="395" t="s">
        <v>608</v>
      </c>
      <c r="B75" s="395"/>
      <c r="C75" s="395"/>
      <c r="D75" s="395"/>
      <c r="E75" s="395"/>
      <c r="F75" s="395"/>
      <c r="G75" s="395"/>
      <c r="H75" s="395"/>
      <c r="I75" s="395"/>
      <c r="J75" s="395"/>
      <c r="K75" s="395"/>
    </row>
    <row r="76" spans="1:11" x14ac:dyDescent="0.3">
      <c r="A76" s="395" t="s">
        <v>609</v>
      </c>
      <c r="B76" s="395"/>
      <c r="C76" s="395"/>
      <c r="D76" s="395"/>
      <c r="E76" s="395"/>
      <c r="F76" s="395"/>
      <c r="G76" s="395"/>
      <c r="H76" s="395"/>
      <c r="I76" s="395"/>
      <c r="J76" s="395"/>
      <c r="K76" s="395"/>
    </row>
    <row r="77" spans="1:11" x14ac:dyDescent="0.3">
      <c r="A77" s="395" t="s">
        <v>610</v>
      </c>
      <c r="B77" s="395"/>
      <c r="C77" s="395"/>
      <c r="D77" s="395"/>
      <c r="E77" s="395"/>
      <c r="F77" s="395"/>
      <c r="G77" s="395"/>
      <c r="H77" s="395"/>
      <c r="I77" s="395"/>
      <c r="J77" s="395"/>
      <c r="K77" s="395"/>
    </row>
    <row r="78" spans="1:11" x14ac:dyDescent="0.3">
      <c r="A78" s="395" t="s">
        <v>611</v>
      </c>
      <c r="B78" s="395"/>
      <c r="C78" s="395"/>
      <c r="D78" s="395"/>
      <c r="E78" s="395"/>
      <c r="F78" s="395"/>
      <c r="G78" s="395"/>
      <c r="H78" s="395"/>
      <c r="I78" s="395"/>
      <c r="J78" s="395"/>
      <c r="K78" s="395"/>
    </row>
    <row r="79" spans="1:11" x14ac:dyDescent="0.3">
      <c r="A79" s="395" t="s">
        <v>612</v>
      </c>
      <c r="B79" s="395"/>
      <c r="C79" s="395"/>
      <c r="D79" s="395"/>
      <c r="E79" s="395"/>
      <c r="F79" s="395"/>
      <c r="G79" s="395"/>
      <c r="H79" s="395"/>
      <c r="I79" s="395"/>
      <c r="J79" s="395"/>
      <c r="K79" s="395"/>
    </row>
    <row r="80" spans="1:11" x14ac:dyDescent="0.3">
      <c r="A80" s="395" t="s">
        <v>613</v>
      </c>
      <c r="B80" s="395"/>
      <c r="C80" s="395"/>
      <c r="D80" s="395"/>
      <c r="E80" s="395"/>
      <c r="F80" s="395"/>
      <c r="G80" s="395"/>
      <c r="H80" s="395"/>
      <c r="I80" s="395"/>
      <c r="J80" s="395"/>
      <c r="K80" s="395"/>
    </row>
    <row r="81" spans="1:11" x14ac:dyDescent="0.3">
      <c r="A81" s="395" t="s">
        <v>614</v>
      </c>
      <c r="B81" s="395"/>
      <c r="C81" s="395"/>
      <c r="D81" s="395"/>
      <c r="E81" s="395"/>
      <c r="F81" s="395"/>
      <c r="G81" s="395"/>
      <c r="H81" s="395"/>
      <c r="I81" s="395"/>
      <c r="J81" s="395"/>
      <c r="K81" s="395"/>
    </row>
    <row r="82" spans="1:11" ht="18" customHeight="1" x14ac:dyDescent="0.3">
      <c r="A82" s="395" t="s">
        <v>615</v>
      </c>
      <c r="B82" s="395"/>
      <c r="C82" s="395"/>
      <c r="D82" s="395"/>
      <c r="E82" s="395"/>
      <c r="F82" s="395"/>
      <c r="G82" s="395"/>
      <c r="H82" s="395"/>
      <c r="I82" s="395"/>
      <c r="J82" s="395"/>
      <c r="K82" s="395"/>
    </row>
    <row r="83" spans="1:11" x14ac:dyDescent="0.3">
      <c r="A83" s="395" t="s">
        <v>616</v>
      </c>
      <c r="B83" s="395"/>
      <c r="C83" s="395"/>
      <c r="D83" s="395"/>
      <c r="E83" s="395"/>
      <c r="F83" s="395"/>
      <c r="G83" s="395"/>
      <c r="H83" s="395"/>
      <c r="I83" s="395"/>
      <c r="J83" s="395"/>
      <c r="K83" s="395"/>
    </row>
    <row r="84" spans="1:11" x14ac:dyDescent="0.3">
      <c r="A84" s="401"/>
      <c r="B84" s="339"/>
      <c r="C84" s="339"/>
      <c r="D84" s="339"/>
      <c r="E84" s="339"/>
      <c r="F84" s="339"/>
      <c r="G84" s="339"/>
      <c r="H84" s="339"/>
      <c r="I84" s="339"/>
      <c r="J84" s="339"/>
      <c r="K84" s="339"/>
    </row>
    <row r="85" spans="1:11" x14ac:dyDescent="0.3">
      <c r="A85" s="400" t="s">
        <v>617</v>
      </c>
      <c r="B85" s="395"/>
      <c r="C85" s="395"/>
      <c r="D85" s="395"/>
      <c r="E85" s="395"/>
      <c r="F85" s="395"/>
      <c r="G85" s="395"/>
      <c r="H85" s="395"/>
      <c r="I85" s="395"/>
      <c r="J85" s="395"/>
      <c r="K85" s="395"/>
    </row>
    <row r="86" spans="1:11" x14ac:dyDescent="0.3">
      <c r="A86" s="400" t="s">
        <v>618</v>
      </c>
      <c r="B86" s="395"/>
      <c r="C86" s="395"/>
      <c r="D86" s="395"/>
      <c r="E86" s="395"/>
      <c r="F86" s="395"/>
      <c r="G86" s="395"/>
      <c r="H86" s="395"/>
      <c r="I86" s="395"/>
      <c r="J86" s="395"/>
      <c r="K86" s="395"/>
    </row>
    <row r="87" spans="1:11" x14ac:dyDescent="0.3">
      <c r="A87" s="400" t="s">
        <v>617</v>
      </c>
      <c r="B87" s="395"/>
      <c r="C87" s="395"/>
      <c r="D87" s="395"/>
      <c r="E87" s="395"/>
      <c r="F87" s="395"/>
      <c r="G87" s="395"/>
      <c r="H87" s="395"/>
      <c r="I87" s="395"/>
      <c r="J87" s="395"/>
      <c r="K87" s="395"/>
    </row>
    <row r="88" spans="1:11" x14ac:dyDescent="0.3">
      <c r="A88" s="400" t="s">
        <v>619</v>
      </c>
      <c r="B88" s="395"/>
      <c r="C88" s="395"/>
      <c r="D88" s="395"/>
      <c r="E88" s="395"/>
      <c r="F88" s="395"/>
      <c r="G88" s="395"/>
      <c r="H88" s="395"/>
      <c r="I88" s="395"/>
      <c r="J88" s="395"/>
      <c r="K88" s="395"/>
    </row>
    <row r="89" spans="1:11" x14ac:dyDescent="0.3">
      <c r="A89" s="400" t="s">
        <v>620</v>
      </c>
      <c r="B89" s="395"/>
      <c r="C89" s="395"/>
      <c r="D89" s="395"/>
      <c r="E89" s="395"/>
      <c r="F89" s="395"/>
      <c r="G89" s="395"/>
      <c r="H89" s="395"/>
      <c r="I89" s="395"/>
      <c r="J89" s="395"/>
      <c r="K89" s="395"/>
    </row>
    <row r="90" spans="1:11" x14ac:dyDescent="0.3">
      <c r="A90" s="400" t="s">
        <v>621</v>
      </c>
      <c r="B90" s="395"/>
      <c r="C90" s="395"/>
      <c r="D90" s="395"/>
      <c r="E90" s="395"/>
      <c r="F90" s="395"/>
      <c r="G90" s="395"/>
      <c r="H90" s="395"/>
      <c r="I90" s="395"/>
      <c r="J90" s="395"/>
      <c r="K90" s="395"/>
    </row>
    <row r="91" spans="1:11" x14ac:dyDescent="0.3">
      <c r="A91" s="400" t="s">
        <v>617</v>
      </c>
      <c r="B91" s="395"/>
      <c r="C91" s="395"/>
      <c r="D91" s="395"/>
      <c r="E91" s="395"/>
      <c r="F91" s="395"/>
      <c r="G91" s="395"/>
      <c r="H91" s="395"/>
      <c r="I91" s="395"/>
      <c r="J91" s="395"/>
      <c r="K91" s="395"/>
    </row>
    <row r="94" spans="1:11" ht="18" x14ac:dyDescent="0.35">
      <c r="A94" s="403" t="s">
        <v>486</v>
      </c>
      <c r="B94" s="403"/>
      <c r="C94" s="403"/>
      <c r="D94" s="403"/>
      <c r="E94" s="403"/>
      <c r="F94" s="403"/>
    </row>
    <row r="95" spans="1:11" x14ac:dyDescent="0.3">
      <c r="A95" s="13" t="s">
        <v>487</v>
      </c>
      <c r="B95" s="13" t="s">
        <v>383</v>
      </c>
      <c r="C95" s="13" t="s">
        <v>488</v>
      </c>
      <c r="D95" s="13" t="s">
        <v>489</v>
      </c>
      <c r="E95" s="13" t="s">
        <v>490</v>
      </c>
      <c r="F95" s="13" t="s">
        <v>491</v>
      </c>
    </row>
    <row r="96" spans="1:11" x14ac:dyDescent="0.3">
      <c r="A96" s="5" t="s">
        <v>120</v>
      </c>
      <c r="B96" s="5" t="s">
        <v>28</v>
      </c>
      <c r="C96" s="5" t="s">
        <v>492</v>
      </c>
      <c r="D96" s="5" t="s">
        <v>493</v>
      </c>
      <c r="E96" s="5" t="s">
        <v>494</v>
      </c>
      <c r="F96" s="5" t="s">
        <v>495</v>
      </c>
    </row>
    <row r="97" spans="1:7" x14ac:dyDescent="0.3">
      <c r="A97" s="5" t="s">
        <v>270</v>
      </c>
      <c r="B97" s="5" t="s">
        <v>28</v>
      </c>
      <c r="C97" s="5" t="s">
        <v>5</v>
      </c>
      <c r="D97" s="5" t="s">
        <v>496</v>
      </c>
      <c r="E97" s="5" t="s">
        <v>497</v>
      </c>
      <c r="F97" s="5" t="s">
        <v>127</v>
      </c>
    </row>
    <row r="98" spans="1:7" x14ac:dyDescent="0.3">
      <c r="A98" s="5" t="s">
        <v>121</v>
      </c>
      <c r="B98" s="5" t="s">
        <v>29</v>
      </c>
      <c r="C98" s="5" t="s">
        <v>498</v>
      </c>
      <c r="D98" s="5" t="s">
        <v>499</v>
      </c>
      <c r="E98" s="5" t="s">
        <v>500</v>
      </c>
      <c r="F98" s="5" t="s">
        <v>495</v>
      </c>
    </row>
    <row r="99" spans="1:7" x14ac:dyDescent="0.3">
      <c r="A99" s="5" t="s">
        <v>143</v>
      </c>
      <c r="B99" s="5" t="s">
        <v>28</v>
      </c>
      <c r="C99" s="5" t="s">
        <v>501</v>
      </c>
      <c r="D99" s="5" t="s">
        <v>502</v>
      </c>
      <c r="E99" s="5" t="s">
        <v>497</v>
      </c>
      <c r="F99" s="5" t="s">
        <v>495</v>
      </c>
    </row>
    <row r="100" spans="1:7" x14ac:dyDescent="0.3">
      <c r="A100" s="5" t="s">
        <v>144</v>
      </c>
      <c r="B100" s="5" t="s">
        <v>29</v>
      </c>
      <c r="C100" s="5" t="s">
        <v>503</v>
      </c>
      <c r="D100" s="5" t="s">
        <v>504</v>
      </c>
      <c r="E100" s="5" t="s">
        <v>494</v>
      </c>
      <c r="F100" s="5" t="s">
        <v>495</v>
      </c>
    </row>
    <row r="101" spans="1:7" x14ac:dyDescent="0.3">
      <c r="A101" s="5" t="s">
        <v>192</v>
      </c>
      <c r="B101" s="5" t="s">
        <v>28</v>
      </c>
      <c r="C101" s="5" t="s">
        <v>505</v>
      </c>
      <c r="D101" s="5" t="s">
        <v>496</v>
      </c>
      <c r="E101" s="5" t="s">
        <v>506</v>
      </c>
      <c r="F101" s="5" t="s">
        <v>127</v>
      </c>
    </row>
    <row r="102" spans="1:7" x14ac:dyDescent="0.3">
      <c r="A102" s="5" t="s">
        <v>168</v>
      </c>
      <c r="B102" s="5" t="s">
        <v>29</v>
      </c>
      <c r="C102" s="5" t="s">
        <v>507</v>
      </c>
      <c r="D102" s="5" t="s">
        <v>496</v>
      </c>
      <c r="E102" s="5" t="s">
        <v>497</v>
      </c>
      <c r="F102" s="5" t="s">
        <v>127</v>
      </c>
    </row>
    <row r="103" spans="1:7" x14ac:dyDescent="0.3">
      <c r="A103" s="5" t="s">
        <v>257</v>
      </c>
      <c r="B103" s="5" t="s">
        <v>28</v>
      </c>
      <c r="C103" s="5" t="s">
        <v>508</v>
      </c>
      <c r="D103" s="5" t="s">
        <v>504</v>
      </c>
      <c r="E103" s="5" t="s">
        <v>494</v>
      </c>
      <c r="F103" s="5" t="s">
        <v>495</v>
      </c>
    </row>
    <row r="104" spans="1:7" x14ac:dyDescent="0.3">
      <c r="A104" s="5" t="s">
        <v>130</v>
      </c>
      <c r="B104" s="5" t="s">
        <v>28</v>
      </c>
      <c r="C104" s="5" t="s">
        <v>509</v>
      </c>
      <c r="D104" s="5" t="s">
        <v>496</v>
      </c>
      <c r="E104" s="5" t="s">
        <v>506</v>
      </c>
      <c r="F104" s="5" t="s">
        <v>127</v>
      </c>
    </row>
    <row r="105" spans="1:7" x14ac:dyDescent="0.3">
      <c r="A105" s="5" t="s">
        <v>155</v>
      </c>
      <c r="B105" s="5" t="s">
        <v>28</v>
      </c>
      <c r="C105" s="5" t="s">
        <v>510</v>
      </c>
      <c r="D105" s="5" t="s">
        <v>511</v>
      </c>
      <c r="E105" s="5" t="s">
        <v>494</v>
      </c>
      <c r="F105" s="5" t="s">
        <v>127</v>
      </c>
    </row>
    <row r="106" spans="1:7" x14ac:dyDescent="0.3">
      <c r="A106" s="5" t="s">
        <v>148</v>
      </c>
      <c r="B106" s="5" t="s">
        <v>28</v>
      </c>
      <c r="C106" s="5" t="s">
        <v>512</v>
      </c>
      <c r="D106" s="5" t="s">
        <v>496</v>
      </c>
      <c r="E106" s="5" t="s">
        <v>497</v>
      </c>
      <c r="F106" s="5" t="s">
        <v>118</v>
      </c>
    </row>
    <row r="107" spans="1:7" x14ac:dyDescent="0.3">
      <c r="A107" s="5" t="s">
        <v>513</v>
      </c>
      <c r="B107" s="5" t="s">
        <v>514</v>
      </c>
      <c r="C107" s="5" t="s">
        <v>515</v>
      </c>
      <c r="D107" s="5" t="s">
        <v>516</v>
      </c>
      <c r="E107" s="5" t="s">
        <v>517</v>
      </c>
      <c r="F107" s="5" t="s">
        <v>518</v>
      </c>
    </row>
    <row r="110" spans="1:7" ht="18" x14ac:dyDescent="0.35">
      <c r="A110" s="402" t="s">
        <v>519</v>
      </c>
      <c r="B110" s="402"/>
      <c r="C110" s="402"/>
      <c r="D110" s="402"/>
      <c r="E110" s="402"/>
      <c r="F110" s="402"/>
      <c r="G110" s="402"/>
    </row>
    <row r="111" spans="1:7" x14ac:dyDescent="0.3">
      <c r="A111" s="14" t="s">
        <v>520</v>
      </c>
      <c r="B111" s="14" t="s">
        <v>521</v>
      </c>
      <c r="C111" s="14" t="s">
        <v>522</v>
      </c>
      <c r="D111" s="14" t="s">
        <v>523</v>
      </c>
      <c r="E111" s="14" t="s">
        <v>524</v>
      </c>
      <c r="F111" s="14" t="s">
        <v>525</v>
      </c>
      <c r="G111" s="14" t="s">
        <v>114</v>
      </c>
    </row>
    <row r="112" spans="1:7" x14ac:dyDescent="0.3">
      <c r="A112" s="5" t="s">
        <v>526</v>
      </c>
      <c r="B112" s="5" t="s">
        <v>527</v>
      </c>
      <c r="C112" s="5" t="s">
        <v>528</v>
      </c>
      <c r="D112" s="5" t="s">
        <v>529</v>
      </c>
      <c r="E112" s="5" t="s">
        <v>530</v>
      </c>
      <c r="F112" s="5" t="s">
        <v>531</v>
      </c>
      <c r="G112" s="5" t="s">
        <v>532</v>
      </c>
    </row>
    <row r="113" spans="1:7" x14ac:dyDescent="0.3">
      <c r="A113" s="5" t="s">
        <v>533</v>
      </c>
      <c r="B113" s="5" t="s">
        <v>534</v>
      </c>
      <c r="C113" s="5" t="s">
        <v>535</v>
      </c>
      <c r="D113" s="5" t="s">
        <v>536</v>
      </c>
      <c r="E113" s="5" t="s">
        <v>537</v>
      </c>
      <c r="F113" s="5" t="s">
        <v>538</v>
      </c>
      <c r="G113" s="5" t="s">
        <v>539</v>
      </c>
    </row>
    <row r="114" spans="1:7" x14ac:dyDescent="0.3">
      <c r="A114" s="5" t="s">
        <v>540</v>
      </c>
      <c r="B114" s="5" t="s">
        <v>541</v>
      </c>
      <c r="C114" s="5" t="s">
        <v>542</v>
      </c>
      <c r="D114" s="5" t="s">
        <v>543</v>
      </c>
      <c r="E114" s="5" t="s">
        <v>544</v>
      </c>
      <c r="F114" s="5" t="s">
        <v>545</v>
      </c>
      <c r="G114" s="5" t="s">
        <v>546</v>
      </c>
    </row>
    <row r="115" spans="1:7" x14ac:dyDescent="0.3">
      <c r="A115" s="5" t="s">
        <v>547</v>
      </c>
      <c r="B115" s="5" t="s">
        <v>548</v>
      </c>
      <c r="C115" s="5" t="s">
        <v>549</v>
      </c>
      <c r="D115" s="5" t="s">
        <v>550</v>
      </c>
      <c r="E115" s="5" t="s">
        <v>551</v>
      </c>
      <c r="F115" s="5" t="s">
        <v>552</v>
      </c>
      <c r="G115" s="5" t="s">
        <v>553</v>
      </c>
    </row>
    <row r="116" spans="1:7" x14ac:dyDescent="0.3">
      <c r="A116" s="5" t="s">
        <v>554</v>
      </c>
      <c r="B116" s="5" t="s">
        <v>555</v>
      </c>
      <c r="C116" s="5" t="s">
        <v>556</v>
      </c>
      <c r="D116" s="5" t="s">
        <v>557</v>
      </c>
      <c r="E116" s="5" t="s">
        <v>558</v>
      </c>
      <c r="F116" s="5" t="s">
        <v>559</v>
      </c>
      <c r="G116" s="5" t="s">
        <v>560</v>
      </c>
    </row>
    <row r="117" spans="1:7" x14ac:dyDescent="0.3">
      <c r="A117" s="5" t="s">
        <v>561</v>
      </c>
      <c r="B117" s="5" t="s">
        <v>448</v>
      </c>
      <c r="C117" s="5" t="s">
        <v>562</v>
      </c>
      <c r="D117" s="5" t="s">
        <v>563</v>
      </c>
      <c r="E117" s="5" t="s">
        <v>564</v>
      </c>
      <c r="F117" s="5" t="s">
        <v>565</v>
      </c>
      <c r="G117" s="5" t="s">
        <v>566</v>
      </c>
    </row>
    <row r="118" spans="1:7" x14ac:dyDescent="0.3">
      <c r="A118" s="5" t="s">
        <v>567</v>
      </c>
      <c r="B118" s="5" t="s">
        <v>568</v>
      </c>
      <c r="C118" s="5" t="s">
        <v>569</v>
      </c>
      <c r="D118" s="5" t="s">
        <v>570</v>
      </c>
      <c r="E118" s="5" t="s">
        <v>571</v>
      </c>
      <c r="F118" s="5" t="s">
        <v>572</v>
      </c>
      <c r="G118" s="5" t="s">
        <v>573</v>
      </c>
    </row>
    <row r="119" spans="1:7" x14ac:dyDescent="0.3">
      <c r="A119" s="5" t="s">
        <v>574</v>
      </c>
      <c r="B119" s="5" t="s">
        <v>575</v>
      </c>
      <c r="C119" s="5" t="s">
        <v>576</v>
      </c>
      <c r="D119" s="5" t="s">
        <v>577</v>
      </c>
      <c r="E119" s="5" t="s">
        <v>578</v>
      </c>
      <c r="F119" s="5" t="s">
        <v>579</v>
      </c>
      <c r="G119" s="5" t="s">
        <v>580</v>
      </c>
    </row>
    <row r="122" spans="1:7" ht="15.6" x14ac:dyDescent="0.3">
      <c r="A122" s="15" t="s">
        <v>581</v>
      </c>
    </row>
    <row r="123" spans="1:7" x14ac:dyDescent="0.3">
      <c r="A123" s="16" t="s">
        <v>582</v>
      </c>
    </row>
    <row r="124" spans="1:7" x14ac:dyDescent="0.3">
      <c r="A124" s="16" t="s">
        <v>583</v>
      </c>
    </row>
    <row r="125" spans="1:7" x14ac:dyDescent="0.3">
      <c r="A125" s="16" t="s">
        <v>584</v>
      </c>
    </row>
    <row r="126" spans="1:7" x14ac:dyDescent="0.3">
      <c r="A126" s="16" t="s">
        <v>585</v>
      </c>
    </row>
    <row r="127" spans="1:7" x14ac:dyDescent="0.3">
      <c r="A127" s="16" t="s">
        <v>586</v>
      </c>
    </row>
    <row r="128" spans="1:7" x14ac:dyDescent="0.3">
      <c r="A128" s="16" t="s">
        <v>587</v>
      </c>
    </row>
    <row r="131" spans="1:11" ht="15.6" x14ac:dyDescent="0.3">
      <c r="A131" s="384" t="s">
        <v>4765</v>
      </c>
      <c r="B131" s="384"/>
      <c r="C131" s="384"/>
      <c r="D131" s="384"/>
      <c r="E131" s="384"/>
      <c r="F131" s="384"/>
      <c r="G131" s="384"/>
      <c r="H131" s="384"/>
      <c r="I131" s="384"/>
      <c r="J131" s="384"/>
      <c r="K131" s="384"/>
    </row>
    <row r="132" spans="1:11" x14ac:dyDescent="0.3">
      <c r="A132" s="237"/>
      <c r="B132" s="237"/>
      <c r="C132" s="237"/>
      <c r="D132" s="237"/>
      <c r="E132" s="237"/>
      <c r="F132" s="237"/>
      <c r="G132" s="237"/>
      <c r="H132" s="237"/>
      <c r="I132" s="237"/>
      <c r="J132" s="237"/>
      <c r="K132" s="237"/>
    </row>
    <row r="133" spans="1:11" x14ac:dyDescent="0.3">
      <c r="A133" s="237" t="s">
        <v>4766</v>
      </c>
      <c r="B133" s="237"/>
      <c r="C133" s="237"/>
      <c r="D133" s="237"/>
      <c r="E133" s="237"/>
      <c r="F133" s="237"/>
      <c r="G133" s="237"/>
      <c r="H133" s="237"/>
      <c r="I133" s="237"/>
      <c r="J133" s="237"/>
      <c r="K133" s="237"/>
    </row>
    <row r="134" spans="1:11" x14ac:dyDescent="0.3">
      <c r="A134" s="237"/>
      <c r="B134" s="237"/>
      <c r="C134" s="237"/>
      <c r="D134" s="237"/>
      <c r="E134" s="237"/>
      <c r="F134" s="237"/>
      <c r="G134" s="237"/>
      <c r="H134" s="237"/>
      <c r="I134" s="237"/>
      <c r="J134" s="237"/>
      <c r="K134" s="237"/>
    </row>
    <row r="135" spans="1:11" x14ac:dyDescent="0.3">
      <c r="A135" s="237" t="s">
        <v>4767</v>
      </c>
      <c r="B135" s="237"/>
      <c r="C135" s="237"/>
      <c r="D135" s="237"/>
      <c r="E135" s="237"/>
      <c r="F135" s="237"/>
      <c r="G135" s="237"/>
      <c r="H135" s="237"/>
      <c r="I135" s="237"/>
      <c r="J135" s="237"/>
      <c r="K135" s="237"/>
    </row>
    <row r="136" spans="1:11" x14ac:dyDescent="0.3">
      <c r="A136" s="237"/>
      <c r="B136" s="237"/>
      <c r="C136" s="237"/>
      <c r="D136" s="237"/>
      <c r="E136" s="237"/>
      <c r="F136" s="237"/>
      <c r="G136" s="237"/>
      <c r="H136" s="237"/>
      <c r="I136" s="237"/>
      <c r="J136" s="237"/>
      <c r="K136" s="237"/>
    </row>
    <row r="137" spans="1:11" x14ac:dyDescent="0.3">
      <c r="A137" s="237" t="s">
        <v>4768</v>
      </c>
      <c r="B137" s="237"/>
      <c r="C137" s="237"/>
      <c r="D137" s="237"/>
      <c r="E137" s="237"/>
      <c r="F137" s="237"/>
      <c r="G137" s="237"/>
      <c r="H137" s="237"/>
      <c r="I137" s="237"/>
      <c r="J137" s="237"/>
      <c r="K137" s="237"/>
    </row>
    <row r="138" spans="1:11" x14ac:dyDescent="0.3">
      <c r="A138" s="237"/>
      <c r="B138" s="237"/>
      <c r="C138" s="237"/>
      <c r="D138" s="237"/>
      <c r="E138" s="237"/>
      <c r="F138" s="237"/>
      <c r="G138" s="237"/>
      <c r="H138" s="237"/>
      <c r="I138" s="237"/>
      <c r="J138" s="237"/>
      <c r="K138" s="237"/>
    </row>
    <row r="139" spans="1:11" x14ac:dyDescent="0.3">
      <c r="A139" s="237" t="s">
        <v>4748</v>
      </c>
      <c r="B139" s="237"/>
      <c r="C139" s="237"/>
      <c r="D139" s="237"/>
      <c r="E139" s="237"/>
      <c r="F139" s="237"/>
      <c r="G139" s="237"/>
      <c r="H139" s="237"/>
      <c r="I139" s="237"/>
      <c r="J139" s="237"/>
      <c r="K139" s="237"/>
    </row>
    <row r="141" spans="1:11" ht="18" x14ac:dyDescent="0.35">
      <c r="A141" s="385" t="s">
        <v>4418</v>
      </c>
      <c r="B141" s="385"/>
      <c r="C141" s="385"/>
      <c r="D141" s="385"/>
      <c r="E141" s="385"/>
      <c r="F141" s="385"/>
      <c r="G141" s="385"/>
      <c r="H141" s="385"/>
      <c r="I141" s="385"/>
      <c r="J141" s="385"/>
      <c r="K141" s="385"/>
    </row>
    <row r="143" spans="1:11" ht="15.6" x14ac:dyDescent="0.3">
      <c r="A143" s="222" t="s">
        <v>4419</v>
      </c>
      <c r="B143" s="223"/>
      <c r="C143" s="223"/>
      <c r="D143" s="223"/>
      <c r="E143" s="223"/>
      <c r="F143" s="223"/>
      <c r="G143" s="223"/>
      <c r="H143" s="223"/>
      <c r="I143" s="223"/>
      <c r="J143" s="223"/>
      <c r="K143" s="223"/>
    </row>
    <row r="144" spans="1:11" x14ac:dyDescent="0.3">
      <c r="A144" s="223" t="s">
        <v>4420</v>
      </c>
      <c r="B144" s="223"/>
      <c r="C144" s="223"/>
      <c r="D144" s="223"/>
      <c r="E144" s="223"/>
      <c r="F144" s="223"/>
      <c r="G144" s="223"/>
      <c r="H144" s="223"/>
      <c r="I144" s="223"/>
      <c r="J144" s="223"/>
      <c r="K144" s="223"/>
    </row>
    <row r="145" spans="1:11" x14ac:dyDescent="0.3">
      <c r="A145" s="223" t="s">
        <v>4421</v>
      </c>
      <c r="B145" s="223"/>
      <c r="C145" s="223"/>
      <c r="D145" s="223"/>
      <c r="E145" s="223"/>
      <c r="F145" s="223"/>
      <c r="G145" s="223"/>
      <c r="H145" s="223"/>
      <c r="I145" s="223"/>
      <c r="J145" s="223"/>
      <c r="K145" s="223"/>
    </row>
    <row r="146" spans="1:11" x14ac:dyDescent="0.3">
      <c r="A146" s="223"/>
      <c r="B146" s="223"/>
      <c r="C146" s="223"/>
      <c r="D146" s="223"/>
      <c r="E146" s="223"/>
      <c r="F146" s="223"/>
      <c r="G146" s="223"/>
      <c r="H146" s="223"/>
      <c r="I146" s="223"/>
      <c r="J146" s="223"/>
      <c r="K146" s="223"/>
    </row>
    <row r="147" spans="1:11" x14ac:dyDescent="0.3">
      <c r="A147" s="223" t="s">
        <v>4422</v>
      </c>
      <c r="B147" s="223"/>
      <c r="C147" s="223"/>
      <c r="D147" s="223"/>
      <c r="E147" s="223"/>
      <c r="F147" s="223"/>
      <c r="G147" s="223"/>
      <c r="H147" s="223"/>
      <c r="I147" s="223"/>
      <c r="J147" s="223"/>
      <c r="K147" s="223"/>
    </row>
    <row r="148" spans="1:11" x14ac:dyDescent="0.3">
      <c r="A148" s="223" t="s">
        <v>4423</v>
      </c>
      <c r="B148" s="223"/>
      <c r="C148" s="223"/>
      <c r="D148" s="223"/>
      <c r="E148" s="223"/>
      <c r="F148" s="223"/>
      <c r="G148" s="223"/>
      <c r="H148" s="223"/>
      <c r="I148" s="223"/>
      <c r="J148" s="223"/>
      <c r="K148" s="223"/>
    </row>
    <row r="149" spans="1:11" x14ac:dyDescent="0.3">
      <c r="A149" s="223" t="s">
        <v>4424</v>
      </c>
      <c r="B149" s="223"/>
      <c r="C149" s="223"/>
      <c r="D149" s="223"/>
      <c r="E149" s="223"/>
      <c r="F149" s="223"/>
      <c r="G149" s="223"/>
      <c r="H149" s="223"/>
      <c r="I149" s="223"/>
      <c r="J149" s="223"/>
      <c r="K149" s="223"/>
    </row>
    <row r="150" spans="1:11" x14ac:dyDescent="0.3">
      <c r="A150" s="223" t="s">
        <v>4425</v>
      </c>
      <c r="B150" s="223"/>
      <c r="C150" s="223"/>
      <c r="D150" s="223"/>
      <c r="E150" s="223"/>
      <c r="F150" s="223"/>
      <c r="G150" s="223"/>
      <c r="H150" s="223"/>
      <c r="I150" s="223"/>
      <c r="J150" s="223"/>
      <c r="K150" s="223"/>
    </row>
    <row r="151" spans="1:11" x14ac:dyDescent="0.3">
      <c r="A151" s="223" t="s">
        <v>4426</v>
      </c>
      <c r="B151" s="223"/>
      <c r="C151" s="223"/>
      <c r="D151" s="223"/>
      <c r="E151" s="223"/>
      <c r="F151" s="223"/>
      <c r="G151" s="223"/>
      <c r="H151" s="223"/>
      <c r="I151" s="223"/>
      <c r="J151" s="223"/>
      <c r="K151" s="223"/>
    </row>
    <row r="152" spans="1:11" x14ac:dyDescent="0.3">
      <c r="A152" s="223"/>
      <c r="B152" s="223"/>
      <c r="C152" s="223"/>
      <c r="D152" s="223"/>
      <c r="E152" s="223"/>
      <c r="F152" s="223"/>
      <c r="G152" s="223"/>
      <c r="H152" s="223"/>
      <c r="I152" s="223"/>
      <c r="J152" s="223"/>
      <c r="K152" s="223"/>
    </row>
    <row r="153" spans="1:11" ht="15.6" x14ac:dyDescent="0.3">
      <c r="A153" s="222" t="s">
        <v>4427</v>
      </c>
      <c r="B153" s="223"/>
      <c r="C153" s="223"/>
      <c r="D153" s="223"/>
      <c r="E153" s="223"/>
      <c r="F153" s="223"/>
      <c r="G153" s="223"/>
      <c r="H153" s="223"/>
      <c r="I153" s="223"/>
      <c r="J153" s="223"/>
      <c r="K153" s="223"/>
    </row>
    <row r="154" spans="1:11" x14ac:dyDescent="0.3">
      <c r="A154" s="223"/>
      <c r="B154" s="223"/>
      <c r="C154" s="223"/>
      <c r="D154" s="223"/>
      <c r="E154" s="223"/>
      <c r="F154" s="223"/>
      <c r="G154" s="223"/>
      <c r="H154" s="223"/>
      <c r="I154" s="223"/>
      <c r="J154" s="223"/>
      <c r="K154" s="223"/>
    </row>
    <row r="155" spans="1:11" x14ac:dyDescent="0.3">
      <c r="A155" s="224" t="s">
        <v>4428</v>
      </c>
      <c r="B155" s="223"/>
      <c r="C155" s="223"/>
      <c r="D155" s="223"/>
      <c r="E155" s="223"/>
      <c r="F155" s="223"/>
      <c r="G155" s="223"/>
      <c r="H155" s="223"/>
      <c r="I155" s="223"/>
      <c r="J155" s="223"/>
      <c r="K155" s="223"/>
    </row>
    <row r="156" spans="1:11" x14ac:dyDescent="0.3">
      <c r="A156" s="223" t="s">
        <v>4429</v>
      </c>
      <c r="B156" s="223"/>
      <c r="C156" s="223"/>
      <c r="D156" s="223"/>
      <c r="E156" s="223"/>
      <c r="F156" s="223"/>
      <c r="G156" s="223"/>
      <c r="H156" s="223"/>
      <c r="I156" s="223"/>
      <c r="J156" s="223"/>
      <c r="K156" s="223"/>
    </row>
    <row r="157" spans="1:11" x14ac:dyDescent="0.3">
      <c r="A157" s="223" t="s">
        <v>4430</v>
      </c>
      <c r="B157" s="223"/>
      <c r="C157" s="223"/>
      <c r="D157" s="223"/>
      <c r="E157" s="223"/>
      <c r="F157" s="223"/>
      <c r="G157" s="223"/>
      <c r="H157" s="223"/>
      <c r="I157" s="223"/>
      <c r="J157" s="223"/>
      <c r="K157" s="223"/>
    </row>
    <row r="158" spans="1:11" x14ac:dyDescent="0.3">
      <c r="A158" s="223" t="s">
        <v>4431</v>
      </c>
      <c r="B158" s="223"/>
      <c r="C158" s="223"/>
      <c r="D158" s="223"/>
      <c r="E158" s="223"/>
      <c r="F158" s="223"/>
      <c r="G158" s="223"/>
      <c r="H158" s="223"/>
      <c r="I158" s="223"/>
      <c r="J158" s="223"/>
      <c r="K158" s="223"/>
    </row>
    <row r="159" spans="1:11" x14ac:dyDescent="0.3">
      <c r="A159" s="223" t="s">
        <v>4432</v>
      </c>
      <c r="B159" s="223"/>
      <c r="C159" s="223"/>
      <c r="D159" s="223"/>
      <c r="E159" s="223"/>
      <c r="F159" s="223"/>
      <c r="G159" s="223"/>
      <c r="H159" s="223"/>
      <c r="I159" s="223"/>
      <c r="J159" s="223"/>
      <c r="K159" s="223"/>
    </row>
    <row r="160" spans="1:11" x14ac:dyDescent="0.3">
      <c r="A160" s="223" t="s">
        <v>4433</v>
      </c>
      <c r="B160" s="223"/>
      <c r="C160" s="223"/>
      <c r="D160" s="223"/>
      <c r="E160" s="223"/>
      <c r="F160" s="223"/>
      <c r="G160" s="223"/>
      <c r="H160" s="223"/>
      <c r="I160" s="223"/>
      <c r="J160" s="223"/>
      <c r="K160" s="223"/>
    </row>
    <row r="161" spans="1:11" x14ac:dyDescent="0.3">
      <c r="A161" s="223" t="s">
        <v>4434</v>
      </c>
      <c r="B161" s="223"/>
      <c r="C161" s="223"/>
      <c r="D161" s="223"/>
      <c r="E161" s="223"/>
      <c r="F161" s="223"/>
      <c r="G161" s="223"/>
      <c r="H161" s="223"/>
      <c r="I161" s="223"/>
      <c r="J161" s="223"/>
      <c r="K161" s="223"/>
    </row>
    <row r="162" spans="1:11" x14ac:dyDescent="0.3">
      <c r="A162" s="223" t="s">
        <v>4435</v>
      </c>
      <c r="B162" s="223"/>
      <c r="C162" s="223"/>
      <c r="D162" s="223"/>
      <c r="E162" s="223"/>
      <c r="F162" s="223"/>
      <c r="G162" s="223"/>
      <c r="H162" s="223"/>
      <c r="I162" s="223"/>
      <c r="J162" s="223"/>
      <c r="K162" s="223"/>
    </row>
    <row r="163" spans="1:11" x14ac:dyDescent="0.3">
      <c r="A163" s="223" t="s">
        <v>4436</v>
      </c>
      <c r="B163" s="223"/>
      <c r="C163" s="223"/>
      <c r="D163" s="223"/>
      <c r="E163" s="223"/>
      <c r="F163" s="223"/>
      <c r="G163" s="223"/>
      <c r="H163" s="223"/>
      <c r="I163" s="223"/>
      <c r="J163" s="223"/>
      <c r="K163" s="223"/>
    </row>
    <row r="164" spans="1:11" x14ac:dyDescent="0.3">
      <c r="A164" s="223" t="s">
        <v>4437</v>
      </c>
      <c r="B164" s="223"/>
      <c r="C164" s="223"/>
      <c r="D164" s="223"/>
      <c r="E164" s="223"/>
      <c r="F164" s="223"/>
      <c r="G164" s="223"/>
      <c r="H164" s="223"/>
      <c r="I164" s="223"/>
      <c r="J164" s="223"/>
      <c r="K164" s="223"/>
    </row>
    <row r="165" spans="1:11" x14ac:dyDescent="0.3">
      <c r="A165" s="223" t="s">
        <v>4438</v>
      </c>
      <c r="B165" s="223"/>
      <c r="C165" s="223"/>
      <c r="D165" s="223"/>
      <c r="E165" s="223"/>
      <c r="F165" s="223"/>
      <c r="G165" s="223"/>
      <c r="H165" s="223"/>
      <c r="I165" s="223"/>
      <c r="J165" s="223"/>
      <c r="K165" s="223"/>
    </row>
    <row r="166" spans="1:11" x14ac:dyDescent="0.3">
      <c r="A166" s="223"/>
      <c r="B166" s="223"/>
      <c r="C166" s="223"/>
      <c r="D166" s="223"/>
      <c r="E166" s="223"/>
      <c r="F166" s="223"/>
      <c r="G166" s="223"/>
      <c r="H166" s="223"/>
      <c r="I166" s="223"/>
      <c r="J166" s="223"/>
      <c r="K166" s="223"/>
    </row>
    <row r="167" spans="1:11" ht="15.6" x14ac:dyDescent="0.3">
      <c r="A167" s="222" t="s">
        <v>4439</v>
      </c>
      <c r="B167" s="223"/>
      <c r="C167" s="223"/>
      <c r="D167" s="223"/>
      <c r="E167" s="223"/>
      <c r="F167" s="223"/>
      <c r="G167" s="223"/>
      <c r="H167" s="223"/>
      <c r="I167" s="223"/>
      <c r="J167" s="223"/>
      <c r="K167" s="223"/>
    </row>
    <row r="168" spans="1:11" x14ac:dyDescent="0.3">
      <c r="A168" s="223"/>
      <c r="B168" s="223"/>
      <c r="C168" s="223"/>
      <c r="D168" s="223"/>
      <c r="E168" s="223"/>
      <c r="F168" s="223"/>
      <c r="G168" s="223"/>
      <c r="H168" s="223"/>
      <c r="I168" s="223"/>
      <c r="J168" s="223"/>
      <c r="K168" s="223"/>
    </row>
    <row r="169" spans="1:11" x14ac:dyDescent="0.3">
      <c r="A169" s="223" t="s">
        <v>4440</v>
      </c>
      <c r="B169" s="223"/>
      <c r="C169" s="223"/>
      <c r="D169" s="223"/>
      <c r="E169" s="223"/>
      <c r="F169" s="223"/>
      <c r="G169" s="223"/>
      <c r="H169" s="223"/>
      <c r="I169" s="223"/>
      <c r="J169" s="223"/>
      <c r="K169" s="223"/>
    </row>
    <row r="170" spans="1:11" x14ac:dyDescent="0.3">
      <c r="A170" s="223" t="s">
        <v>4441</v>
      </c>
      <c r="B170" s="223"/>
      <c r="C170" s="223"/>
      <c r="D170" s="223"/>
      <c r="E170" s="223"/>
      <c r="F170" s="223"/>
      <c r="G170" s="223"/>
      <c r="H170" s="223"/>
      <c r="I170" s="223"/>
      <c r="J170" s="223"/>
      <c r="K170" s="223"/>
    </row>
    <row r="171" spans="1:11" x14ac:dyDescent="0.3">
      <c r="A171" s="223" t="s">
        <v>4442</v>
      </c>
      <c r="B171" s="223"/>
      <c r="C171" s="223"/>
      <c r="D171" s="223"/>
      <c r="E171" s="223"/>
      <c r="F171" s="223"/>
      <c r="G171" s="223"/>
      <c r="H171" s="223"/>
      <c r="I171" s="223"/>
      <c r="J171" s="223"/>
      <c r="K171" s="223"/>
    </row>
    <row r="172" spans="1:11" x14ac:dyDescent="0.3">
      <c r="A172" s="223" t="s">
        <v>4443</v>
      </c>
      <c r="B172" s="223"/>
      <c r="C172" s="223"/>
      <c r="D172" s="223"/>
      <c r="E172" s="223"/>
      <c r="F172" s="223"/>
      <c r="G172" s="223"/>
      <c r="H172" s="223"/>
      <c r="I172" s="223"/>
      <c r="J172" s="223"/>
      <c r="K172" s="223"/>
    </row>
    <row r="173" spans="1:11" x14ac:dyDescent="0.3">
      <c r="A173" s="223"/>
      <c r="B173" s="223"/>
      <c r="C173" s="223"/>
      <c r="D173" s="223"/>
      <c r="E173" s="223"/>
      <c r="F173" s="223"/>
      <c r="G173" s="223"/>
      <c r="H173" s="223"/>
      <c r="I173" s="223"/>
      <c r="J173" s="223"/>
      <c r="K173" s="223"/>
    </row>
    <row r="174" spans="1:11" x14ac:dyDescent="0.3">
      <c r="A174" s="223" t="s">
        <v>4365</v>
      </c>
      <c r="B174" s="223"/>
      <c r="C174" s="223"/>
      <c r="D174" s="223"/>
      <c r="E174" s="223"/>
      <c r="F174" s="223"/>
      <c r="G174" s="223"/>
      <c r="H174" s="223"/>
      <c r="I174" s="223"/>
      <c r="J174" s="223"/>
      <c r="K174" s="223"/>
    </row>
    <row r="175" spans="1:11" x14ac:dyDescent="0.3">
      <c r="A175" s="223" t="s">
        <v>4444</v>
      </c>
      <c r="B175" s="223"/>
      <c r="C175" s="223"/>
      <c r="D175" s="223"/>
      <c r="E175" s="223"/>
      <c r="F175" s="223"/>
      <c r="G175" s="223"/>
      <c r="H175" s="223"/>
      <c r="I175" s="223"/>
      <c r="J175" s="223"/>
      <c r="K175" s="223"/>
    </row>
    <row r="176" spans="1:11" x14ac:dyDescent="0.3">
      <c r="A176" s="223" t="s">
        <v>4445</v>
      </c>
      <c r="B176" s="223"/>
      <c r="C176" s="223"/>
      <c r="D176" s="223"/>
      <c r="E176" s="223"/>
      <c r="F176" s="223"/>
      <c r="G176" s="223"/>
      <c r="H176" s="223"/>
      <c r="I176" s="223"/>
      <c r="J176" s="223"/>
      <c r="K176" s="223"/>
    </row>
    <row r="177" spans="1:11" x14ac:dyDescent="0.3">
      <c r="A177" s="223" t="s">
        <v>4446</v>
      </c>
      <c r="B177" s="223"/>
      <c r="C177" s="223"/>
      <c r="D177" s="223"/>
      <c r="E177" s="223"/>
      <c r="F177" s="223"/>
      <c r="G177" s="223"/>
      <c r="H177" s="223"/>
      <c r="I177" s="223"/>
      <c r="J177" s="223"/>
      <c r="K177" s="223"/>
    </row>
    <row r="178" spans="1:11" x14ac:dyDescent="0.3">
      <c r="A178" s="223"/>
      <c r="B178" s="223"/>
      <c r="C178" s="223"/>
      <c r="D178" s="223"/>
      <c r="E178" s="223"/>
      <c r="F178" s="223"/>
      <c r="G178" s="223"/>
      <c r="H178" s="223"/>
      <c r="I178" s="223"/>
      <c r="J178" s="223"/>
      <c r="K178" s="223"/>
    </row>
    <row r="179" spans="1:11" x14ac:dyDescent="0.3">
      <c r="A179" s="223" t="s">
        <v>4447</v>
      </c>
      <c r="B179" s="223"/>
      <c r="C179" s="223"/>
      <c r="D179" s="223"/>
      <c r="E179" s="223"/>
      <c r="F179" s="223"/>
      <c r="G179" s="223"/>
      <c r="H179" s="223"/>
      <c r="I179" s="223"/>
      <c r="J179" s="223"/>
      <c r="K179" s="223"/>
    </row>
    <row r="180" spans="1:11" x14ac:dyDescent="0.3">
      <c r="A180" s="223" t="s">
        <v>4448</v>
      </c>
      <c r="B180" s="223"/>
      <c r="C180" s="223"/>
      <c r="D180" s="223"/>
      <c r="E180" s="223"/>
      <c r="F180" s="223"/>
      <c r="G180" s="223"/>
      <c r="H180" s="223"/>
      <c r="I180" s="223"/>
      <c r="J180" s="223"/>
      <c r="K180" s="223"/>
    </row>
    <row r="181" spans="1:11" x14ac:dyDescent="0.3">
      <c r="A181" s="223" t="s">
        <v>4449</v>
      </c>
      <c r="B181" s="223"/>
      <c r="C181" s="223"/>
      <c r="D181" s="223"/>
      <c r="E181" s="223"/>
      <c r="F181" s="223"/>
      <c r="G181" s="223"/>
      <c r="H181" s="223"/>
      <c r="I181" s="223"/>
      <c r="J181" s="223"/>
      <c r="K181" s="223"/>
    </row>
    <row r="182" spans="1:11" x14ac:dyDescent="0.3">
      <c r="A182" s="223" t="s">
        <v>4450</v>
      </c>
      <c r="B182" s="223"/>
      <c r="C182" s="223"/>
      <c r="D182" s="223"/>
      <c r="E182" s="223"/>
      <c r="F182" s="223"/>
      <c r="G182" s="223"/>
      <c r="H182" s="223"/>
      <c r="I182" s="223"/>
      <c r="J182" s="223"/>
      <c r="K182" s="223"/>
    </row>
    <row r="183" spans="1:11" x14ac:dyDescent="0.3">
      <c r="A183" s="223"/>
      <c r="B183" s="223"/>
      <c r="C183" s="223"/>
      <c r="D183" s="223"/>
      <c r="E183" s="223"/>
      <c r="F183" s="223"/>
      <c r="G183" s="223"/>
      <c r="H183" s="223"/>
      <c r="I183" s="223"/>
      <c r="J183" s="223"/>
      <c r="K183" s="223"/>
    </row>
    <row r="184" spans="1:11" ht="15.6" x14ac:dyDescent="0.3">
      <c r="A184" s="222" t="s">
        <v>4451</v>
      </c>
      <c r="B184" s="223"/>
      <c r="C184" s="223"/>
      <c r="D184" s="223"/>
      <c r="E184" s="223"/>
      <c r="F184" s="223"/>
      <c r="G184" s="223"/>
      <c r="H184" s="223"/>
      <c r="I184" s="223"/>
      <c r="J184" s="223"/>
      <c r="K184" s="223"/>
    </row>
    <row r="185" spans="1:11" x14ac:dyDescent="0.3">
      <c r="A185" s="223"/>
      <c r="B185" s="223"/>
      <c r="C185" s="223"/>
      <c r="D185" s="223"/>
      <c r="E185" s="223"/>
      <c r="F185" s="223"/>
      <c r="G185" s="223"/>
      <c r="H185" s="223"/>
      <c r="I185" s="223"/>
      <c r="J185" s="223"/>
      <c r="K185" s="223"/>
    </row>
    <row r="186" spans="1:11" x14ac:dyDescent="0.3">
      <c r="A186" s="223" t="s">
        <v>4452</v>
      </c>
      <c r="B186" s="223"/>
      <c r="C186" s="223"/>
      <c r="D186" s="223"/>
      <c r="E186" s="223"/>
      <c r="F186" s="223"/>
      <c r="G186" s="223"/>
      <c r="H186" s="223"/>
      <c r="I186" s="223"/>
      <c r="J186" s="223"/>
      <c r="K186" s="223"/>
    </row>
    <row r="187" spans="1:11" x14ac:dyDescent="0.3">
      <c r="A187" s="223" t="s">
        <v>4453</v>
      </c>
      <c r="B187" s="223"/>
      <c r="C187" s="223"/>
      <c r="D187" s="223"/>
      <c r="E187" s="223"/>
      <c r="F187" s="223"/>
      <c r="G187" s="223"/>
      <c r="H187" s="223"/>
      <c r="I187" s="223"/>
      <c r="J187" s="223"/>
      <c r="K187" s="223"/>
    </row>
    <row r="188" spans="1:11" x14ac:dyDescent="0.3">
      <c r="A188" s="223" t="s">
        <v>4454</v>
      </c>
      <c r="B188" s="223"/>
      <c r="C188" s="223"/>
      <c r="D188" s="223"/>
      <c r="E188" s="223"/>
      <c r="F188" s="223"/>
      <c r="G188" s="223"/>
      <c r="H188" s="223"/>
      <c r="I188" s="223"/>
      <c r="J188" s="223"/>
      <c r="K188" s="223"/>
    </row>
    <row r="189" spans="1:11" x14ac:dyDescent="0.3">
      <c r="A189" s="223" t="s">
        <v>4455</v>
      </c>
      <c r="B189" s="223"/>
      <c r="C189" s="223"/>
      <c r="D189" s="223"/>
      <c r="E189" s="223"/>
      <c r="F189" s="223"/>
      <c r="G189" s="223"/>
      <c r="H189" s="223"/>
      <c r="I189" s="223"/>
      <c r="J189" s="223"/>
      <c r="K189" s="223"/>
    </row>
    <row r="190" spans="1:11" x14ac:dyDescent="0.3">
      <c r="A190" s="223" t="s">
        <v>4456</v>
      </c>
      <c r="B190" s="223"/>
      <c r="C190" s="223"/>
      <c r="D190" s="223"/>
      <c r="E190" s="223"/>
      <c r="F190" s="223"/>
      <c r="G190" s="223"/>
      <c r="H190" s="223"/>
      <c r="I190" s="223"/>
      <c r="J190" s="223"/>
      <c r="K190" s="223"/>
    </row>
    <row r="191" spans="1:11" x14ac:dyDescent="0.3">
      <c r="A191" s="223" t="s">
        <v>4457</v>
      </c>
      <c r="B191" s="223"/>
      <c r="C191" s="223"/>
      <c r="D191" s="223"/>
      <c r="E191" s="223"/>
      <c r="F191" s="223"/>
      <c r="G191" s="223"/>
      <c r="H191" s="223"/>
      <c r="I191" s="223"/>
      <c r="J191" s="223"/>
      <c r="K191" s="223"/>
    </row>
    <row r="192" spans="1:11" x14ac:dyDescent="0.3">
      <c r="A192" s="223" t="s">
        <v>4458</v>
      </c>
      <c r="B192" s="223"/>
      <c r="C192" s="223"/>
      <c r="D192" s="223"/>
      <c r="E192" s="223"/>
      <c r="F192" s="223"/>
      <c r="G192" s="223"/>
      <c r="H192" s="223"/>
      <c r="I192" s="223"/>
      <c r="J192" s="223"/>
      <c r="K192" s="223"/>
    </row>
    <row r="193" spans="1:11" x14ac:dyDescent="0.3">
      <c r="A193" s="223"/>
      <c r="B193" s="223"/>
      <c r="C193" s="223"/>
      <c r="D193" s="223"/>
      <c r="E193" s="223"/>
      <c r="F193" s="223"/>
      <c r="G193" s="223"/>
      <c r="H193" s="223"/>
      <c r="I193" s="223"/>
      <c r="J193" s="223"/>
      <c r="K193" s="223"/>
    </row>
    <row r="194" spans="1:11" x14ac:dyDescent="0.3">
      <c r="A194" s="223" t="s">
        <v>4459</v>
      </c>
      <c r="B194" s="223"/>
      <c r="C194" s="223"/>
      <c r="D194" s="223"/>
      <c r="E194" s="223"/>
      <c r="F194" s="223"/>
      <c r="G194" s="223"/>
      <c r="H194" s="223"/>
      <c r="I194" s="223"/>
      <c r="J194" s="223"/>
      <c r="K194" s="223"/>
    </row>
    <row r="195" spans="1:11" x14ac:dyDescent="0.3">
      <c r="A195" s="223" t="s">
        <v>4460</v>
      </c>
      <c r="B195" s="223"/>
      <c r="C195" s="223"/>
      <c r="D195" s="223"/>
      <c r="E195" s="223"/>
      <c r="F195" s="223"/>
      <c r="G195" s="223"/>
      <c r="H195" s="223"/>
      <c r="I195" s="223"/>
      <c r="J195" s="223"/>
      <c r="K195" s="223"/>
    </row>
  </sheetData>
  <mergeCells count="47">
    <mergeCell ref="A141:K141"/>
    <mergeCell ref="A131:K131"/>
    <mergeCell ref="A110:G110"/>
    <mergeCell ref="A87:K87"/>
    <mergeCell ref="A88:K88"/>
    <mergeCell ref="A89:K89"/>
    <mergeCell ref="A90:K90"/>
    <mergeCell ref="A91:K91"/>
    <mergeCell ref="A94:F94"/>
    <mergeCell ref="A86:K86"/>
    <mergeCell ref="A75:K75"/>
    <mergeCell ref="A76:K76"/>
    <mergeCell ref="A77:K77"/>
    <mergeCell ref="A78:K78"/>
    <mergeCell ref="A79:K79"/>
    <mergeCell ref="A80:K80"/>
    <mergeCell ref="A81:K81"/>
    <mergeCell ref="A82:K82"/>
    <mergeCell ref="A83:K83"/>
    <mergeCell ref="A84:K84"/>
    <mergeCell ref="A85:K85"/>
    <mergeCell ref="A74:K74"/>
    <mergeCell ref="A63:K63"/>
    <mergeCell ref="A64:K64"/>
    <mergeCell ref="A65:K65"/>
    <mergeCell ref="A66:K66"/>
    <mergeCell ref="A67:K67"/>
    <mergeCell ref="A68:K68"/>
    <mergeCell ref="A69:K69"/>
    <mergeCell ref="A70:K70"/>
    <mergeCell ref="A71:K71"/>
    <mergeCell ref="A72:K72"/>
    <mergeCell ref="A73:K73"/>
    <mergeCell ref="A62:K62"/>
    <mergeCell ref="A10:F10"/>
    <mergeCell ref="A18:I18"/>
    <mergeCell ref="A33:G33"/>
    <mergeCell ref="A52:K52"/>
    <mergeCell ref="A53:K53"/>
    <mergeCell ref="A54:K54"/>
    <mergeCell ref="A55:K55"/>
    <mergeCell ref="A56:K56"/>
    <mergeCell ref="A57:K57"/>
    <mergeCell ref="A58:K58"/>
    <mergeCell ref="A59:K59"/>
    <mergeCell ref="A60:K60"/>
    <mergeCell ref="A61:K61"/>
  </mergeCells>
  <conditionalFormatting sqref="F96:F107">
    <cfRule type="containsText" dxfId="1" priority="3" operator="containsText" text="HIGH">
      <formula>NOT(ISERROR(SEARCH("HIGH",F96)))</formula>
    </cfRule>
    <cfRule type="containsText" dxfId="0" priority="4" operator="containsText" text="CRITICAL">
      <formula>NOT(ISERROR(SEARCH("CRITICAL",F96)))</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903E-56E2-40C5-92F5-CC1BF9713C3D}">
  <sheetPr>
    <tabColor theme="5"/>
  </sheetPr>
  <dimension ref="A1:L122"/>
  <sheetViews>
    <sheetView topLeftCell="A13" workbookViewId="0">
      <selection activeCell="H16" sqref="H16"/>
    </sheetView>
  </sheetViews>
  <sheetFormatPr defaultRowHeight="14.4" x14ac:dyDescent="0.3"/>
  <cols>
    <col min="1" max="1" width="7.5546875" bestFit="1" customWidth="1"/>
    <col min="2" max="2" width="21.21875" customWidth="1"/>
    <col min="3" max="3" width="32.109375" bestFit="1" customWidth="1"/>
    <col min="4" max="4" width="13.5546875" bestFit="1" customWidth="1"/>
    <col min="5" max="5" width="33.5546875" bestFit="1" customWidth="1"/>
    <col min="6" max="6" width="8.21875" bestFit="1" customWidth="1"/>
    <col min="7" max="7" width="14" bestFit="1" customWidth="1"/>
    <col min="8" max="8" width="9.6640625" bestFit="1" customWidth="1"/>
    <col min="9" max="9" width="13.21875" bestFit="1" customWidth="1"/>
    <col min="10" max="10" width="13.44140625" bestFit="1" customWidth="1"/>
    <col min="11" max="11" width="15.44140625" bestFit="1" customWidth="1"/>
    <col min="12" max="12" width="12.21875" bestFit="1" customWidth="1"/>
  </cols>
  <sheetData>
    <row r="1" spans="1:12" x14ac:dyDescent="0.3">
      <c r="A1" s="2" t="s">
        <v>3916</v>
      </c>
      <c r="B1" s="2" t="s">
        <v>3917</v>
      </c>
      <c r="C1" s="2" t="s">
        <v>2</v>
      </c>
      <c r="D1" s="2" t="s">
        <v>1</v>
      </c>
      <c r="E1" s="2" t="s">
        <v>3918</v>
      </c>
      <c r="F1" s="2" t="s">
        <v>2278</v>
      </c>
      <c r="G1" s="2" t="s">
        <v>1799</v>
      </c>
      <c r="H1" s="2" t="s">
        <v>3919</v>
      </c>
      <c r="I1" s="2" t="s">
        <v>3920</v>
      </c>
      <c r="J1" s="2" t="s">
        <v>112</v>
      </c>
      <c r="K1" s="2" t="s">
        <v>3921</v>
      </c>
      <c r="L1" s="2" t="s">
        <v>487</v>
      </c>
    </row>
    <row r="2" spans="1:12" x14ac:dyDescent="0.3">
      <c r="A2" t="s">
        <v>3922</v>
      </c>
      <c r="B2" s="167">
        <v>46201.9</v>
      </c>
      <c r="C2" t="s">
        <v>3923</v>
      </c>
      <c r="D2" t="s">
        <v>5</v>
      </c>
      <c r="E2" t="s">
        <v>3924</v>
      </c>
      <c r="F2" t="s">
        <v>2166</v>
      </c>
      <c r="G2" t="s">
        <v>3925</v>
      </c>
      <c r="H2" s="57">
        <v>0.85</v>
      </c>
      <c r="I2" s="57">
        <v>0.94</v>
      </c>
      <c r="J2" t="s">
        <v>874</v>
      </c>
      <c r="K2" t="s">
        <v>941</v>
      </c>
      <c r="L2" t="s">
        <v>31</v>
      </c>
    </row>
    <row r="3" spans="1:12" x14ac:dyDescent="0.3">
      <c r="A3" t="s">
        <v>3926</v>
      </c>
      <c r="B3" s="167">
        <v>46201.8</v>
      </c>
      <c r="C3" t="s">
        <v>15</v>
      </c>
      <c r="D3" t="s">
        <v>5</v>
      </c>
      <c r="E3" t="s">
        <v>3927</v>
      </c>
      <c r="F3" t="s">
        <v>3462</v>
      </c>
      <c r="G3" t="s">
        <v>3928</v>
      </c>
      <c r="H3" s="57">
        <v>0.8</v>
      </c>
      <c r="I3" s="57">
        <v>0.82</v>
      </c>
      <c r="J3" t="s">
        <v>874</v>
      </c>
      <c r="K3" t="s">
        <v>947</v>
      </c>
      <c r="L3" t="s">
        <v>31</v>
      </c>
    </row>
    <row r="4" spans="1:12" x14ac:dyDescent="0.3">
      <c r="A4" t="s">
        <v>3929</v>
      </c>
      <c r="B4" s="167">
        <v>46201.7</v>
      </c>
      <c r="C4" t="s">
        <v>44</v>
      </c>
      <c r="D4" t="s">
        <v>7</v>
      </c>
      <c r="E4" t="s">
        <v>3930</v>
      </c>
      <c r="F4" t="s">
        <v>2166</v>
      </c>
      <c r="G4" t="s">
        <v>3099</v>
      </c>
      <c r="H4" t="s">
        <v>3931</v>
      </c>
      <c r="I4" t="s">
        <v>3932</v>
      </c>
      <c r="J4" t="s">
        <v>874</v>
      </c>
      <c r="K4" t="s">
        <v>950</v>
      </c>
      <c r="L4" t="s">
        <v>31</v>
      </c>
    </row>
    <row r="5" spans="1:12" x14ac:dyDescent="0.3">
      <c r="A5" t="s">
        <v>3933</v>
      </c>
      <c r="B5" s="167">
        <v>46201.599999999999</v>
      </c>
      <c r="C5" t="s">
        <v>35</v>
      </c>
      <c r="D5" t="s">
        <v>6</v>
      </c>
      <c r="E5" t="s">
        <v>3934</v>
      </c>
      <c r="F5" t="s">
        <v>3462</v>
      </c>
      <c r="G5" t="s">
        <v>3935</v>
      </c>
      <c r="H5" s="57">
        <v>0.9</v>
      </c>
      <c r="I5" s="57">
        <v>0.88</v>
      </c>
      <c r="J5" t="s">
        <v>3936</v>
      </c>
      <c r="K5" t="s">
        <v>953</v>
      </c>
      <c r="L5" t="s">
        <v>29</v>
      </c>
    </row>
    <row r="6" spans="1:12" x14ac:dyDescent="0.3">
      <c r="A6" t="s">
        <v>3937</v>
      </c>
      <c r="B6" s="167">
        <v>46201.5</v>
      </c>
      <c r="C6" t="s">
        <v>70</v>
      </c>
      <c r="D6" t="s">
        <v>9</v>
      </c>
      <c r="E6" t="s">
        <v>3938</v>
      </c>
      <c r="F6" t="s">
        <v>2166</v>
      </c>
      <c r="G6" t="s">
        <v>3939</v>
      </c>
      <c r="H6" s="57">
        <v>0.01</v>
      </c>
      <c r="I6" s="57">
        <v>0.05</v>
      </c>
      <c r="J6" t="s">
        <v>874</v>
      </c>
      <c r="K6" t="s">
        <v>956</v>
      </c>
      <c r="L6" t="s">
        <v>31</v>
      </c>
    </row>
    <row r="7" spans="1:12" x14ac:dyDescent="0.3">
      <c r="A7" t="s">
        <v>3940</v>
      </c>
      <c r="B7" s="167">
        <v>46201.4</v>
      </c>
      <c r="C7" t="s">
        <v>93</v>
      </c>
      <c r="D7" t="s">
        <v>12</v>
      </c>
      <c r="E7" t="s">
        <v>3941</v>
      </c>
      <c r="F7" t="s">
        <v>2166</v>
      </c>
      <c r="G7" t="s">
        <v>3942</v>
      </c>
      <c r="H7" t="s">
        <v>3943</v>
      </c>
      <c r="I7" t="s">
        <v>3143</v>
      </c>
      <c r="J7" t="s">
        <v>874</v>
      </c>
      <c r="K7" t="s">
        <v>959</v>
      </c>
      <c r="L7" t="s">
        <v>31</v>
      </c>
    </row>
    <row r="8" spans="1:12" x14ac:dyDescent="0.3">
      <c r="A8" t="s">
        <v>3944</v>
      </c>
      <c r="B8" s="167">
        <v>46201.3</v>
      </c>
      <c r="C8" t="s">
        <v>51</v>
      </c>
      <c r="D8" t="s">
        <v>7</v>
      </c>
      <c r="E8" t="s">
        <v>3945</v>
      </c>
      <c r="F8" t="s">
        <v>3462</v>
      </c>
      <c r="G8" t="s">
        <v>3946</v>
      </c>
      <c r="H8" s="57">
        <v>0.01</v>
      </c>
      <c r="I8" s="166">
        <v>3.2000000000000001E-2</v>
      </c>
      <c r="J8" t="s">
        <v>874</v>
      </c>
      <c r="K8" t="s">
        <v>962</v>
      </c>
      <c r="L8" t="s">
        <v>28</v>
      </c>
    </row>
    <row r="9" spans="1:12" x14ac:dyDescent="0.3">
      <c r="A9" t="s">
        <v>3947</v>
      </c>
      <c r="B9" s="167">
        <v>46201.2</v>
      </c>
      <c r="C9" t="s">
        <v>36</v>
      </c>
      <c r="D9" t="s">
        <v>6</v>
      </c>
      <c r="E9" t="s">
        <v>3948</v>
      </c>
      <c r="F9" t="s">
        <v>2166</v>
      </c>
      <c r="G9" t="s">
        <v>3949</v>
      </c>
      <c r="H9" s="57">
        <v>0.8</v>
      </c>
      <c r="I9" s="57">
        <v>1</v>
      </c>
      <c r="J9" t="s">
        <v>874</v>
      </c>
      <c r="K9" t="s">
        <v>965</v>
      </c>
      <c r="L9" t="s">
        <v>31</v>
      </c>
    </row>
    <row r="10" spans="1:12" x14ac:dyDescent="0.3">
      <c r="A10" t="s">
        <v>3950</v>
      </c>
      <c r="B10" s="167">
        <v>46201.1</v>
      </c>
      <c r="C10" t="s">
        <v>47</v>
      </c>
      <c r="D10" t="s">
        <v>7</v>
      </c>
      <c r="E10" t="s">
        <v>3951</v>
      </c>
      <c r="F10" t="s">
        <v>3462</v>
      </c>
      <c r="G10" t="s">
        <v>3952</v>
      </c>
      <c r="H10" t="s">
        <v>3953</v>
      </c>
      <c r="I10" t="s">
        <v>3954</v>
      </c>
      <c r="J10" t="s">
        <v>3936</v>
      </c>
      <c r="K10" t="s">
        <v>968</v>
      </c>
      <c r="L10" t="s">
        <v>31</v>
      </c>
    </row>
    <row r="11" spans="1:12" x14ac:dyDescent="0.3">
      <c r="A11" t="s">
        <v>3955</v>
      </c>
      <c r="B11" s="167">
        <v>46201</v>
      </c>
      <c r="C11" t="s">
        <v>97</v>
      </c>
      <c r="D11" t="s">
        <v>12</v>
      </c>
      <c r="E11" t="s">
        <v>3956</v>
      </c>
      <c r="F11" t="s">
        <v>3462</v>
      </c>
      <c r="G11" t="s">
        <v>3957</v>
      </c>
      <c r="H11">
        <v>30</v>
      </c>
      <c r="I11">
        <v>14</v>
      </c>
      <c r="J11" t="s">
        <v>874</v>
      </c>
      <c r="K11" t="s">
        <v>971</v>
      </c>
      <c r="L11" t="s">
        <v>31</v>
      </c>
    </row>
    <row r="12" spans="1:12" x14ac:dyDescent="0.3">
      <c r="A12" t="s">
        <v>3958</v>
      </c>
      <c r="B12" s="167">
        <v>46200.9</v>
      </c>
      <c r="C12" t="s">
        <v>74</v>
      </c>
      <c r="D12" t="s">
        <v>10</v>
      </c>
      <c r="E12" t="s">
        <v>3959</v>
      </c>
      <c r="F12" t="s">
        <v>2166</v>
      </c>
      <c r="G12" t="s">
        <v>3960</v>
      </c>
      <c r="H12" t="s">
        <v>3961</v>
      </c>
      <c r="I12" t="s">
        <v>3143</v>
      </c>
      <c r="J12" t="s">
        <v>874</v>
      </c>
      <c r="K12" t="s">
        <v>974</v>
      </c>
      <c r="L12" t="s">
        <v>31</v>
      </c>
    </row>
    <row r="13" spans="1:12" x14ac:dyDescent="0.3">
      <c r="A13" t="s">
        <v>3962</v>
      </c>
      <c r="B13" s="167">
        <v>46200.800000000003</v>
      </c>
      <c r="C13" t="s">
        <v>75</v>
      </c>
      <c r="D13" t="s">
        <v>10</v>
      </c>
      <c r="E13" t="s">
        <v>3963</v>
      </c>
      <c r="F13" t="s">
        <v>3462</v>
      </c>
      <c r="G13" t="s">
        <v>3964</v>
      </c>
      <c r="H13" t="s">
        <v>3965</v>
      </c>
      <c r="I13" t="s">
        <v>3966</v>
      </c>
      <c r="J13" t="s">
        <v>874</v>
      </c>
      <c r="K13" t="s">
        <v>977</v>
      </c>
      <c r="L13" t="s">
        <v>32</v>
      </c>
    </row>
    <row r="14" spans="1:12" x14ac:dyDescent="0.3">
      <c r="A14" t="s">
        <v>3967</v>
      </c>
      <c r="B14" s="167">
        <v>46200.7</v>
      </c>
      <c r="C14" t="s">
        <v>14</v>
      </c>
      <c r="D14" t="s">
        <v>5</v>
      </c>
      <c r="E14" t="s">
        <v>3968</v>
      </c>
      <c r="F14" t="s">
        <v>3462</v>
      </c>
      <c r="G14" t="s">
        <v>3969</v>
      </c>
      <c r="H14">
        <v>1000</v>
      </c>
      <c r="I14">
        <v>2500</v>
      </c>
      <c r="J14" t="s">
        <v>3936</v>
      </c>
      <c r="K14" t="s">
        <v>980</v>
      </c>
      <c r="L14" t="s">
        <v>31</v>
      </c>
    </row>
    <row r="15" spans="1:12" x14ac:dyDescent="0.3">
      <c r="A15" t="s">
        <v>3970</v>
      </c>
      <c r="B15" s="167">
        <v>46200.6</v>
      </c>
      <c r="C15" t="s">
        <v>17</v>
      </c>
      <c r="D15" t="s">
        <v>5</v>
      </c>
      <c r="E15" t="s">
        <v>3971</v>
      </c>
      <c r="F15" t="s">
        <v>3972</v>
      </c>
      <c r="G15" t="s">
        <v>3973</v>
      </c>
      <c r="H15" s="57">
        <v>0.95</v>
      </c>
      <c r="I15" s="57">
        <v>0.87</v>
      </c>
      <c r="J15" t="s">
        <v>874</v>
      </c>
      <c r="K15" t="s">
        <v>986</v>
      </c>
      <c r="L15" t="s">
        <v>31</v>
      </c>
    </row>
    <row r="16" spans="1:12" x14ac:dyDescent="0.3">
      <c r="A16" t="s">
        <v>3974</v>
      </c>
      <c r="B16" s="167">
        <v>46200.5</v>
      </c>
      <c r="C16" t="s">
        <v>66</v>
      </c>
      <c r="D16" t="s">
        <v>9</v>
      </c>
      <c r="E16" t="s">
        <v>3975</v>
      </c>
      <c r="F16" t="s">
        <v>2166</v>
      </c>
      <c r="G16" t="s">
        <v>3976</v>
      </c>
      <c r="H16" t="s">
        <v>3977</v>
      </c>
      <c r="I16" t="s">
        <v>3978</v>
      </c>
      <c r="J16" t="s">
        <v>874</v>
      </c>
      <c r="K16" t="s">
        <v>989</v>
      </c>
      <c r="L16" t="s">
        <v>31</v>
      </c>
    </row>
    <row r="17" spans="1:12" x14ac:dyDescent="0.3">
      <c r="A17" t="s">
        <v>3979</v>
      </c>
      <c r="B17" s="167">
        <v>46200.4</v>
      </c>
      <c r="C17" t="s">
        <v>45</v>
      </c>
      <c r="D17" t="s">
        <v>7</v>
      </c>
      <c r="E17" t="s">
        <v>3980</v>
      </c>
      <c r="F17" t="s">
        <v>3462</v>
      </c>
      <c r="G17" t="s">
        <v>3981</v>
      </c>
      <c r="H17" t="s">
        <v>3982</v>
      </c>
      <c r="I17" t="s">
        <v>3983</v>
      </c>
      <c r="J17" t="s">
        <v>874</v>
      </c>
      <c r="K17" t="s">
        <v>992</v>
      </c>
      <c r="L17" t="s">
        <v>31</v>
      </c>
    </row>
    <row r="18" spans="1:12" x14ac:dyDescent="0.3">
      <c r="A18" t="s">
        <v>3984</v>
      </c>
      <c r="B18" s="167">
        <v>46200.3</v>
      </c>
      <c r="C18" t="s">
        <v>59</v>
      </c>
      <c r="D18" t="s">
        <v>8</v>
      </c>
      <c r="E18" t="s">
        <v>3924</v>
      </c>
      <c r="F18" t="s">
        <v>3462</v>
      </c>
      <c r="G18" t="s">
        <v>3925</v>
      </c>
      <c r="H18" s="57">
        <v>0.85</v>
      </c>
      <c r="I18" s="57">
        <v>0.86</v>
      </c>
      <c r="J18" t="s">
        <v>2599</v>
      </c>
      <c r="K18" t="s">
        <v>995</v>
      </c>
      <c r="L18" t="s">
        <v>28</v>
      </c>
    </row>
    <row r="19" spans="1:12" x14ac:dyDescent="0.3">
      <c r="A19" t="s">
        <v>3985</v>
      </c>
      <c r="B19" s="167">
        <v>46200.2</v>
      </c>
      <c r="C19" t="s">
        <v>56</v>
      </c>
      <c r="D19" t="s">
        <v>8</v>
      </c>
      <c r="E19" t="s">
        <v>3927</v>
      </c>
      <c r="F19" t="s">
        <v>3972</v>
      </c>
      <c r="G19" t="s">
        <v>3928</v>
      </c>
      <c r="H19" s="57">
        <v>0.8</v>
      </c>
      <c r="I19" s="57">
        <v>0.75</v>
      </c>
      <c r="J19" t="s">
        <v>2599</v>
      </c>
      <c r="K19" t="s">
        <v>998</v>
      </c>
      <c r="L19" t="s">
        <v>27</v>
      </c>
    </row>
    <row r="20" spans="1:12" x14ac:dyDescent="0.3">
      <c r="A20" t="s">
        <v>3986</v>
      </c>
      <c r="B20" s="167">
        <v>46200.1</v>
      </c>
      <c r="C20" t="s">
        <v>73</v>
      </c>
      <c r="D20" t="s">
        <v>10</v>
      </c>
      <c r="E20" t="s">
        <v>3930</v>
      </c>
      <c r="F20" t="s">
        <v>3462</v>
      </c>
      <c r="G20" t="s">
        <v>3099</v>
      </c>
      <c r="H20" t="s">
        <v>3931</v>
      </c>
      <c r="I20" t="s">
        <v>3987</v>
      </c>
      <c r="J20" t="s">
        <v>874</v>
      </c>
      <c r="K20" t="s">
        <v>1001</v>
      </c>
      <c r="L20" t="s">
        <v>31</v>
      </c>
    </row>
    <row r="21" spans="1:12" x14ac:dyDescent="0.3">
      <c r="A21" t="s">
        <v>3988</v>
      </c>
      <c r="B21" s="167">
        <v>46200</v>
      </c>
      <c r="C21" t="s">
        <v>88</v>
      </c>
      <c r="D21" t="s">
        <v>11</v>
      </c>
      <c r="E21" t="s">
        <v>3934</v>
      </c>
      <c r="F21" t="s">
        <v>3972</v>
      </c>
      <c r="G21" t="s">
        <v>3935</v>
      </c>
      <c r="H21" s="57">
        <v>0.9</v>
      </c>
      <c r="I21" s="57">
        <v>0.85</v>
      </c>
      <c r="J21" t="s">
        <v>2599</v>
      </c>
      <c r="K21" t="s">
        <v>1004</v>
      </c>
      <c r="L21" t="s">
        <v>29</v>
      </c>
    </row>
    <row r="22" spans="1:12" x14ac:dyDescent="0.3">
      <c r="A22" t="s">
        <v>3989</v>
      </c>
      <c r="B22" s="167">
        <v>46201.85</v>
      </c>
      <c r="C22" t="s">
        <v>16</v>
      </c>
      <c r="D22" t="s">
        <v>5</v>
      </c>
      <c r="E22" t="s">
        <v>3924</v>
      </c>
      <c r="F22" t="s">
        <v>2166</v>
      </c>
      <c r="G22" t="s">
        <v>3925</v>
      </c>
      <c r="H22" s="57">
        <v>0.85</v>
      </c>
      <c r="I22" s="57">
        <v>0.92</v>
      </c>
      <c r="J22" t="s">
        <v>874</v>
      </c>
      <c r="K22" t="s">
        <v>941</v>
      </c>
      <c r="L22" t="s">
        <v>31</v>
      </c>
    </row>
    <row r="23" spans="1:12" x14ac:dyDescent="0.3">
      <c r="A23" t="s">
        <v>3990</v>
      </c>
      <c r="B23" s="167">
        <v>46201.75</v>
      </c>
      <c r="C23" t="s">
        <v>84</v>
      </c>
      <c r="D23" t="s">
        <v>11</v>
      </c>
      <c r="E23" t="s">
        <v>3948</v>
      </c>
      <c r="F23" t="s">
        <v>3462</v>
      </c>
      <c r="G23" t="s">
        <v>3949</v>
      </c>
      <c r="H23" s="57">
        <v>0.8</v>
      </c>
      <c r="I23" s="57">
        <v>0.85</v>
      </c>
      <c r="J23" t="s">
        <v>874</v>
      </c>
      <c r="K23" t="s">
        <v>947</v>
      </c>
      <c r="L23" t="s">
        <v>31</v>
      </c>
    </row>
    <row r="24" spans="1:12" x14ac:dyDescent="0.3">
      <c r="A24" t="s">
        <v>3991</v>
      </c>
      <c r="B24" s="167">
        <v>46201.65</v>
      </c>
      <c r="C24" t="s">
        <v>67</v>
      </c>
      <c r="D24" t="s">
        <v>9</v>
      </c>
      <c r="E24" t="s">
        <v>3945</v>
      </c>
      <c r="F24" t="s">
        <v>3462</v>
      </c>
      <c r="G24" t="s">
        <v>3946</v>
      </c>
      <c r="H24" s="57">
        <v>0.01</v>
      </c>
      <c r="I24" s="166">
        <v>2.1000000000000001E-2</v>
      </c>
      <c r="J24" t="s">
        <v>3936</v>
      </c>
      <c r="K24" t="s">
        <v>950</v>
      </c>
      <c r="L24" t="s">
        <v>31</v>
      </c>
    </row>
    <row r="25" spans="1:12" x14ac:dyDescent="0.3">
      <c r="A25" t="s">
        <v>3992</v>
      </c>
      <c r="B25" s="167">
        <v>46201.55</v>
      </c>
      <c r="C25" t="s">
        <v>98</v>
      </c>
      <c r="D25" t="s">
        <v>12</v>
      </c>
      <c r="E25" t="s">
        <v>3980</v>
      </c>
      <c r="F25" t="s">
        <v>2166</v>
      </c>
      <c r="G25" t="s">
        <v>3981</v>
      </c>
      <c r="H25" t="s">
        <v>3982</v>
      </c>
      <c r="I25" t="s">
        <v>3993</v>
      </c>
      <c r="J25" t="s">
        <v>874</v>
      </c>
      <c r="K25" t="s">
        <v>953</v>
      </c>
      <c r="L25" t="s">
        <v>31</v>
      </c>
    </row>
    <row r="26" spans="1:12" x14ac:dyDescent="0.3">
      <c r="A26" t="s">
        <v>3994</v>
      </c>
      <c r="B26" s="167">
        <v>46201.45</v>
      </c>
      <c r="C26" t="s">
        <v>65</v>
      </c>
      <c r="D26" t="s">
        <v>9</v>
      </c>
      <c r="E26" t="s">
        <v>3951</v>
      </c>
      <c r="F26" t="s">
        <v>3972</v>
      </c>
      <c r="G26" t="s">
        <v>3952</v>
      </c>
      <c r="H26" t="s">
        <v>3953</v>
      </c>
      <c r="I26" t="s">
        <v>3995</v>
      </c>
      <c r="J26" t="s">
        <v>874</v>
      </c>
      <c r="K26" t="s">
        <v>956</v>
      </c>
      <c r="L26" t="s">
        <v>28</v>
      </c>
    </row>
    <row r="27" spans="1:12" x14ac:dyDescent="0.3">
      <c r="A27" t="s">
        <v>3996</v>
      </c>
      <c r="B27" s="167">
        <v>46201.35</v>
      </c>
      <c r="C27" t="s">
        <v>55</v>
      </c>
      <c r="D27" t="s">
        <v>8</v>
      </c>
      <c r="E27" t="s">
        <v>3938</v>
      </c>
      <c r="F27" t="s">
        <v>3462</v>
      </c>
      <c r="G27" t="s">
        <v>3939</v>
      </c>
      <c r="H27" s="57">
        <v>0.01</v>
      </c>
      <c r="I27" s="166">
        <v>2.5000000000000001E-2</v>
      </c>
      <c r="J27" t="s">
        <v>874</v>
      </c>
      <c r="K27" t="s">
        <v>959</v>
      </c>
      <c r="L27" t="s">
        <v>31</v>
      </c>
    </row>
    <row r="28" spans="1:12" x14ac:dyDescent="0.3">
      <c r="A28" t="s">
        <v>3997</v>
      </c>
      <c r="B28" s="167">
        <v>46201.25</v>
      </c>
      <c r="C28" t="s">
        <v>76</v>
      </c>
      <c r="D28" t="s">
        <v>10</v>
      </c>
      <c r="E28" t="s">
        <v>3959</v>
      </c>
      <c r="F28" t="s">
        <v>3462</v>
      </c>
      <c r="G28" t="s">
        <v>3960</v>
      </c>
      <c r="H28" t="s">
        <v>3961</v>
      </c>
      <c r="I28" t="s">
        <v>3998</v>
      </c>
      <c r="J28" t="s">
        <v>874</v>
      </c>
      <c r="K28" t="s">
        <v>962</v>
      </c>
      <c r="L28" t="s">
        <v>31</v>
      </c>
    </row>
    <row r="29" spans="1:12" x14ac:dyDescent="0.3">
      <c r="A29" t="s">
        <v>3999</v>
      </c>
      <c r="B29" s="167">
        <v>46201.15</v>
      </c>
      <c r="C29" t="s">
        <v>87</v>
      </c>
      <c r="D29" t="s">
        <v>11</v>
      </c>
      <c r="E29" t="s">
        <v>3956</v>
      </c>
      <c r="F29" t="s">
        <v>3972</v>
      </c>
      <c r="G29" t="s">
        <v>3957</v>
      </c>
      <c r="H29">
        <v>30</v>
      </c>
      <c r="I29">
        <v>22</v>
      </c>
      <c r="J29" t="s">
        <v>2599</v>
      </c>
      <c r="K29" t="s">
        <v>965</v>
      </c>
      <c r="L29" t="s">
        <v>31</v>
      </c>
    </row>
    <row r="30" spans="1:12" x14ac:dyDescent="0.3">
      <c r="A30" t="s">
        <v>4000</v>
      </c>
      <c r="B30" s="167">
        <v>46201.05</v>
      </c>
      <c r="C30" t="s">
        <v>25</v>
      </c>
      <c r="D30" t="s">
        <v>5</v>
      </c>
      <c r="E30" t="s">
        <v>3963</v>
      </c>
      <c r="F30" t="s">
        <v>3462</v>
      </c>
      <c r="G30" t="s">
        <v>3964</v>
      </c>
      <c r="H30" t="s">
        <v>3965</v>
      </c>
      <c r="I30" t="s">
        <v>4001</v>
      </c>
      <c r="J30" t="s">
        <v>874</v>
      </c>
      <c r="K30" t="s">
        <v>968</v>
      </c>
      <c r="L30" t="s">
        <v>32</v>
      </c>
    </row>
    <row r="31" spans="1:12" x14ac:dyDescent="0.3">
      <c r="A31" t="s">
        <v>4002</v>
      </c>
      <c r="B31" s="167">
        <v>46200.95</v>
      </c>
      <c r="C31" t="s">
        <v>38</v>
      </c>
      <c r="D31" t="s">
        <v>6</v>
      </c>
      <c r="E31" t="s">
        <v>3975</v>
      </c>
      <c r="F31" t="s">
        <v>3462</v>
      </c>
      <c r="G31" t="s">
        <v>3976</v>
      </c>
      <c r="H31" t="s">
        <v>3977</v>
      </c>
      <c r="I31" t="s">
        <v>4003</v>
      </c>
      <c r="J31" t="s">
        <v>874</v>
      </c>
      <c r="K31" t="s">
        <v>971</v>
      </c>
      <c r="L31" t="s">
        <v>31</v>
      </c>
    </row>
    <row r="32" spans="1:12" x14ac:dyDescent="0.3">
      <c r="A32" t="s">
        <v>4004</v>
      </c>
      <c r="B32" s="167">
        <v>46201.88</v>
      </c>
      <c r="C32" t="s">
        <v>34</v>
      </c>
      <c r="D32" t="s">
        <v>6</v>
      </c>
      <c r="E32" t="s">
        <v>3927</v>
      </c>
      <c r="F32" t="s">
        <v>2166</v>
      </c>
      <c r="G32" t="s">
        <v>3928</v>
      </c>
      <c r="H32" s="57">
        <v>0.8</v>
      </c>
      <c r="I32" s="57">
        <v>0.95</v>
      </c>
      <c r="J32" t="s">
        <v>874</v>
      </c>
      <c r="K32" t="s">
        <v>974</v>
      </c>
      <c r="L32" t="s">
        <v>31</v>
      </c>
    </row>
    <row r="33" spans="1:12" x14ac:dyDescent="0.3">
      <c r="A33" t="s">
        <v>4005</v>
      </c>
      <c r="B33" s="167">
        <v>46201.78</v>
      </c>
      <c r="C33" t="s">
        <v>80</v>
      </c>
      <c r="D33" t="s">
        <v>10</v>
      </c>
      <c r="E33" t="s">
        <v>3924</v>
      </c>
      <c r="F33" t="s">
        <v>3462</v>
      </c>
      <c r="G33" t="s">
        <v>3925</v>
      </c>
      <c r="H33" s="57">
        <v>0.85</v>
      </c>
      <c r="I33" s="57">
        <v>0.87</v>
      </c>
      <c r="J33" t="s">
        <v>874</v>
      </c>
      <c r="K33" t="s">
        <v>977</v>
      </c>
      <c r="L33" t="s">
        <v>29</v>
      </c>
    </row>
    <row r="34" spans="1:12" x14ac:dyDescent="0.3">
      <c r="A34" t="s">
        <v>4006</v>
      </c>
      <c r="B34" s="167">
        <v>46201.68</v>
      </c>
      <c r="C34" t="s">
        <v>90</v>
      </c>
      <c r="D34" t="s">
        <v>11</v>
      </c>
      <c r="E34" t="s">
        <v>3930</v>
      </c>
      <c r="F34" t="s">
        <v>3972</v>
      </c>
      <c r="G34" t="s">
        <v>3099</v>
      </c>
      <c r="H34" t="s">
        <v>3931</v>
      </c>
      <c r="I34" t="s">
        <v>4007</v>
      </c>
      <c r="J34" t="s">
        <v>2599</v>
      </c>
      <c r="K34" t="s">
        <v>980</v>
      </c>
      <c r="L34" t="s">
        <v>28</v>
      </c>
    </row>
    <row r="35" spans="1:12" x14ac:dyDescent="0.3">
      <c r="A35" t="s">
        <v>4008</v>
      </c>
      <c r="B35" s="167">
        <v>46201.58</v>
      </c>
      <c r="C35" t="s">
        <v>94</v>
      </c>
      <c r="D35" t="s">
        <v>12</v>
      </c>
      <c r="E35" t="s">
        <v>3941</v>
      </c>
      <c r="F35" t="s">
        <v>3462</v>
      </c>
      <c r="G35" t="s">
        <v>3942</v>
      </c>
      <c r="H35" t="s">
        <v>3943</v>
      </c>
      <c r="I35" t="s">
        <v>3462</v>
      </c>
      <c r="J35" t="s">
        <v>874</v>
      </c>
      <c r="K35" t="s">
        <v>986</v>
      </c>
      <c r="L35" t="s">
        <v>31</v>
      </c>
    </row>
    <row r="36" spans="1:12" x14ac:dyDescent="0.3">
      <c r="A36" t="s">
        <v>4009</v>
      </c>
      <c r="B36" s="167">
        <v>46201.48</v>
      </c>
      <c r="C36" t="s">
        <v>64</v>
      </c>
      <c r="D36" t="s">
        <v>9</v>
      </c>
      <c r="E36" t="s">
        <v>3968</v>
      </c>
      <c r="F36" t="s">
        <v>2166</v>
      </c>
      <c r="G36" t="s">
        <v>3969</v>
      </c>
      <c r="H36">
        <v>1000</v>
      </c>
      <c r="I36">
        <v>5200</v>
      </c>
      <c r="J36" t="s">
        <v>874</v>
      </c>
      <c r="K36" t="s">
        <v>989</v>
      </c>
      <c r="L36" t="s">
        <v>31</v>
      </c>
    </row>
    <row r="37" spans="1:12" x14ac:dyDescent="0.3">
      <c r="A37" t="s">
        <v>4010</v>
      </c>
      <c r="B37" s="167">
        <v>46201.38</v>
      </c>
      <c r="C37" t="s">
        <v>18</v>
      </c>
      <c r="D37" t="s">
        <v>5</v>
      </c>
      <c r="E37" t="s">
        <v>3971</v>
      </c>
      <c r="F37" t="s">
        <v>3462</v>
      </c>
      <c r="G37" t="s">
        <v>3973</v>
      </c>
      <c r="H37" s="57">
        <v>0.95</v>
      </c>
      <c r="I37" s="57">
        <v>0.82</v>
      </c>
      <c r="J37" t="s">
        <v>874</v>
      </c>
      <c r="K37" t="s">
        <v>992</v>
      </c>
      <c r="L37" t="s">
        <v>31</v>
      </c>
    </row>
    <row r="38" spans="1:12" x14ac:dyDescent="0.3">
      <c r="A38" t="s">
        <v>4011</v>
      </c>
      <c r="B38" s="167">
        <v>46201.279999999999</v>
      </c>
      <c r="C38" t="s">
        <v>19</v>
      </c>
      <c r="D38" t="s">
        <v>5</v>
      </c>
      <c r="E38" t="s">
        <v>3934</v>
      </c>
      <c r="F38" t="s">
        <v>3462</v>
      </c>
      <c r="G38" t="s">
        <v>3935</v>
      </c>
      <c r="H38" s="57">
        <v>0.9</v>
      </c>
      <c r="I38" s="57">
        <v>0.91</v>
      </c>
      <c r="J38" t="s">
        <v>3936</v>
      </c>
      <c r="K38" t="s">
        <v>995</v>
      </c>
      <c r="L38" t="s">
        <v>31</v>
      </c>
    </row>
    <row r="39" spans="1:12" x14ac:dyDescent="0.3">
      <c r="A39" t="s">
        <v>4012</v>
      </c>
      <c r="B39" s="167">
        <v>46201.18</v>
      </c>
      <c r="C39" t="s">
        <v>54</v>
      </c>
      <c r="D39" t="s">
        <v>8</v>
      </c>
      <c r="E39" t="s">
        <v>3948</v>
      </c>
      <c r="F39" t="s">
        <v>3462</v>
      </c>
      <c r="G39" t="s">
        <v>3949</v>
      </c>
      <c r="H39" s="57">
        <v>0.8</v>
      </c>
      <c r="I39" s="57">
        <v>0.88</v>
      </c>
      <c r="J39" t="s">
        <v>874</v>
      </c>
      <c r="K39" t="s">
        <v>998</v>
      </c>
      <c r="L39" t="s">
        <v>31</v>
      </c>
    </row>
    <row r="40" spans="1:12" x14ac:dyDescent="0.3">
      <c r="A40" t="s">
        <v>4013</v>
      </c>
      <c r="B40" s="167">
        <v>46201.08</v>
      </c>
      <c r="C40" t="s">
        <v>96</v>
      </c>
      <c r="D40" t="s">
        <v>12</v>
      </c>
      <c r="E40" t="s">
        <v>3945</v>
      </c>
      <c r="F40" t="s">
        <v>3972</v>
      </c>
      <c r="G40" t="s">
        <v>3946</v>
      </c>
      <c r="H40" s="57">
        <v>0.01</v>
      </c>
      <c r="I40" s="166">
        <v>1.4999999999999999E-2</v>
      </c>
      <c r="J40" t="s">
        <v>2599</v>
      </c>
      <c r="K40" t="s">
        <v>1001</v>
      </c>
      <c r="L40" t="s">
        <v>27</v>
      </c>
    </row>
    <row r="41" spans="1:12" x14ac:dyDescent="0.3">
      <c r="A41" t="s">
        <v>4014</v>
      </c>
      <c r="B41" s="167">
        <v>46200.98</v>
      </c>
      <c r="C41" t="s">
        <v>53</v>
      </c>
      <c r="D41" t="s">
        <v>8</v>
      </c>
      <c r="E41" t="s">
        <v>3938</v>
      </c>
      <c r="F41" t="s">
        <v>3462</v>
      </c>
      <c r="G41" t="s">
        <v>3939</v>
      </c>
      <c r="H41" s="57">
        <v>0.01</v>
      </c>
      <c r="I41" s="166">
        <v>1.7999999999999999E-2</v>
      </c>
      <c r="J41" t="s">
        <v>874</v>
      </c>
      <c r="K41" t="s">
        <v>1004</v>
      </c>
      <c r="L41" t="s">
        <v>31</v>
      </c>
    </row>
    <row r="44" spans="1:12" ht="15.6" x14ac:dyDescent="0.3">
      <c r="A44" s="384" t="s">
        <v>4769</v>
      </c>
      <c r="B44" s="384"/>
      <c r="C44" s="384"/>
      <c r="D44" s="384"/>
      <c r="E44" s="384"/>
      <c r="F44" s="384"/>
      <c r="G44" s="384"/>
      <c r="H44" s="384"/>
      <c r="I44" s="384"/>
      <c r="J44" s="384"/>
      <c r="K44" s="384"/>
      <c r="L44" s="384"/>
    </row>
    <row r="45" spans="1:12" x14ac:dyDescent="0.3">
      <c r="A45" s="237"/>
      <c r="B45" s="237"/>
      <c r="C45" s="237"/>
      <c r="D45" s="237"/>
      <c r="E45" s="237"/>
      <c r="F45" s="237"/>
      <c r="G45" s="237"/>
      <c r="H45" s="237"/>
      <c r="I45" s="237"/>
      <c r="J45" s="237"/>
      <c r="K45" s="237"/>
      <c r="L45" s="237"/>
    </row>
    <row r="46" spans="1:12" x14ac:dyDescent="0.3">
      <c r="A46" s="237" t="s">
        <v>4770</v>
      </c>
      <c r="B46" s="237"/>
      <c r="C46" s="237"/>
      <c r="D46" s="237"/>
      <c r="E46" s="237"/>
      <c r="F46" s="237"/>
      <c r="G46" s="237"/>
      <c r="H46" s="237"/>
      <c r="I46" s="237"/>
      <c r="J46" s="237"/>
      <c r="K46" s="237"/>
      <c r="L46" s="237"/>
    </row>
    <row r="47" spans="1:12" x14ac:dyDescent="0.3">
      <c r="A47" s="237"/>
      <c r="B47" s="237"/>
      <c r="C47" s="237"/>
      <c r="D47" s="237"/>
      <c r="E47" s="237"/>
      <c r="F47" s="237"/>
      <c r="G47" s="237"/>
      <c r="H47" s="237"/>
      <c r="I47" s="237"/>
      <c r="J47" s="237"/>
      <c r="K47" s="237"/>
      <c r="L47" s="237"/>
    </row>
    <row r="48" spans="1:12" x14ac:dyDescent="0.3">
      <c r="A48" s="237" t="s">
        <v>4771</v>
      </c>
      <c r="B48" s="237"/>
      <c r="C48" s="237"/>
      <c r="D48" s="237"/>
      <c r="E48" s="237"/>
      <c r="F48" s="237"/>
      <c r="G48" s="237"/>
      <c r="H48" s="237"/>
      <c r="I48" s="237"/>
      <c r="J48" s="237"/>
      <c r="K48" s="237"/>
      <c r="L48" s="237"/>
    </row>
    <row r="49" spans="1:12" x14ac:dyDescent="0.3">
      <c r="A49" s="237"/>
      <c r="B49" s="237"/>
      <c r="C49" s="237"/>
      <c r="D49" s="237"/>
      <c r="E49" s="237"/>
      <c r="F49" s="237"/>
      <c r="G49" s="237"/>
      <c r="H49" s="237"/>
      <c r="I49" s="237"/>
      <c r="J49" s="237"/>
      <c r="K49" s="237"/>
      <c r="L49" s="237"/>
    </row>
    <row r="50" spans="1:12" x14ac:dyDescent="0.3">
      <c r="A50" s="237" t="s">
        <v>4772</v>
      </c>
      <c r="B50" s="237"/>
      <c r="C50" s="237"/>
      <c r="D50" s="237"/>
      <c r="E50" s="237"/>
      <c r="F50" s="237"/>
      <c r="G50" s="237"/>
      <c r="H50" s="237"/>
      <c r="I50" s="237"/>
      <c r="J50" s="237"/>
      <c r="K50" s="237"/>
      <c r="L50" s="237"/>
    </row>
    <row r="51" spans="1:12" x14ac:dyDescent="0.3">
      <c r="A51" s="237"/>
      <c r="B51" s="237"/>
      <c r="C51" s="237"/>
      <c r="D51" s="237"/>
      <c r="E51" s="237"/>
      <c r="F51" s="237"/>
      <c r="G51" s="237"/>
      <c r="H51" s="237"/>
      <c r="I51" s="237"/>
      <c r="J51" s="237"/>
      <c r="K51" s="237"/>
      <c r="L51" s="237"/>
    </row>
    <row r="52" spans="1:12" x14ac:dyDescent="0.3">
      <c r="A52" s="237" t="s">
        <v>4748</v>
      </c>
      <c r="B52" s="237"/>
      <c r="C52" s="237"/>
      <c r="D52" s="237"/>
      <c r="E52" s="237"/>
      <c r="F52" s="237"/>
      <c r="G52" s="237"/>
      <c r="H52" s="237"/>
      <c r="I52" s="237"/>
      <c r="J52" s="237"/>
      <c r="K52" s="237"/>
      <c r="L52" s="237"/>
    </row>
    <row r="54" spans="1:12" ht="18" x14ac:dyDescent="0.35">
      <c r="A54" s="385" t="s">
        <v>4461</v>
      </c>
      <c r="B54" s="385"/>
      <c r="C54" s="385"/>
      <c r="D54" s="385"/>
      <c r="E54" s="385"/>
      <c r="F54" s="385"/>
      <c r="G54" s="385"/>
      <c r="H54" s="385"/>
      <c r="I54" s="385"/>
      <c r="J54" s="385"/>
      <c r="K54" s="385"/>
      <c r="L54" s="385"/>
    </row>
    <row r="56" spans="1:12" ht="15.6" x14ac:dyDescent="0.3">
      <c r="A56" s="222" t="s">
        <v>4462</v>
      </c>
      <c r="B56" s="223"/>
      <c r="C56" s="223"/>
      <c r="D56" s="223"/>
      <c r="E56" s="223"/>
      <c r="F56" s="223"/>
      <c r="G56" s="223"/>
      <c r="H56" s="223"/>
      <c r="I56" s="223"/>
      <c r="J56" s="223"/>
      <c r="K56" s="223"/>
      <c r="L56" s="223"/>
    </row>
    <row r="57" spans="1:12" x14ac:dyDescent="0.3">
      <c r="A57" s="223" t="s">
        <v>4463</v>
      </c>
      <c r="B57" s="223"/>
      <c r="C57" s="223"/>
      <c r="D57" s="223"/>
      <c r="E57" s="223"/>
      <c r="F57" s="223"/>
      <c r="G57" s="223"/>
      <c r="H57" s="223"/>
      <c r="I57" s="223"/>
      <c r="J57" s="223"/>
      <c r="K57" s="223"/>
      <c r="L57" s="223"/>
    </row>
    <row r="58" spans="1:12" x14ac:dyDescent="0.3">
      <c r="A58" s="223" t="s">
        <v>4464</v>
      </c>
      <c r="B58" s="223"/>
      <c r="C58" s="223"/>
      <c r="D58" s="223"/>
      <c r="E58" s="223"/>
      <c r="F58" s="223"/>
      <c r="G58" s="223"/>
      <c r="H58" s="223"/>
      <c r="I58" s="223"/>
      <c r="J58" s="223"/>
      <c r="K58" s="223"/>
      <c r="L58" s="223"/>
    </row>
    <row r="59" spans="1:12" x14ac:dyDescent="0.3">
      <c r="A59" s="223"/>
      <c r="B59" s="223"/>
      <c r="C59" s="223"/>
      <c r="D59" s="223"/>
      <c r="E59" s="223"/>
      <c r="F59" s="223"/>
      <c r="G59" s="223"/>
      <c r="H59" s="223"/>
      <c r="I59" s="223"/>
      <c r="J59" s="223"/>
      <c r="K59" s="223"/>
      <c r="L59" s="223"/>
    </row>
    <row r="60" spans="1:12" x14ac:dyDescent="0.3">
      <c r="A60" s="223" t="s">
        <v>4465</v>
      </c>
      <c r="B60" s="223"/>
      <c r="C60" s="223"/>
      <c r="D60" s="223"/>
      <c r="E60" s="223"/>
      <c r="F60" s="223"/>
      <c r="G60" s="223"/>
      <c r="H60" s="223"/>
      <c r="I60" s="223"/>
      <c r="J60" s="223"/>
      <c r="K60" s="223"/>
      <c r="L60" s="223"/>
    </row>
    <row r="61" spans="1:12" x14ac:dyDescent="0.3">
      <c r="A61" s="223" t="s">
        <v>4466</v>
      </c>
      <c r="B61" s="223"/>
      <c r="C61" s="223"/>
      <c r="D61" s="223"/>
      <c r="E61" s="223"/>
      <c r="F61" s="223"/>
      <c r="G61" s="223"/>
      <c r="H61" s="223"/>
      <c r="I61" s="223"/>
      <c r="J61" s="223"/>
      <c r="K61" s="223"/>
      <c r="L61" s="223"/>
    </row>
    <row r="62" spans="1:12" x14ac:dyDescent="0.3">
      <c r="A62" s="223" t="s">
        <v>4467</v>
      </c>
      <c r="B62" s="223"/>
      <c r="C62" s="223"/>
      <c r="D62" s="223"/>
      <c r="E62" s="223"/>
      <c r="F62" s="223"/>
      <c r="G62" s="223"/>
      <c r="H62" s="223"/>
      <c r="I62" s="223"/>
      <c r="J62" s="223"/>
      <c r="K62" s="223"/>
      <c r="L62" s="223"/>
    </row>
    <row r="63" spans="1:12" x14ac:dyDescent="0.3">
      <c r="A63" s="223" t="s">
        <v>4468</v>
      </c>
      <c r="B63" s="223"/>
      <c r="C63" s="223"/>
      <c r="D63" s="223"/>
      <c r="E63" s="223"/>
      <c r="F63" s="223"/>
      <c r="G63" s="223"/>
      <c r="H63" s="223"/>
      <c r="I63" s="223"/>
      <c r="J63" s="223"/>
      <c r="K63" s="223"/>
      <c r="L63" s="223"/>
    </row>
    <row r="64" spans="1:12" x14ac:dyDescent="0.3">
      <c r="A64" s="223" t="s">
        <v>4469</v>
      </c>
      <c r="B64" s="223"/>
      <c r="C64" s="223"/>
      <c r="D64" s="223"/>
      <c r="E64" s="223"/>
      <c r="F64" s="223"/>
      <c r="G64" s="223"/>
      <c r="H64" s="223"/>
      <c r="I64" s="223"/>
      <c r="J64" s="223"/>
      <c r="K64" s="223"/>
      <c r="L64" s="223"/>
    </row>
    <row r="65" spans="1:12" x14ac:dyDescent="0.3">
      <c r="A65" s="223"/>
      <c r="B65" s="223"/>
      <c r="C65" s="223"/>
      <c r="D65" s="223"/>
      <c r="E65" s="223"/>
      <c r="F65" s="223"/>
      <c r="G65" s="223"/>
      <c r="H65" s="223"/>
      <c r="I65" s="223"/>
      <c r="J65" s="223"/>
      <c r="K65" s="223"/>
      <c r="L65" s="223"/>
    </row>
    <row r="66" spans="1:12" ht="15.6" x14ac:dyDescent="0.3">
      <c r="A66" s="222" t="s">
        <v>4470</v>
      </c>
      <c r="B66" s="223"/>
      <c r="C66" s="223"/>
      <c r="D66" s="223"/>
      <c r="E66" s="223"/>
      <c r="F66" s="223"/>
      <c r="G66" s="223"/>
      <c r="H66" s="223"/>
      <c r="I66" s="223"/>
      <c r="J66" s="223"/>
      <c r="K66" s="223"/>
      <c r="L66" s="223"/>
    </row>
    <row r="67" spans="1:12" x14ac:dyDescent="0.3">
      <c r="A67" s="223"/>
      <c r="B67" s="223"/>
      <c r="C67" s="223"/>
      <c r="D67" s="223"/>
      <c r="E67" s="223"/>
      <c r="F67" s="223"/>
      <c r="G67" s="223"/>
      <c r="H67" s="223"/>
      <c r="I67" s="223"/>
      <c r="J67" s="223"/>
      <c r="K67" s="223"/>
      <c r="L67" s="223"/>
    </row>
    <row r="68" spans="1:12" x14ac:dyDescent="0.3">
      <c r="A68" s="224" t="s">
        <v>4471</v>
      </c>
      <c r="B68" s="223"/>
      <c r="C68" s="223"/>
      <c r="D68" s="223"/>
      <c r="E68" s="223"/>
      <c r="F68" s="223"/>
      <c r="G68" s="223"/>
      <c r="H68" s="223"/>
      <c r="I68" s="223"/>
      <c r="J68" s="223"/>
      <c r="K68" s="223"/>
      <c r="L68" s="223"/>
    </row>
    <row r="69" spans="1:12" x14ac:dyDescent="0.3">
      <c r="A69" s="223" t="s">
        <v>4429</v>
      </c>
      <c r="B69" s="223"/>
      <c r="C69" s="223"/>
      <c r="D69" s="223"/>
      <c r="E69" s="223"/>
      <c r="F69" s="223"/>
      <c r="G69" s="223"/>
      <c r="H69" s="223"/>
      <c r="I69" s="223"/>
      <c r="J69" s="223"/>
      <c r="K69" s="223"/>
      <c r="L69" s="223"/>
    </row>
    <row r="70" spans="1:12" x14ac:dyDescent="0.3">
      <c r="A70" s="223" t="s">
        <v>4472</v>
      </c>
      <c r="B70" s="223"/>
      <c r="C70" s="223"/>
      <c r="D70" s="223"/>
      <c r="E70" s="223"/>
      <c r="F70" s="223"/>
      <c r="G70" s="223"/>
      <c r="H70" s="223"/>
      <c r="I70" s="223"/>
      <c r="J70" s="223"/>
      <c r="K70" s="223"/>
      <c r="L70" s="223"/>
    </row>
    <row r="71" spans="1:12" x14ac:dyDescent="0.3">
      <c r="A71" s="223" t="s">
        <v>4473</v>
      </c>
      <c r="B71" s="223"/>
      <c r="C71" s="223"/>
      <c r="D71" s="223"/>
      <c r="E71" s="223"/>
      <c r="F71" s="223"/>
      <c r="G71" s="223"/>
      <c r="H71" s="223"/>
      <c r="I71" s="223"/>
      <c r="J71" s="223"/>
      <c r="K71" s="223"/>
      <c r="L71" s="223"/>
    </row>
    <row r="72" spans="1:12" x14ac:dyDescent="0.3">
      <c r="A72" s="223" t="s">
        <v>4474</v>
      </c>
      <c r="B72" s="223"/>
      <c r="C72" s="223"/>
      <c r="D72" s="223"/>
      <c r="E72" s="223"/>
      <c r="F72" s="223"/>
      <c r="G72" s="223"/>
      <c r="H72" s="223"/>
      <c r="I72" s="223"/>
      <c r="J72" s="223"/>
      <c r="K72" s="223"/>
      <c r="L72" s="223"/>
    </row>
    <row r="73" spans="1:12" x14ac:dyDescent="0.3">
      <c r="A73" s="223"/>
      <c r="B73" s="223"/>
      <c r="C73" s="223"/>
      <c r="D73" s="223"/>
      <c r="E73" s="223"/>
      <c r="F73" s="223"/>
      <c r="G73" s="223"/>
      <c r="H73" s="223"/>
      <c r="I73" s="223"/>
      <c r="J73" s="223"/>
      <c r="K73" s="223"/>
      <c r="L73" s="223"/>
    </row>
    <row r="74" spans="1:12" x14ac:dyDescent="0.3">
      <c r="A74" s="223" t="s">
        <v>4475</v>
      </c>
      <c r="B74" s="223"/>
      <c r="C74" s="223"/>
      <c r="D74" s="223"/>
      <c r="E74" s="223"/>
      <c r="F74" s="223"/>
      <c r="G74" s="223"/>
      <c r="H74" s="223"/>
      <c r="I74" s="223"/>
      <c r="J74" s="223"/>
      <c r="K74" s="223"/>
      <c r="L74" s="223"/>
    </row>
    <row r="75" spans="1:12" x14ac:dyDescent="0.3">
      <c r="A75" s="223" t="s">
        <v>4476</v>
      </c>
      <c r="B75" s="223"/>
      <c r="C75" s="223"/>
      <c r="D75" s="223"/>
      <c r="E75" s="223"/>
      <c r="F75" s="223"/>
      <c r="G75" s="223"/>
      <c r="H75" s="223"/>
      <c r="I75" s="223"/>
      <c r="J75" s="223"/>
      <c r="K75" s="223"/>
      <c r="L75" s="223"/>
    </row>
    <row r="76" spans="1:12" x14ac:dyDescent="0.3">
      <c r="A76" s="223" t="s">
        <v>4477</v>
      </c>
      <c r="B76" s="223"/>
      <c r="C76" s="223"/>
      <c r="D76" s="223"/>
      <c r="E76" s="223"/>
      <c r="F76" s="223"/>
      <c r="G76" s="223"/>
      <c r="H76" s="223"/>
      <c r="I76" s="223"/>
      <c r="J76" s="223"/>
      <c r="K76" s="223"/>
      <c r="L76" s="223"/>
    </row>
    <row r="77" spans="1:12" x14ac:dyDescent="0.3">
      <c r="A77" s="223" t="s">
        <v>4478</v>
      </c>
      <c r="B77" s="223"/>
      <c r="C77" s="223"/>
      <c r="D77" s="223"/>
      <c r="E77" s="223"/>
      <c r="F77" s="223"/>
      <c r="G77" s="223"/>
      <c r="H77" s="223"/>
      <c r="I77" s="223"/>
      <c r="J77" s="223"/>
      <c r="K77" s="223"/>
      <c r="L77" s="223"/>
    </row>
    <row r="78" spans="1:12" x14ac:dyDescent="0.3">
      <c r="A78" s="223"/>
      <c r="B78" s="223"/>
      <c r="C78" s="223"/>
      <c r="D78" s="223"/>
      <c r="E78" s="223"/>
      <c r="F78" s="223"/>
      <c r="G78" s="223"/>
      <c r="H78" s="223"/>
      <c r="I78" s="223"/>
      <c r="J78" s="223"/>
      <c r="K78" s="223"/>
      <c r="L78" s="223"/>
    </row>
    <row r="79" spans="1:12" ht="15.6" x14ac:dyDescent="0.3">
      <c r="A79" s="222" t="s">
        <v>4479</v>
      </c>
      <c r="B79" s="223"/>
      <c r="C79" s="223"/>
      <c r="D79" s="223"/>
      <c r="E79" s="223"/>
      <c r="F79" s="223"/>
      <c r="G79" s="223"/>
      <c r="H79" s="223"/>
      <c r="I79" s="223"/>
      <c r="J79" s="223"/>
      <c r="K79" s="223"/>
      <c r="L79" s="223"/>
    </row>
    <row r="80" spans="1:12" x14ac:dyDescent="0.3">
      <c r="A80" s="223"/>
      <c r="B80" s="223"/>
      <c r="C80" s="223"/>
      <c r="D80" s="223"/>
      <c r="E80" s="223"/>
      <c r="F80" s="223"/>
      <c r="G80" s="223"/>
      <c r="H80" s="223"/>
      <c r="I80" s="223"/>
      <c r="J80" s="223"/>
      <c r="K80" s="223"/>
      <c r="L80" s="223"/>
    </row>
    <row r="81" spans="1:12" x14ac:dyDescent="0.3">
      <c r="A81" s="224" t="s">
        <v>4480</v>
      </c>
      <c r="B81" s="223"/>
      <c r="C81" s="223"/>
      <c r="D81" s="223"/>
      <c r="E81" s="223"/>
      <c r="F81" s="223"/>
      <c r="G81" s="223"/>
      <c r="H81" s="223"/>
      <c r="I81" s="223"/>
      <c r="J81" s="223"/>
      <c r="K81" s="223"/>
      <c r="L81" s="223"/>
    </row>
    <row r="82" spans="1:12" x14ac:dyDescent="0.3">
      <c r="A82" s="223" t="s">
        <v>4429</v>
      </c>
      <c r="B82" s="223"/>
      <c r="C82" s="223"/>
      <c r="D82" s="223"/>
      <c r="E82" s="223"/>
      <c r="F82" s="223"/>
      <c r="G82" s="223"/>
      <c r="H82" s="223"/>
      <c r="I82" s="223"/>
      <c r="J82" s="223"/>
      <c r="K82" s="223"/>
      <c r="L82" s="223"/>
    </row>
    <row r="83" spans="1:12" x14ac:dyDescent="0.3">
      <c r="A83" s="223" t="s">
        <v>4481</v>
      </c>
      <c r="B83" s="223"/>
      <c r="C83" s="223"/>
      <c r="D83" s="223"/>
      <c r="E83" s="223"/>
      <c r="F83" s="223"/>
      <c r="G83" s="223"/>
      <c r="H83" s="223"/>
      <c r="I83" s="223"/>
      <c r="J83" s="223"/>
      <c r="K83" s="223"/>
      <c r="L83" s="223"/>
    </row>
    <row r="84" spans="1:12" x14ac:dyDescent="0.3">
      <c r="A84" s="223" t="s">
        <v>4482</v>
      </c>
      <c r="B84" s="223"/>
      <c r="C84" s="223"/>
      <c r="D84" s="223"/>
      <c r="E84" s="223"/>
      <c r="F84" s="223"/>
      <c r="G84" s="223"/>
      <c r="H84" s="223"/>
      <c r="I84" s="223"/>
      <c r="J84" s="223"/>
      <c r="K84" s="223"/>
      <c r="L84" s="223"/>
    </row>
    <row r="85" spans="1:12" x14ac:dyDescent="0.3">
      <c r="A85" s="223" t="s">
        <v>4483</v>
      </c>
      <c r="B85" s="223"/>
      <c r="C85" s="223"/>
      <c r="D85" s="223"/>
      <c r="E85" s="223"/>
      <c r="F85" s="223"/>
      <c r="G85" s="223"/>
      <c r="H85" s="223"/>
      <c r="I85" s="223"/>
      <c r="J85" s="223"/>
      <c r="K85" s="223"/>
      <c r="L85" s="223"/>
    </row>
    <row r="86" spans="1:12" x14ac:dyDescent="0.3">
      <c r="A86" s="223" t="s">
        <v>4484</v>
      </c>
      <c r="B86" s="223"/>
      <c r="C86" s="223"/>
      <c r="D86" s="223"/>
      <c r="E86" s="223"/>
      <c r="F86" s="223"/>
      <c r="G86" s="223"/>
      <c r="H86" s="223"/>
      <c r="I86" s="223"/>
      <c r="J86" s="223"/>
      <c r="K86" s="223"/>
      <c r="L86" s="223"/>
    </row>
    <row r="87" spans="1:12" x14ac:dyDescent="0.3">
      <c r="A87" s="223" t="s">
        <v>4485</v>
      </c>
      <c r="B87" s="223"/>
      <c r="C87" s="223"/>
      <c r="D87" s="223"/>
      <c r="E87" s="223"/>
      <c r="F87" s="223"/>
      <c r="G87" s="223"/>
      <c r="H87" s="223"/>
      <c r="I87" s="223"/>
      <c r="J87" s="223"/>
      <c r="K87" s="223"/>
      <c r="L87" s="223"/>
    </row>
    <row r="88" spans="1:12" x14ac:dyDescent="0.3">
      <c r="A88" s="223" t="s">
        <v>4486</v>
      </c>
      <c r="B88" s="223"/>
      <c r="C88" s="223"/>
      <c r="D88" s="223"/>
      <c r="E88" s="223"/>
      <c r="F88" s="223"/>
      <c r="G88" s="223"/>
      <c r="H88" s="223"/>
      <c r="I88" s="223"/>
      <c r="J88" s="223"/>
      <c r="K88" s="223"/>
      <c r="L88" s="223"/>
    </row>
    <row r="89" spans="1:12" x14ac:dyDescent="0.3">
      <c r="A89" s="223" t="s">
        <v>4487</v>
      </c>
      <c r="B89" s="223"/>
      <c r="C89" s="223"/>
      <c r="D89" s="223"/>
      <c r="E89" s="223"/>
      <c r="F89" s="223"/>
      <c r="G89" s="223"/>
      <c r="H89" s="223"/>
      <c r="I89" s="223"/>
      <c r="J89" s="223"/>
      <c r="K89" s="223"/>
      <c r="L89" s="223"/>
    </row>
    <row r="90" spans="1:12" x14ac:dyDescent="0.3">
      <c r="A90" s="223" t="s">
        <v>4488</v>
      </c>
      <c r="B90" s="223"/>
      <c r="C90" s="223"/>
      <c r="D90" s="223"/>
      <c r="E90" s="223"/>
      <c r="F90" s="223"/>
      <c r="G90" s="223"/>
      <c r="H90" s="223"/>
      <c r="I90" s="223"/>
      <c r="J90" s="223"/>
      <c r="K90" s="223"/>
      <c r="L90" s="223"/>
    </row>
    <row r="91" spans="1:12" x14ac:dyDescent="0.3">
      <c r="A91" s="223" t="s">
        <v>4489</v>
      </c>
      <c r="B91" s="223"/>
      <c r="C91" s="223"/>
      <c r="D91" s="223"/>
      <c r="E91" s="223"/>
      <c r="F91" s="223"/>
      <c r="G91" s="223"/>
      <c r="H91" s="223"/>
      <c r="I91" s="223"/>
      <c r="J91" s="223"/>
      <c r="K91" s="223"/>
      <c r="L91" s="223"/>
    </row>
    <row r="92" spans="1:12" x14ac:dyDescent="0.3">
      <c r="A92" s="223" t="s">
        <v>4490</v>
      </c>
      <c r="B92" s="223"/>
      <c r="C92" s="223"/>
      <c r="D92" s="223"/>
      <c r="E92" s="223"/>
      <c r="F92" s="223"/>
      <c r="G92" s="223"/>
      <c r="H92" s="223"/>
      <c r="I92" s="223"/>
      <c r="J92" s="223"/>
      <c r="K92" s="223"/>
      <c r="L92" s="223"/>
    </row>
    <row r="93" spans="1:12" x14ac:dyDescent="0.3">
      <c r="A93" s="223" t="s">
        <v>4491</v>
      </c>
      <c r="B93" s="223"/>
      <c r="C93" s="223"/>
      <c r="D93" s="223"/>
      <c r="E93" s="223"/>
      <c r="F93" s="223"/>
      <c r="G93" s="223"/>
      <c r="H93" s="223"/>
      <c r="I93" s="223"/>
      <c r="J93" s="223"/>
      <c r="K93" s="223"/>
      <c r="L93" s="223"/>
    </row>
    <row r="94" spans="1:12" x14ac:dyDescent="0.3">
      <c r="A94" s="223" t="s">
        <v>4492</v>
      </c>
      <c r="B94" s="223"/>
      <c r="C94" s="223"/>
      <c r="D94" s="223"/>
      <c r="E94" s="223"/>
      <c r="F94" s="223"/>
      <c r="G94" s="223"/>
      <c r="H94" s="223"/>
      <c r="I94" s="223"/>
      <c r="J94" s="223"/>
      <c r="K94" s="223"/>
      <c r="L94" s="223"/>
    </row>
    <row r="95" spans="1:12" x14ac:dyDescent="0.3">
      <c r="A95" s="223"/>
      <c r="B95" s="223"/>
      <c r="C95" s="223"/>
      <c r="D95" s="223"/>
      <c r="E95" s="223"/>
      <c r="F95" s="223"/>
      <c r="G95" s="223"/>
      <c r="H95" s="223"/>
      <c r="I95" s="223"/>
      <c r="J95" s="223"/>
      <c r="K95" s="223"/>
      <c r="L95" s="223"/>
    </row>
    <row r="96" spans="1:12" ht="15.6" x14ac:dyDescent="0.3">
      <c r="A96" s="222" t="s">
        <v>4493</v>
      </c>
      <c r="B96" s="223"/>
      <c r="C96" s="223"/>
      <c r="D96" s="223"/>
      <c r="E96" s="223"/>
      <c r="F96" s="223"/>
      <c r="G96" s="223"/>
      <c r="H96" s="223"/>
      <c r="I96" s="223"/>
      <c r="J96" s="223"/>
      <c r="K96" s="223"/>
      <c r="L96" s="223"/>
    </row>
    <row r="97" spans="1:12" x14ac:dyDescent="0.3">
      <c r="A97" s="223"/>
      <c r="B97" s="223"/>
      <c r="C97" s="223"/>
      <c r="D97" s="223"/>
      <c r="E97" s="223"/>
      <c r="F97" s="223"/>
      <c r="G97" s="223"/>
      <c r="H97" s="223"/>
      <c r="I97" s="223"/>
      <c r="J97" s="223"/>
      <c r="K97" s="223"/>
      <c r="L97" s="223"/>
    </row>
    <row r="98" spans="1:12" x14ac:dyDescent="0.3">
      <c r="A98" s="223" t="s">
        <v>4494</v>
      </c>
      <c r="B98" s="223"/>
      <c r="C98" s="223"/>
      <c r="D98" s="223"/>
      <c r="E98" s="223"/>
      <c r="F98" s="223"/>
      <c r="G98" s="223"/>
      <c r="H98" s="223"/>
      <c r="I98" s="223"/>
      <c r="J98" s="223"/>
      <c r="K98" s="223"/>
      <c r="L98" s="223"/>
    </row>
    <row r="99" spans="1:12" x14ac:dyDescent="0.3">
      <c r="A99" s="223"/>
      <c r="B99" s="223"/>
      <c r="C99" s="223"/>
      <c r="D99" s="223"/>
      <c r="E99" s="223"/>
      <c r="F99" s="223"/>
      <c r="G99" s="223"/>
      <c r="H99" s="223"/>
      <c r="I99" s="223"/>
      <c r="J99" s="223"/>
      <c r="K99" s="223"/>
      <c r="L99" s="223"/>
    </row>
    <row r="100" spans="1:12" x14ac:dyDescent="0.3">
      <c r="A100" s="223" t="s">
        <v>4495</v>
      </c>
      <c r="B100" s="223"/>
      <c r="C100" s="223"/>
      <c r="D100" s="223"/>
      <c r="E100" s="223"/>
      <c r="F100" s="223"/>
      <c r="G100" s="223"/>
      <c r="H100" s="223"/>
      <c r="I100" s="223"/>
      <c r="J100" s="223"/>
      <c r="K100" s="223"/>
      <c r="L100" s="223"/>
    </row>
    <row r="101" spans="1:12" x14ac:dyDescent="0.3">
      <c r="A101" s="223" t="s">
        <v>4496</v>
      </c>
      <c r="B101" s="223"/>
      <c r="C101" s="223"/>
      <c r="D101" s="223"/>
      <c r="E101" s="223"/>
      <c r="F101" s="223"/>
      <c r="G101" s="223"/>
      <c r="H101" s="223"/>
      <c r="I101" s="223"/>
      <c r="J101" s="223"/>
      <c r="K101" s="223"/>
      <c r="L101" s="223"/>
    </row>
    <row r="102" spans="1:12" x14ac:dyDescent="0.3">
      <c r="A102" s="223" t="s">
        <v>4497</v>
      </c>
      <c r="B102" s="223"/>
      <c r="C102" s="223"/>
      <c r="D102" s="223"/>
      <c r="E102" s="223"/>
      <c r="F102" s="223"/>
      <c r="G102" s="223"/>
      <c r="H102" s="223"/>
      <c r="I102" s="223"/>
      <c r="J102" s="223"/>
      <c r="K102" s="223"/>
      <c r="L102" s="223"/>
    </row>
    <row r="103" spans="1:12" x14ac:dyDescent="0.3">
      <c r="A103" s="223" t="s">
        <v>4498</v>
      </c>
      <c r="B103" s="223"/>
      <c r="C103" s="223"/>
      <c r="D103" s="223"/>
      <c r="E103" s="223"/>
      <c r="F103" s="223"/>
      <c r="G103" s="223"/>
      <c r="H103" s="223"/>
      <c r="I103" s="223"/>
      <c r="J103" s="223"/>
      <c r="K103" s="223"/>
      <c r="L103" s="223"/>
    </row>
    <row r="104" spans="1:12" x14ac:dyDescent="0.3">
      <c r="A104" s="223" t="s">
        <v>4499</v>
      </c>
      <c r="B104" s="223"/>
      <c r="C104" s="223"/>
      <c r="D104" s="223"/>
      <c r="E104" s="223"/>
      <c r="F104" s="223"/>
      <c r="G104" s="223"/>
      <c r="H104" s="223"/>
      <c r="I104" s="223"/>
      <c r="J104" s="223"/>
      <c r="K104" s="223"/>
      <c r="L104" s="223"/>
    </row>
    <row r="105" spans="1:12" x14ac:dyDescent="0.3">
      <c r="A105" s="223"/>
      <c r="B105" s="223"/>
      <c r="C105" s="223"/>
      <c r="D105" s="223"/>
      <c r="E105" s="223"/>
      <c r="F105" s="223"/>
      <c r="G105" s="223"/>
      <c r="H105" s="223"/>
      <c r="I105" s="223"/>
      <c r="J105" s="223"/>
      <c r="K105" s="223"/>
      <c r="L105" s="223"/>
    </row>
    <row r="106" spans="1:12" x14ac:dyDescent="0.3">
      <c r="A106" s="223" t="s">
        <v>4500</v>
      </c>
      <c r="B106" s="223"/>
      <c r="C106" s="223"/>
      <c r="D106" s="223"/>
      <c r="E106" s="223"/>
      <c r="F106" s="223"/>
      <c r="G106" s="223"/>
      <c r="H106" s="223"/>
      <c r="I106" s="223"/>
      <c r="J106" s="223"/>
      <c r="K106" s="223"/>
      <c r="L106" s="223"/>
    </row>
    <row r="107" spans="1:12" x14ac:dyDescent="0.3">
      <c r="A107" s="223" t="s">
        <v>4501</v>
      </c>
      <c r="B107" s="223"/>
      <c r="C107" s="223"/>
      <c r="D107" s="223"/>
      <c r="E107" s="223"/>
      <c r="F107" s="223"/>
      <c r="G107" s="223"/>
      <c r="H107" s="223"/>
      <c r="I107" s="223"/>
      <c r="J107" s="223"/>
      <c r="K107" s="223"/>
      <c r="L107" s="223"/>
    </row>
    <row r="108" spans="1:12" x14ac:dyDescent="0.3">
      <c r="A108" s="223" t="s">
        <v>4502</v>
      </c>
      <c r="B108" s="223"/>
      <c r="C108" s="223"/>
      <c r="D108" s="223"/>
      <c r="E108" s="223"/>
      <c r="F108" s="223"/>
      <c r="G108" s="223"/>
      <c r="H108" s="223"/>
      <c r="I108" s="223"/>
      <c r="J108" s="223"/>
      <c r="K108" s="223"/>
      <c r="L108" s="223"/>
    </row>
    <row r="109" spans="1:12" x14ac:dyDescent="0.3">
      <c r="A109" s="223" t="s">
        <v>4503</v>
      </c>
      <c r="B109" s="223"/>
      <c r="C109" s="223"/>
      <c r="D109" s="223"/>
      <c r="E109" s="223"/>
      <c r="F109" s="223"/>
      <c r="G109" s="223"/>
      <c r="H109" s="223"/>
      <c r="I109" s="223"/>
      <c r="J109" s="223"/>
      <c r="K109" s="223"/>
      <c r="L109" s="223"/>
    </row>
    <row r="110" spans="1:12" x14ac:dyDescent="0.3">
      <c r="A110" s="223"/>
      <c r="B110" s="223"/>
      <c r="C110" s="223"/>
      <c r="D110" s="223"/>
      <c r="E110" s="223"/>
      <c r="F110" s="223"/>
      <c r="G110" s="223"/>
      <c r="H110" s="223"/>
      <c r="I110" s="223"/>
      <c r="J110" s="223"/>
      <c r="K110" s="223"/>
      <c r="L110" s="223"/>
    </row>
    <row r="111" spans="1:12" ht="15.6" x14ac:dyDescent="0.3">
      <c r="A111" s="222" t="s">
        <v>4451</v>
      </c>
      <c r="B111" s="223"/>
      <c r="C111" s="223"/>
      <c r="D111" s="223"/>
      <c r="E111" s="223"/>
      <c r="F111" s="223"/>
      <c r="G111" s="223"/>
      <c r="H111" s="223"/>
      <c r="I111" s="223"/>
      <c r="J111" s="223"/>
      <c r="K111" s="223"/>
      <c r="L111" s="223"/>
    </row>
    <row r="112" spans="1:12" x14ac:dyDescent="0.3">
      <c r="A112" s="223"/>
      <c r="B112" s="223"/>
      <c r="C112" s="223"/>
      <c r="D112" s="223"/>
      <c r="E112" s="223"/>
      <c r="F112" s="223"/>
      <c r="G112" s="223"/>
      <c r="H112" s="223"/>
      <c r="I112" s="223"/>
      <c r="J112" s="223"/>
      <c r="K112" s="223"/>
      <c r="L112" s="223"/>
    </row>
    <row r="113" spans="1:12" x14ac:dyDescent="0.3">
      <c r="A113" s="223" t="s">
        <v>4504</v>
      </c>
      <c r="B113" s="223"/>
      <c r="C113" s="223"/>
      <c r="D113" s="223"/>
      <c r="E113" s="223"/>
      <c r="F113" s="223"/>
      <c r="G113" s="223"/>
      <c r="H113" s="223"/>
      <c r="I113" s="223"/>
      <c r="J113" s="223"/>
      <c r="K113" s="223"/>
      <c r="L113" s="223"/>
    </row>
    <row r="114" spans="1:12" x14ac:dyDescent="0.3">
      <c r="A114" s="223" t="s">
        <v>4505</v>
      </c>
      <c r="B114" s="223"/>
      <c r="C114" s="223"/>
      <c r="D114" s="223"/>
      <c r="E114" s="223"/>
      <c r="F114" s="223"/>
      <c r="G114" s="223"/>
      <c r="H114" s="223"/>
      <c r="I114" s="223"/>
      <c r="J114" s="223"/>
      <c r="K114" s="223"/>
      <c r="L114" s="223"/>
    </row>
    <row r="115" spans="1:12" x14ac:dyDescent="0.3">
      <c r="A115" s="223" t="s">
        <v>4506</v>
      </c>
      <c r="B115" s="223"/>
      <c r="C115" s="223"/>
      <c r="D115" s="223"/>
      <c r="E115" s="223"/>
      <c r="F115" s="223"/>
      <c r="G115" s="223"/>
      <c r="H115" s="223"/>
      <c r="I115" s="223"/>
      <c r="J115" s="223"/>
      <c r="K115" s="223"/>
      <c r="L115" s="223"/>
    </row>
    <row r="116" spans="1:12" x14ac:dyDescent="0.3">
      <c r="A116" s="223" t="s">
        <v>4507</v>
      </c>
      <c r="B116" s="223"/>
      <c r="C116" s="223"/>
      <c r="D116" s="223"/>
      <c r="E116" s="223"/>
      <c r="F116" s="223"/>
      <c r="G116" s="223"/>
      <c r="H116" s="223"/>
      <c r="I116" s="223"/>
      <c r="J116" s="223"/>
      <c r="K116" s="223"/>
      <c r="L116" s="223"/>
    </row>
    <row r="117" spans="1:12" x14ac:dyDescent="0.3">
      <c r="A117" s="223" t="s">
        <v>4508</v>
      </c>
      <c r="B117" s="223"/>
      <c r="C117" s="223"/>
      <c r="D117" s="223"/>
      <c r="E117" s="223"/>
      <c r="F117" s="223"/>
      <c r="G117" s="223"/>
      <c r="H117" s="223"/>
      <c r="I117" s="223"/>
      <c r="J117" s="223"/>
      <c r="K117" s="223"/>
      <c r="L117" s="223"/>
    </row>
    <row r="118" spans="1:12" x14ac:dyDescent="0.3">
      <c r="A118" s="223" t="s">
        <v>4509</v>
      </c>
      <c r="B118" s="223"/>
      <c r="C118" s="223"/>
      <c r="D118" s="223"/>
      <c r="E118" s="223"/>
      <c r="F118" s="223"/>
      <c r="G118" s="223"/>
      <c r="H118" s="223"/>
      <c r="I118" s="223"/>
      <c r="J118" s="223"/>
      <c r="K118" s="223"/>
      <c r="L118" s="223"/>
    </row>
    <row r="119" spans="1:12" x14ac:dyDescent="0.3">
      <c r="A119" s="223" t="s">
        <v>4510</v>
      </c>
      <c r="B119" s="223"/>
      <c r="C119" s="223"/>
      <c r="D119" s="223"/>
      <c r="E119" s="223"/>
      <c r="F119" s="223"/>
      <c r="G119" s="223"/>
      <c r="H119" s="223"/>
      <c r="I119" s="223"/>
      <c r="J119" s="223"/>
      <c r="K119" s="223"/>
      <c r="L119" s="223"/>
    </row>
    <row r="120" spans="1:12" x14ac:dyDescent="0.3">
      <c r="A120" s="223"/>
      <c r="B120" s="223"/>
      <c r="C120" s="223"/>
      <c r="D120" s="223"/>
      <c r="E120" s="223"/>
      <c r="F120" s="223"/>
      <c r="G120" s="223"/>
      <c r="H120" s="223"/>
      <c r="I120" s="223"/>
      <c r="J120" s="223"/>
      <c r="K120" s="223"/>
      <c r="L120" s="223"/>
    </row>
    <row r="121" spans="1:12" x14ac:dyDescent="0.3">
      <c r="A121" s="223" t="s">
        <v>4511</v>
      </c>
      <c r="B121" s="223"/>
      <c r="C121" s="223"/>
      <c r="D121" s="223"/>
      <c r="E121" s="223"/>
      <c r="F121" s="223"/>
      <c r="G121" s="223"/>
      <c r="H121" s="223"/>
      <c r="I121" s="223"/>
      <c r="J121" s="223"/>
      <c r="K121" s="223"/>
      <c r="L121" s="223"/>
    </row>
    <row r="122" spans="1:12" x14ac:dyDescent="0.3">
      <c r="A122" s="223" t="s">
        <v>4512</v>
      </c>
      <c r="B122" s="223"/>
      <c r="C122" s="223"/>
      <c r="D122" s="223"/>
      <c r="E122" s="223"/>
      <c r="F122" s="223"/>
      <c r="G122" s="223"/>
      <c r="H122" s="223"/>
      <c r="I122" s="223"/>
      <c r="J122" s="223"/>
      <c r="K122" s="223"/>
      <c r="L122" s="223"/>
    </row>
  </sheetData>
  <mergeCells count="2">
    <mergeCell ref="A54:L54"/>
    <mergeCell ref="A44:L4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623D-BBFC-4EA6-A2B6-5E0C661A5D23}">
  <sheetPr>
    <tabColor theme="5"/>
  </sheetPr>
  <dimension ref="A1:K86"/>
  <sheetViews>
    <sheetView topLeftCell="A19" workbookViewId="0">
      <selection activeCell="H16" sqref="H16"/>
    </sheetView>
  </sheetViews>
  <sheetFormatPr defaultRowHeight="14.4" x14ac:dyDescent="0.3"/>
  <cols>
    <col min="1" max="1" width="10.5546875" bestFit="1" customWidth="1"/>
    <col min="2" max="2" width="17" customWidth="1"/>
    <col min="3" max="3" width="25.109375" bestFit="1" customWidth="1"/>
    <col min="4" max="4" width="13.5546875" bestFit="1" customWidth="1"/>
    <col min="5" max="5" width="8.21875" bestFit="1" customWidth="1"/>
    <col min="6" max="6" width="55.77734375" bestFit="1" customWidth="1"/>
    <col min="7" max="7" width="13.44140625" bestFit="1" customWidth="1"/>
    <col min="8" max="8" width="9.109375" bestFit="1" customWidth="1"/>
    <col min="9" max="10" width="15.44140625" bestFit="1" customWidth="1"/>
    <col min="11" max="11" width="12.21875" bestFit="1" customWidth="1"/>
  </cols>
  <sheetData>
    <row r="1" spans="1:11" x14ac:dyDescent="0.3">
      <c r="A1" s="168" t="s">
        <v>4015</v>
      </c>
      <c r="B1" s="168" t="s">
        <v>3917</v>
      </c>
      <c r="C1" s="168" t="s">
        <v>2</v>
      </c>
      <c r="D1" s="168" t="s">
        <v>1</v>
      </c>
      <c r="E1" s="168" t="s">
        <v>2278</v>
      </c>
      <c r="F1" s="168" t="s">
        <v>1718</v>
      </c>
      <c r="G1" s="168" t="s">
        <v>112</v>
      </c>
      <c r="H1" s="168" t="s">
        <v>106</v>
      </c>
      <c r="I1" s="168" t="s">
        <v>3921</v>
      </c>
      <c r="J1" s="168" t="s">
        <v>4016</v>
      </c>
      <c r="K1" s="168" t="s">
        <v>487</v>
      </c>
    </row>
    <row r="2" spans="1:11" x14ac:dyDescent="0.3">
      <c r="A2" t="s">
        <v>4017</v>
      </c>
      <c r="B2" s="167">
        <v>46201.95</v>
      </c>
      <c r="C2" t="s">
        <v>3923</v>
      </c>
      <c r="D2" t="s">
        <v>5</v>
      </c>
      <c r="E2" t="s">
        <v>3101</v>
      </c>
      <c r="F2" t="s">
        <v>4018</v>
      </c>
      <c r="G2" t="s">
        <v>874</v>
      </c>
      <c r="H2" t="s">
        <v>4019</v>
      </c>
      <c r="I2" t="s">
        <v>941</v>
      </c>
      <c r="J2" t="s">
        <v>178</v>
      </c>
      <c r="K2" t="s">
        <v>31</v>
      </c>
    </row>
    <row r="3" spans="1:11" x14ac:dyDescent="0.3">
      <c r="A3" t="s">
        <v>4020</v>
      </c>
      <c r="B3" s="167">
        <v>46201.85</v>
      </c>
      <c r="C3" t="s">
        <v>36</v>
      </c>
      <c r="D3" t="s">
        <v>6</v>
      </c>
      <c r="E3" t="s">
        <v>3101</v>
      </c>
      <c r="F3" t="s">
        <v>4021</v>
      </c>
      <c r="G3" t="s">
        <v>4022</v>
      </c>
      <c r="H3" t="s">
        <v>4019</v>
      </c>
      <c r="I3" t="s">
        <v>947</v>
      </c>
      <c r="J3" t="s">
        <v>125</v>
      </c>
      <c r="K3" t="s">
        <v>31</v>
      </c>
    </row>
    <row r="4" spans="1:11" x14ac:dyDescent="0.3">
      <c r="A4" t="s">
        <v>4023</v>
      </c>
      <c r="B4" s="167">
        <v>46201.75</v>
      </c>
      <c r="C4" t="s">
        <v>70</v>
      </c>
      <c r="D4" t="s">
        <v>9</v>
      </c>
      <c r="E4" t="s">
        <v>3101</v>
      </c>
      <c r="F4" t="s">
        <v>4024</v>
      </c>
      <c r="G4" t="s">
        <v>874</v>
      </c>
      <c r="H4" t="s">
        <v>4019</v>
      </c>
      <c r="I4" t="s">
        <v>950</v>
      </c>
      <c r="K4" t="s">
        <v>31</v>
      </c>
    </row>
    <row r="5" spans="1:11" x14ac:dyDescent="0.3">
      <c r="A5" t="s">
        <v>4025</v>
      </c>
      <c r="B5" s="167">
        <v>46201.65</v>
      </c>
      <c r="C5" t="s">
        <v>44</v>
      </c>
      <c r="D5" t="s">
        <v>7</v>
      </c>
      <c r="E5" t="s">
        <v>3105</v>
      </c>
      <c r="F5" t="s">
        <v>4026</v>
      </c>
      <c r="G5" t="s">
        <v>874</v>
      </c>
      <c r="H5" t="s">
        <v>4003</v>
      </c>
      <c r="I5" t="s">
        <v>953</v>
      </c>
      <c r="J5" t="s">
        <v>169</v>
      </c>
      <c r="K5" t="s">
        <v>31</v>
      </c>
    </row>
    <row r="6" spans="1:11" x14ac:dyDescent="0.3">
      <c r="A6" t="s">
        <v>4027</v>
      </c>
      <c r="B6" s="167">
        <v>46201.55</v>
      </c>
      <c r="C6" t="s">
        <v>93</v>
      </c>
      <c r="D6" t="s">
        <v>12</v>
      </c>
      <c r="E6" t="s">
        <v>3105</v>
      </c>
      <c r="F6" t="s">
        <v>4028</v>
      </c>
      <c r="G6" t="s">
        <v>4022</v>
      </c>
      <c r="H6" t="s">
        <v>4003</v>
      </c>
      <c r="I6" t="s">
        <v>956</v>
      </c>
      <c r="K6" t="s">
        <v>31</v>
      </c>
    </row>
    <row r="7" spans="1:11" x14ac:dyDescent="0.3">
      <c r="A7" t="s">
        <v>4029</v>
      </c>
      <c r="B7" s="167">
        <v>46201.45</v>
      </c>
      <c r="C7" t="s">
        <v>97</v>
      </c>
      <c r="D7" t="s">
        <v>12</v>
      </c>
      <c r="E7" t="s">
        <v>3105</v>
      </c>
      <c r="F7" t="s">
        <v>4030</v>
      </c>
      <c r="G7" t="s">
        <v>874</v>
      </c>
      <c r="H7" t="s">
        <v>3998</v>
      </c>
      <c r="I7" t="s">
        <v>959</v>
      </c>
      <c r="J7" t="s">
        <v>186</v>
      </c>
      <c r="K7" t="s">
        <v>31</v>
      </c>
    </row>
    <row r="8" spans="1:11" x14ac:dyDescent="0.3">
      <c r="A8" t="s">
        <v>4031</v>
      </c>
      <c r="B8" s="167">
        <v>46201.35</v>
      </c>
      <c r="C8" t="s">
        <v>35</v>
      </c>
      <c r="D8" t="s">
        <v>6</v>
      </c>
      <c r="E8" t="s">
        <v>3105</v>
      </c>
      <c r="F8" t="s">
        <v>4032</v>
      </c>
      <c r="G8" t="s">
        <v>3936</v>
      </c>
      <c r="H8" t="s">
        <v>4003</v>
      </c>
      <c r="I8" t="s">
        <v>962</v>
      </c>
      <c r="K8" t="s">
        <v>29</v>
      </c>
    </row>
    <row r="9" spans="1:11" x14ac:dyDescent="0.3">
      <c r="A9" t="s">
        <v>4033</v>
      </c>
      <c r="B9" s="167">
        <v>46201.25</v>
      </c>
      <c r="C9" t="s">
        <v>66</v>
      </c>
      <c r="D9" t="s">
        <v>9</v>
      </c>
      <c r="E9" t="s">
        <v>3109</v>
      </c>
      <c r="F9" t="s">
        <v>4034</v>
      </c>
      <c r="G9" t="s">
        <v>874</v>
      </c>
      <c r="H9" t="s">
        <v>3998</v>
      </c>
      <c r="I9" t="s">
        <v>965</v>
      </c>
      <c r="K9" t="s">
        <v>31</v>
      </c>
    </row>
    <row r="10" spans="1:11" x14ac:dyDescent="0.3">
      <c r="A10" t="s">
        <v>4035</v>
      </c>
      <c r="B10" s="167">
        <v>46201.15</v>
      </c>
      <c r="C10" t="s">
        <v>51</v>
      </c>
      <c r="D10" t="s">
        <v>7</v>
      </c>
      <c r="E10" t="s">
        <v>3109</v>
      </c>
      <c r="F10" t="s">
        <v>4036</v>
      </c>
      <c r="G10" t="s">
        <v>4022</v>
      </c>
      <c r="H10" t="s">
        <v>3998</v>
      </c>
      <c r="I10" t="s">
        <v>968</v>
      </c>
      <c r="J10" t="s">
        <v>132</v>
      </c>
      <c r="K10" t="s">
        <v>31</v>
      </c>
    </row>
    <row r="11" spans="1:11" x14ac:dyDescent="0.3">
      <c r="A11" t="s">
        <v>4037</v>
      </c>
      <c r="B11" s="167">
        <v>46201.05</v>
      </c>
      <c r="C11" t="s">
        <v>56</v>
      </c>
      <c r="D11" t="s">
        <v>8</v>
      </c>
      <c r="E11" t="s">
        <v>3109</v>
      </c>
      <c r="F11" t="s">
        <v>4038</v>
      </c>
      <c r="G11" t="s">
        <v>2599</v>
      </c>
      <c r="H11" t="s">
        <v>3998</v>
      </c>
      <c r="I11" t="s">
        <v>971</v>
      </c>
      <c r="J11" t="s">
        <v>136</v>
      </c>
      <c r="K11" t="s">
        <v>29</v>
      </c>
    </row>
    <row r="12" spans="1:11" x14ac:dyDescent="0.3">
      <c r="A12" t="s">
        <v>4039</v>
      </c>
      <c r="B12" s="167">
        <v>46200.95</v>
      </c>
      <c r="C12" t="s">
        <v>16</v>
      </c>
      <c r="D12" t="s">
        <v>5</v>
      </c>
      <c r="E12" t="s">
        <v>3105</v>
      </c>
      <c r="F12" t="s">
        <v>4040</v>
      </c>
      <c r="G12" t="s">
        <v>874</v>
      </c>
      <c r="H12" t="s">
        <v>4003</v>
      </c>
      <c r="I12" t="s">
        <v>974</v>
      </c>
      <c r="J12" t="s">
        <v>115</v>
      </c>
      <c r="K12" t="s">
        <v>31</v>
      </c>
    </row>
    <row r="13" spans="1:11" x14ac:dyDescent="0.3">
      <c r="A13" t="s">
        <v>4041</v>
      </c>
      <c r="B13" s="167">
        <v>46200.85</v>
      </c>
      <c r="C13" t="s">
        <v>15</v>
      </c>
      <c r="D13" t="s">
        <v>5</v>
      </c>
      <c r="E13" t="s">
        <v>3109</v>
      </c>
      <c r="F13" t="s">
        <v>4042</v>
      </c>
      <c r="G13" t="s">
        <v>3936</v>
      </c>
      <c r="H13" t="s">
        <v>3998</v>
      </c>
      <c r="I13" t="s">
        <v>977</v>
      </c>
      <c r="K13" t="s">
        <v>31</v>
      </c>
    </row>
    <row r="14" spans="1:11" x14ac:dyDescent="0.3">
      <c r="A14" t="s">
        <v>4043</v>
      </c>
      <c r="B14" s="167">
        <v>46200.75</v>
      </c>
      <c r="C14" t="s">
        <v>59</v>
      </c>
      <c r="D14" t="s">
        <v>8</v>
      </c>
      <c r="E14" t="s">
        <v>3101</v>
      </c>
      <c r="F14" t="s">
        <v>4044</v>
      </c>
      <c r="G14" t="s">
        <v>4022</v>
      </c>
      <c r="H14" t="s">
        <v>4019</v>
      </c>
      <c r="I14" t="s">
        <v>980</v>
      </c>
      <c r="J14" t="s">
        <v>209</v>
      </c>
      <c r="K14" t="s">
        <v>31</v>
      </c>
    </row>
    <row r="15" spans="1:11" x14ac:dyDescent="0.3">
      <c r="A15" t="s">
        <v>4045</v>
      </c>
      <c r="B15" s="167">
        <v>46200.65</v>
      </c>
      <c r="C15" t="s">
        <v>98</v>
      </c>
      <c r="D15" t="s">
        <v>12</v>
      </c>
      <c r="E15" t="s">
        <v>3105</v>
      </c>
      <c r="F15" t="s">
        <v>4046</v>
      </c>
      <c r="G15" t="s">
        <v>874</v>
      </c>
      <c r="H15" t="s">
        <v>4003</v>
      </c>
      <c r="I15" t="s">
        <v>986</v>
      </c>
      <c r="K15" t="s">
        <v>31</v>
      </c>
    </row>
    <row r="16" spans="1:11" x14ac:dyDescent="0.3">
      <c r="A16" t="s">
        <v>4047</v>
      </c>
      <c r="B16" s="167">
        <v>46200.55</v>
      </c>
      <c r="C16" t="s">
        <v>64</v>
      </c>
      <c r="D16" t="s">
        <v>9</v>
      </c>
      <c r="E16" t="s">
        <v>3109</v>
      </c>
      <c r="F16" t="s">
        <v>4048</v>
      </c>
      <c r="G16" t="s">
        <v>2599</v>
      </c>
      <c r="H16" t="s">
        <v>3998</v>
      </c>
      <c r="I16" t="s">
        <v>989</v>
      </c>
      <c r="K16" t="s">
        <v>31</v>
      </c>
    </row>
    <row r="17" spans="1:11" x14ac:dyDescent="0.3">
      <c r="A17" t="s">
        <v>4049</v>
      </c>
      <c r="B17" s="167">
        <v>46200</v>
      </c>
      <c r="C17" t="s">
        <v>73</v>
      </c>
      <c r="D17" t="s">
        <v>10</v>
      </c>
      <c r="E17" t="s">
        <v>3105</v>
      </c>
      <c r="F17" t="s">
        <v>4050</v>
      </c>
      <c r="G17" t="s">
        <v>2599</v>
      </c>
      <c r="H17" t="s">
        <v>4003</v>
      </c>
      <c r="I17" t="s">
        <v>992</v>
      </c>
      <c r="J17" t="s">
        <v>200</v>
      </c>
      <c r="K17" t="s">
        <v>31</v>
      </c>
    </row>
    <row r="18" spans="1:11" x14ac:dyDescent="0.3">
      <c r="A18" t="s">
        <v>4051</v>
      </c>
      <c r="B18" s="167">
        <v>46199.5</v>
      </c>
      <c r="C18" t="s">
        <v>74</v>
      </c>
      <c r="D18" t="s">
        <v>10</v>
      </c>
      <c r="E18" t="s">
        <v>3109</v>
      </c>
      <c r="F18" t="s">
        <v>4052</v>
      </c>
      <c r="G18" t="s">
        <v>2599</v>
      </c>
      <c r="H18" t="s">
        <v>3998</v>
      </c>
      <c r="I18" t="s">
        <v>995</v>
      </c>
      <c r="K18" t="s">
        <v>31</v>
      </c>
    </row>
    <row r="19" spans="1:11" x14ac:dyDescent="0.3">
      <c r="A19" t="s">
        <v>4053</v>
      </c>
      <c r="B19" s="167">
        <v>46199</v>
      </c>
      <c r="C19" t="s">
        <v>47</v>
      </c>
      <c r="D19" t="s">
        <v>7</v>
      </c>
      <c r="E19" t="s">
        <v>3109</v>
      </c>
      <c r="F19" t="s">
        <v>4054</v>
      </c>
      <c r="G19" t="s">
        <v>2599</v>
      </c>
      <c r="H19" t="s">
        <v>3998</v>
      </c>
      <c r="I19" t="s">
        <v>998</v>
      </c>
      <c r="K19" t="s">
        <v>31</v>
      </c>
    </row>
    <row r="22" spans="1:11" ht="15.6" x14ac:dyDescent="0.3">
      <c r="A22" s="384" t="s">
        <v>4773</v>
      </c>
      <c r="B22" s="384"/>
      <c r="C22" s="384"/>
      <c r="D22" s="384"/>
      <c r="E22" s="384"/>
      <c r="F22" s="384"/>
      <c r="G22" s="384"/>
      <c r="H22" s="384"/>
      <c r="I22" s="384"/>
      <c r="J22" s="384"/>
      <c r="K22" s="384"/>
    </row>
    <row r="23" spans="1:11" x14ac:dyDescent="0.3">
      <c r="A23" s="237"/>
      <c r="B23" s="237"/>
      <c r="C23" s="237"/>
      <c r="D23" s="237"/>
      <c r="E23" s="237"/>
      <c r="F23" s="237"/>
      <c r="G23" s="237"/>
      <c r="H23" s="237"/>
      <c r="I23" s="237"/>
      <c r="J23" s="237"/>
      <c r="K23" s="237"/>
    </row>
    <row r="24" spans="1:11" x14ac:dyDescent="0.3">
      <c r="A24" s="237" t="s">
        <v>4774</v>
      </c>
      <c r="B24" s="237"/>
      <c r="C24" s="237"/>
      <c r="D24" s="237"/>
      <c r="E24" s="237"/>
      <c r="F24" s="237"/>
      <c r="G24" s="237"/>
      <c r="H24" s="237"/>
      <c r="I24" s="237"/>
      <c r="J24" s="237"/>
      <c r="K24" s="237"/>
    </row>
    <row r="25" spans="1:11" x14ac:dyDescent="0.3">
      <c r="A25" s="237"/>
      <c r="B25" s="237"/>
      <c r="C25" s="237"/>
      <c r="D25" s="237"/>
      <c r="E25" s="237"/>
      <c r="F25" s="237"/>
      <c r="G25" s="237"/>
      <c r="H25" s="237"/>
      <c r="I25" s="237"/>
      <c r="J25" s="237"/>
      <c r="K25" s="237"/>
    </row>
    <row r="26" spans="1:11" x14ac:dyDescent="0.3">
      <c r="A26" s="237" t="s">
        <v>4775</v>
      </c>
      <c r="B26" s="237"/>
      <c r="C26" s="237"/>
      <c r="D26" s="237"/>
      <c r="E26" s="237"/>
      <c r="F26" s="237"/>
      <c r="G26" s="237"/>
      <c r="H26" s="237"/>
      <c r="I26" s="237"/>
      <c r="J26" s="237"/>
      <c r="K26" s="237"/>
    </row>
    <row r="27" spans="1:11" x14ac:dyDescent="0.3">
      <c r="A27" s="237"/>
      <c r="B27" s="237"/>
      <c r="C27" s="237"/>
      <c r="D27" s="237"/>
      <c r="E27" s="237"/>
      <c r="F27" s="237"/>
      <c r="G27" s="237"/>
      <c r="H27" s="237"/>
      <c r="I27" s="237"/>
      <c r="J27" s="237"/>
      <c r="K27" s="237"/>
    </row>
    <row r="28" spans="1:11" x14ac:dyDescent="0.3">
      <c r="A28" s="237" t="s">
        <v>4776</v>
      </c>
      <c r="B28" s="237"/>
      <c r="C28" s="237"/>
      <c r="D28" s="237"/>
      <c r="E28" s="237"/>
      <c r="F28" s="237"/>
      <c r="G28" s="237"/>
      <c r="H28" s="237"/>
      <c r="I28" s="237"/>
      <c r="J28" s="237"/>
      <c r="K28" s="237"/>
    </row>
    <row r="29" spans="1:11" x14ac:dyDescent="0.3">
      <c r="A29" s="237"/>
      <c r="B29" s="237"/>
      <c r="C29" s="237"/>
      <c r="D29" s="237"/>
      <c r="E29" s="237"/>
      <c r="F29" s="237"/>
      <c r="G29" s="237"/>
      <c r="H29" s="237"/>
      <c r="I29" s="237"/>
      <c r="J29" s="237"/>
      <c r="K29" s="237"/>
    </row>
    <row r="30" spans="1:11" x14ac:dyDescent="0.3">
      <c r="A30" s="237" t="s">
        <v>4748</v>
      </c>
      <c r="B30" s="237"/>
      <c r="C30" s="237"/>
      <c r="D30" s="237"/>
      <c r="E30" s="237"/>
      <c r="F30" s="237"/>
      <c r="G30" s="237"/>
      <c r="H30" s="237"/>
      <c r="I30" s="237"/>
      <c r="J30" s="237"/>
      <c r="K30" s="237"/>
    </row>
    <row r="32" spans="1:11" ht="18" x14ac:dyDescent="0.35">
      <c r="A32" s="385" t="s">
        <v>4513</v>
      </c>
      <c r="B32" s="385"/>
      <c r="C32" s="385"/>
      <c r="D32" s="385"/>
      <c r="E32" s="385"/>
      <c r="F32" s="385"/>
      <c r="G32" s="385"/>
      <c r="H32" s="385"/>
      <c r="I32" s="385"/>
      <c r="J32" s="385"/>
      <c r="K32" s="385"/>
    </row>
    <row r="34" spans="1:11" ht="15.6" x14ac:dyDescent="0.3">
      <c r="A34" s="222" t="s">
        <v>4514</v>
      </c>
      <c r="B34" s="223"/>
      <c r="C34" s="223"/>
      <c r="D34" s="223"/>
      <c r="E34" s="223"/>
      <c r="F34" s="223"/>
      <c r="G34" s="223"/>
      <c r="H34" s="223"/>
      <c r="I34" s="223"/>
      <c r="J34" s="223"/>
      <c r="K34" s="223"/>
    </row>
    <row r="35" spans="1:11" x14ac:dyDescent="0.3">
      <c r="A35" s="223" t="s">
        <v>4515</v>
      </c>
      <c r="B35" s="223"/>
      <c r="C35" s="223"/>
      <c r="D35" s="223"/>
      <c r="E35" s="223"/>
      <c r="F35" s="223"/>
      <c r="G35" s="223"/>
      <c r="H35" s="223"/>
      <c r="I35" s="223"/>
      <c r="J35" s="223"/>
      <c r="K35" s="223"/>
    </row>
    <row r="36" spans="1:11" x14ac:dyDescent="0.3">
      <c r="A36" s="223" t="s">
        <v>4516</v>
      </c>
      <c r="B36" s="223"/>
      <c r="C36" s="223"/>
      <c r="D36" s="223"/>
      <c r="E36" s="223"/>
      <c r="F36" s="223"/>
      <c r="G36" s="223"/>
      <c r="H36" s="223"/>
      <c r="I36" s="223"/>
      <c r="J36" s="223"/>
      <c r="K36" s="223"/>
    </row>
    <row r="37" spans="1:11" x14ac:dyDescent="0.3">
      <c r="A37" s="223"/>
      <c r="B37" s="223"/>
      <c r="C37" s="223"/>
      <c r="D37" s="223"/>
      <c r="E37" s="223"/>
      <c r="F37" s="223"/>
      <c r="G37" s="223"/>
      <c r="H37" s="223"/>
      <c r="I37" s="223"/>
      <c r="J37" s="223"/>
      <c r="K37" s="223"/>
    </row>
    <row r="38" spans="1:11" x14ac:dyDescent="0.3">
      <c r="A38" s="223" t="s">
        <v>4517</v>
      </c>
      <c r="B38" s="223"/>
      <c r="C38" s="223"/>
      <c r="D38" s="223"/>
      <c r="E38" s="223"/>
      <c r="F38" s="223"/>
      <c r="G38" s="223"/>
      <c r="H38" s="223"/>
      <c r="I38" s="223"/>
      <c r="J38" s="223"/>
      <c r="K38" s="223"/>
    </row>
    <row r="39" spans="1:11" x14ac:dyDescent="0.3">
      <c r="A39" s="223" t="s">
        <v>4518</v>
      </c>
      <c r="B39" s="223"/>
      <c r="C39" s="223"/>
      <c r="D39" s="223"/>
      <c r="E39" s="223"/>
      <c r="F39" s="223"/>
      <c r="G39" s="223"/>
      <c r="H39" s="223"/>
      <c r="I39" s="223"/>
      <c r="J39" s="223"/>
      <c r="K39" s="223"/>
    </row>
    <row r="40" spans="1:11" x14ac:dyDescent="0.3">
      <c r="A40" s="223" t="s">
        <v>4519</v>
      </c>
      <c r="B40" s="223"/>
      <c r="C40" s="223"/>
      <c r="D40" s="223"/>
      <c r="E40" s="223"/>
      <c r="F40" s="223"/>
      <c r="G40" s="223"/>
      <c r="H40" s="223"/>
      <c r="I40" s="223"/>
      <c r="J40" s="223"/>
      <c r="K40" s="223"/>
    </row>
    <row r="41" spans="1:11" x14ac:dyDescent="0.3">
      <c r="A41" s="223" t="s">
        <v>4520</v>
      </c>
      <c r="B41" s="223"/>
      <c r="C41" s="223"/>
      <c r="D41" s="223"/>
      <c r="E41" s="223"/>
      <c r="F41" s="223"/>
      <c r="G41" s="223"/>
      <c r="H41" s="223"/>
      <c r="I41" s="223"/>
      <c r="J41" s="223"/>
      <c r="K41" s="223"/>
    </row>
    <row r="42" spans="1:11" x14ac:dyDescent="0.3">
      <c r="A42" s="223" t="s">
        <v>4521</v>
      </c>
      <c r="B42" s="223"/>
      <c r="C42" s="223"/>
      <c r="D42" s="223"/>
      <c r="E42" s="223"/>
      <c r="F42" s="223"/>
      <c r="G42" s="223"/>
      <c r="H42" s="223"/>
      <c r="I42" s="223"/>
      <c r="J42" s="223"/>
      <c r="K42" s="223"/>
    </row>
    <row r="43" spans="1:11" x14ac:dyDescent="0.3">
      <c r="A43" s="223"/>
      <c r="B43" s="223"/>
      <c r="C43" s="223"/>
      <c r="D43" s="223"/>
      <c r="E43" s="223"/>
      <c r="F43" s="223"/>
      <c r="G43" s="223"/>
      <c r="H43" s="223"/>
      <c r="I43" s="223"/>
      <c r="J43" s="223"/>
      <c r="K43" s="223"/>
    </row>
    <row r="44" spans="1:11" ht="15.6" x14ac:dyDescent="0.3">
      <c r="A44" s="222" t="s">
        <v>4522</v>
      </c>
      <c r="B44" s="223"/>
      <c r="C44" s="223"/>
      <c r="D44" s="223"/>
      <c r="E44" s="223"/>
      <c r="F44" s="223"/>
      <c r="G44" s="223"/>
      <c r="H44" s="223"/>
      <c r="I44" s="223"/>
      <c r="J44" s="223"/>
      <c r="K44" s="223"/>
    </row>
    <row r="45" spans="1:11" x14ac:dyDescent="0.3">
      <c r="A45" s="223"/>
      <c r="B45" s="223"/>
      <c r="C45" s="223"/>
      <c r="D45" s="223"/>
      <c r="E45" s="223"/>
      <c r="F45" s="223"/>
      <c r="G45" s="223"/>
      <c r="H45" s="223"/>
      <c r="I45" s="223"/>
      <c r="J45" s="223"/>
      <c r="K45" s="223"/>
    </row>
    <row r="46" spans="1:11" x14ac:dyDescent="0.3">
      <c r="A46" s="224" t="s">
        <v>4523</v>
      </c>
      <c r="B46" s="223"/>
      <c r="C46" s="223"/>
      <c r="D46" s="223"/>
      <c r="E46" s="223"/>
      <c r="F46" s="223"/>
      <c r="G46" s="223"/>
      <c r="H46" s="223"/>
      <c r="I46" s="223"/>
      <c r="J46" s="223"/>
      <c r="K46" s="223"/>
    </row>
    <row r="47" spans="1:11" x14ac:dyDescent="0.3">
      <c r="A47" s="223" t="s">
        <v>4429</v>
      </c>
      <c r="B47" s="223"/>
      <c r="C47" s="223"/>
      <c r="D47" s="223"/>
      <c r="E47" s="223"/>
      <c r="F47" s="223"/>
      <c r="G47" s="223"/>
      <c r="H47" s="223"/>
      <c r="I47" s="223"/>
      <c r="J47" s="223"/>
      <c r="K47" s="223"/>
    </row>
    <row r="48" spans="1:11" x14ac:dyDescent="0.3">
      <c r="A48" s="223" t="s">
        <v>4524</v>
      </c>
      <c r="B48" s="223"/>
      <c r="C48" s="223"/>
      <c r="D48" s="223"/>
      <c r="E48" s="223"/>
      <c r="F48" s="223"/>
      <c r="G48" s="223"/>
      <c r="H48" s="223"/>
      <c r="I48" s="223"/>
      <c r="J48" s="223"/>
      <c r="K48" s="223"/>
    </row>
    <row r="49" spans="1:11" x14ac:dyDescent="0.3">
      <c r="A49" s="223" t="s">
        <v>4525</v>
      </c>
      <c r="B49" s="223"/>
      <c r="C49" s="223"/>
      <c r="D49" s="223"/>
      <c r="E49" s="223"/>
      <c r="F49" s="223"/>
      <c r="G49" s="223"/>
      <c r="H49" s="223"/>
      <c r="I49" s="223"/>
      <c r="J49" s="223"/>
      <c r="K49" s="223"/>
    </row>
    <row r="50" spans="1:11" x14ac:dyDescent="0.3">
      <c r="A50" s="223" t="s">
        <v>4526</v>
      </c>
      <c r="B50" s="223"/>
      <c r="C50" s="223"/>
      <c r="D50" s="223"/>
      <c r="E50" s="223"/>
      <c r="F50" s="223"/>
      <c r="G50" s="223"/>
      <c r="H50" s="223"/>
      <c r="I50" s="223"/>
      <c r="J50" s="223"/>
      <c r="K50" s="223"/>
    </row>
    <row r="51" spans="1:11" x14ac:dyDescent="0.3">
      <c r="A51" s="223"/>
      <c r="B51" s="223"/>
      <c r="C51" s="223"/>
      <c r="D51" s="223"/>
      <c r="E51" s="223"/>
      <c r="F51" s="223"/>
      <c r="G51" s="223"/>
      <c r="H51" s="223"/>
      <c r="I51" s="223"/>
      <c r="J51" s="223"/>
      <c r="K51" s="223"/>
    </row>
    <row r="52" spans="1:11" x14ac:dyDescent="0.3">
      <c r="A52" s="223" t="s">
        <v>4527</v>
      </c>
      <c r="B52" s="223"/>
      <c r="C52" s="223"/>
      <c r="D52" s="223"/>
      <c r="E52" s="223"/>
      <c r="F52" s="223"/>
      <c r="G52" s="223"/>
      <c r="H52" s="223"/>
      <c r="I52" s="223"/>
      <c r="J52" s="223"/>
      <c r="K52" s="223"/>
    </row>
    <row r="53" spans="1:11" x14ac:dyDescent="0.3">
      <c r="A53" s="223" t="s">
        <v>4528</v>
      </c>
      <c r="B53" s="223"/>
      <c r="C53" s="223"/>
      <c r="D53" s="223"/>
      <c r="E53" s="223"/>
      <c r="F53" s="223"/>
      <c r="G53" s="223"/>
      <c r="H53" s="223"/>
      <c r="I53" s="223"/>
      <c r="J53" s="223"/>
      <c r="K53" s="223"/>
    </row>
    <row r="54" spans="1:11" x14ac:dyDescent="0.3">
      <c r="A54" s="223" t="s">
        <v>4529</v>
      </c>
      <c r="B54" s="223"/>
      <c r="C54" s="223"/>
      <c r="D54" s="223"/>
      <c r="E54" s="223"/>
      <c r="F54" s="223"/>
      <c r="G54" s="223"/>
      <c r="H54" s="223"/>
      <c r="I54" s="223"/>
      <c r="J54" s="223"/>
      <c r="K54" s="223"/>
    </row>
    <row r="55" spans="1:11" x14ac:dyDescent="0.3">
      <c r="A55" s="223" t="s">
        <v>4530</v>
      </c>
      <c r="B55" s="223"/>
      <c r="C55" s="223"/>
      <c r="D55" s="223"/>
      <c r="E55" s="223"/>
      <c r="F55" s="223"/>
      <c r="G55" s="223"/>
      <c r="H55" s="223"/>
      <c r="I55" s="223"/>
      <c r="J55" s="223"/>
      <c r="K55" s="223"/>
    </row>
    <row r="56" spans="1:11" x14ac:dyDescent="0.3">
      <c r="A56" s="223" t="s">
        <v>4531</v>
      </c>
      <c r="B56" s="223"/>
      <c r="C56" s="223"/>
      <c r="D56" s="223"/>
      <c r="E56" s="223"/>
      <c r="F56" s="223"/>
      <c r="G56" s="223"/>
      <c r="H56" s="223"/>
      <c r="I56" s="223"/>
      <c r="J56" s="223"/>
      <c r="K56" s="223"/>
    </row>
    <row r="57" spans="1:11" x14ac:dyDescent="0.3">
      <c r="A57" s="223"/>
      <c r="B57" s="223"/>
      <c r="C57" s="223"/>
      <c r="D57" s="223"/>
      <c r="E57" s="223"/>
      <c r="F57" s="223"/>
      <c r="G57" s="223"/>
      <c r="H57" s="223"/>
      <c r="I57" s="223"/>
      <c r="J57" s="223"/>
      <c r="K57" s="223"/>
    </row>
    <row r="58" spans="1:11" ht="15.6" x14ac:dyDescent="0.3">
      <c r="A58" s="222" t="s">
        <v>4532</v>
      </c>
      <c r="B58" s="223"/>
      <c r="C58" s="223"/>
      <c r="D58" s="223"/>
      <c r="E58" s="223"/>
      <c r="F58" s="223"/>
      <c r="G58" s="223"/>
      <c r="H58" s="223"/>
      <c r="I58" s="223"/>
      <c r="J58" s="223"/>
      <c r="K58" s="223"/>
    </row>
    <row r="59" spans="1:11" x14ac:dyDescent="0.3">
      <c r="A59" s="223"/>
      <c r="B59" s="223"/>
      <c r="C59" s="223"/>
      <c r="D59" s="223"/>
      <c r="E59" s="223"/>
      <c r="F59" s="223"/>
      <c r="G59" s="223"/>
      <c r="H59" s="223"/>
      <c r="I59" s="223"/>
      <c r="J59" s="223"/>
      <c r="K59" s="223"/>
    </row>
    <row r="60" spans="1:11" x14ac:dyDescent="0.3">
      <c r="A60" s="223" t="s">
        <v>4494</v>
      </c>
      <c r="B60" s="223"/>
      <c r="C60" s="223"/>
      <c r="D60" s="223"/>
      <c r="E60" s="223"/>
      <c r="F60" s="223"/>
      <c r="G60" s="223"/>
      <c r="H60" s="223"/>
      <c r="I60" s="223"/>
      <c r="J60" s="223"/>
      <c r="K60" s="223"/>
    </row>
    <row r="61" spans="1:11" x14ac:dyDescent="0.3">
      <c r="A61" s="223"/>
      <c r="B61" s="223"/>
      <c r="C61" s="223"/>
      <c r="D61" s="223"/>
      <c r="E61" s="223"/>
      <c r="F61" s="223"/>
      <c r="G61" s="223"/>
      <c r="H61" s="223"/>
      <c r="I61" s="223"/>
      <c r="J61" s="223"/>
      <c r="K61" s="223"/>
    </row>
    <row r="62" spans="1:11" x14ac:dyDescent="0.3">
      <c r="A62" s="223" t="s">
        <v>4533</v>
      </c>
      <c r="B62" s="223"/>
      <c r="C62" s="223"/>
      <c r="D62" s="223"/>
      <c r="E62" s="223"/>
      <c r="F62" s="223"/>
      <c r="G62" s="223"/>
      <c r="H62" s="223"/>
      <c r="I62" s="223"/>
      <c r="J62" s="223"/>
      <c r="K62" s="223"/>
    </row>
    <row r="63" spans="1:11" x14ac:dyDescent="0.3">
      <c r="A63" s="223" t="s">
        <v>4534</v>
      </c>
      <c r="B63" s="223"/>
      <c r="C63" s="223"/>
      <c r="D63" s="223"/>
      <c r="E63" s="223"/>
      <c r="F63" s="223"/>
      <c r="G63" s="223"/>
      <c r="H63" s="223"/>
      <c r="I63" s="223"/>
      <c r="J63" s="223"/>
      <c r="K63" s="223"/>
    </row>
    <row r="64" spans="1:11" x14ac:dyDescent="0.3">
      <c r="A64" s="223" t="s">
        <v>4535</v>
      </c>
      <c r="B64" s="223"/>
      <c r="C64" s="223"/>
      <c r="D64" s="223"/>
      <c r="E64" s="223"/>
      <c r="F64" s="223"/>
      <c r="G64" s="223"/>
      <c r="H64" s="223"/>
      <c r="I64" s="223"/>
      <c r="J64" s="223"/>
      <c r="K64" s="223"/>
    </row>
    <row r="65" spans="1:11" x14ac:dyDescent="0.3">
      <c r="A65" s="223" t="s">
        <v>4536</v>
      </c>
      <c r="B65" s="223"/>
      <c r="C65" s="223"/>
      <c r="D65" s="223"/>
      <c r="E65" s="223"/>
      <c r="F65" s="223"/>
      <c r="G65" s="223"/>
      <c r="H65" s="223"/>
      <c r="I65" s="223"/>
      <c r="J65" s="223"/>
      <c r="K65" s="223"/>
    </row>
    <row r="66" spans="1:11" x14ac:dyDescent="0.3">
      <c r="A66" s="223"/>
      <c r="B66" s="223"/>
      <c r="C66" s="223"/>
      <c r="D66" s="223"/>
      <c r="E66" s="223"/>
      <c r="F66" s="223"/>
      <c r="G66" s="223"/>
      <c r="H66" s="223"/>
      <c r="I66" s="223"/>
      <c r="J66" s="223"/>
      <c r="K66" s="223"/>
    </row>
    <row r="67" spans="1:11" x14ac:dyDescent="0.3">
      <c r="A67" s="223" t="s">
        <v>4537</v>
      </c>
      <c r="B67" s="223"/>
      <c r="C67" s="223"/>
      <c r="D67" s="223"/>
      <c r="E67" s="223"/>
      <c r="F67" s="223"/>
      <c r="G67" s="223"/>
      <c r="H67" s="223"/>
      <c r="I67" s="223"/>
      <c r="J67" s="223"/>
      <c r="K67" s="223"/>
    </row>
    <row r="68" spans="1:11" x14ac:dyDescent="0.3">
      <c r="A68" s="223" t="s">
        <v>4538</v>
      </c>
      <c r="B68" s="223"/>
      <c r="C68" s="223"/>
      <c r="D68" s="223"/>
      <c r="E68" s="223"/>
      <c r="F68" s="223"/>
      <c r="G68" s="223"/>
      <c r="H68" s="223"/>
      <c r="I68" s="223"/>
      <c r="J68" s="223"/>
      <c r="K68" s="223"/>
    </row>
    <row r="69" spans="1:11" x14ac:dyDescent="0.3">
      <c r="A69" s="223" t="s">
        <v>4539</v>
      </c>
      <c r="B69" s="223"/>
      <c r="C69" s="223"/>
      <c r="D69" s="223"/>
      <c r="E69" s="223"/>
      <c r="F69" s="223"/>
      <c r="G69" s="223"/>
      <c r="H69" s="223"/>
      <c r="I69" s="223"/>
      <c r="J69" s="223"/>
      <c r="K69" s="223"/>
    </row>
    <row r="70" spans="1:11" x14ac:dyDescent="0.3">
      <c r="A70" s="223" t="s">
        <v>4540</v>
      </c>
      <c r="B70" s="223"/>
      <c r="C70" s="223"/>
      <c r="D70" s="223"/>
      <c r="E70" s="223"/>
      <c r="F70" s="223"/>
      <c r="G70" s="223"/>
      <c r="H70" s="223"/>
      <c r="I70" s="223"/>
      <c r="J70" s="223"/>
      <c r="K70" s="223"/>
    </row>
    <row r="71" spans="1:11" x14ac:dyDescent="0.3">
      <c r="A71" s="223" t="s">
        <v>4541</v>
      </c>
      <c r="B71" s="223"/>
      <c r="C71" s="223"/>
      <c r="D71" s="223"/>
      <c r="E71" s="223"/>
      <c r="F71" s="223"/>
      <c r="G71" s="223"/>
      <c r="H71" s="223"/>
      <c r="I71" s="223"/>
      <c r="J71" s="223"/>
      <c r="K71" s="223"/>
    </row>
    <row r="72" spans="1:11" x14ac:dyDescent="0.3">
      <c r="A72" s="223" t="s">
        <v>4542</v>
      </c>
      <c r="B72" s="223"/>
      <c r="C72" s="223"/>
      <c r="D72" s="223"/>
      <c r="E72" s="223"/>
      <c r="F72" s="223"/>
      <c r="G72" s="223"/>
      <c r="H72" s="223"/>
      <c r="I72" s="223"/>
      <c r="J72" s="223"/>
      <c r="K72" s="223"/>
    </row>
    <row r="73" spans="1:11" x14ac:dyDescent="0.3">
      <c r="A73" s="223"/>
      <c r="B73" s="223"/>
      <c r="C73" s="223"/>
      <c r="D73" s="223"/>
      <c r="E73" s="223"/>
      <c r="F73" s="223"/>
      <c r="G73" s="223"/>
      <c r="H73" s="223"/>
      <c r="I73" s="223"/>
      <c r="J73" s="223"/>
      <c r="K73" s="223"/>
    </row>
    <row r="74" spans="1:11" ht="15.6" x14ac:dyDescent="0.3">
      <c r="A74" s="222" t="s">
        <v>4451</v>
      </c>
      <c r="B74" s="223"/>
      <c r="C74" s="223"/>
      <c r="D74" s="223"/>
      <c r="E74" s="223"/>
      <c r="F74" s="223"/>
      <c r="G74" s="223"/>
      <c r="H74" s="223"/>
      <c r="I74" s="223"/>
      <c r="J74" s="223"/>
      <c r="K74" s="223"/>
    </row>
    <row r="75" spans="1:11" x14ac:dyDescent="0.3">
      <c r="A75" s="223"/>
      <c r="B75" s="223"/>
      <c r="C75" s="223"/>
      <c r="D75" s="223"/>
      <c r="E75" s="223"/>
      <c r="F75" s="223"/>
      <c r="G75" s="223"/>
      <c r="H75" s="223"/>
      <c r="I75" s="223"/>
      <c r="J75" s="223"/>
      <c r="K75" s="223"/>
    </row>
    <row r="76" spans="1:11" x14ac:dyDescent="0.3">
      <c r="A76" s="223" t="s">
        <v>4543</v>
      </c>
      <c r="B76" s="223"/>
      <c r="C76" s="223"/>
      <c r="D76" s="223"/>
      <c r="E76" s="223"/>
      <c r="F76" s="223"/>
      <c r="G76" s="223"/>
      <c r="H76" s="223"/>
      <c r="I76" s="223"/>
      <c r="J76" s="223"/>
      <c r="K76" s="223"/>
    </row>
    <row r="77" spans="1:11" x14ac:dyDescent="0.3">
      <c r="A77" s="223" t="s">
        <v>4544</v>
      </c>
      <c r="B77" s="223"/>
      <c r="C77" s="223"/>
      <c r="D77" s="223"/>
      <c r="E77" s="223"/>
      <c r="F77" s="223"/>
      <c r="G77" s="223"/>
      <c r="H77" s="223"/>
      <c r="I77" s="223"/>
      <c r="J77" s="223"/>
      <c r="K77" s="223"/>
    </row>
    <row r="78" spans="1:11" x14ac:dyDescent="0.3">
      <c r="A78" s="223" t="s">
        <v>4545</v>
      </c>
      <c r="B78" s="223"/>
      <c r="C78" s="223"/>
      <c r="D78" s="223"/>
      <c r="E78" s="223"/>
      <c r="F78" s="223"/>
      <c r="G78" s="223"/>
      <c r="H78" s="223"/>
      <c r="I78" s="223"/>
      <c r="J78" s="223"/>
      <c r="K78" s="223"/>
    </row>
    <row r="79" spans="1:11" x14ac:dyDescent="0.3">
      <c r="A79" s="223" t="s">
        <v>4546</v>
      </c>
      <c r="B79" s="223"/>
      <c r="C79" s="223"/>
      <c r="D79" s="223"/>
      <c r="E79" s="223"/>
      <c r="F79" s="223"/>
      <c r="G79" s="223"/>
      <c r="H79" s="223"/>
      <c r="I79" s="223"/>
      <c r="J79" s="223"/>
      <c r="K79" s="223"/>
    </row>
    <row r="80" spans="1:11" x14ac:dyDescent="0.3">
      <c r="A80" s="223" t="s">
        <v>4547</v>
      </c>
      <c r="B80" s="223"/>
      <c r="C80" s="223"/>
      <c r="D80" s="223"/>
      <c r="E80" s="223"/>
      <c r="F80" s="223"/>
      <c r="G80" s="223"/>
      <c r="H80" s="223"/>
      <c r="I80" s="223"/>
      <c r="J80" s="223"/>
      <c r="K80" s="223"/>
    </row>
    <row r="81" spans="1:11" x14ac:dyDescent="0.3">
      <c r="A81" s="223" t="s">
        <v>4548</v>
      </c>
      <c r="B81" s="223"/>
      <c r="C81" s="223"/>
      <c r="D81" s="223"/>
      <c r="E81" s="223"/>
      <c r="F81" s="223"/>
      <c r="G81" s="223"/>
      <c r="H81" s="223"/>
      <c r="I81" s="223"/>
      <c r="J81" s="223"/>
      <c r="K81" s="223"/>
    </row>
    <row r="82" spans="1:11" x14ac:dyDescent="0.3">
      <c r="A82" s="223" t="s">
        <v>4549</v>
      </c>
      <c r="B82" s="223"/>
      <c r="C82" s="223"/>
      <c r="D82" s="223"/>
      <c r="E82" s="223"/>
      <c r="F82" s="223"/>
      <c r="G82" s="223"/>
      <c r="H82" s="223"/>
      <c r="I82" s="223"/>
      <c r="J82" s="223"/>
      <c r="K82" s="223"/>
    </row>
    <row r="83" spans="1:11" x14ac:dyDescent="0.3">
      <c r="A83" s="223"/>
      <c r="B83" s="223"/>
      <c r="C83" s="223"/>
      <c r="D83" s="223"/>
      <c r="E83" s="223"/>
      <c r="F83" s="223"/>
      <c r="G83" s="223"/>
      <c r="H83" s="223"/>
      <c r="I83" s="223"/>
      <c r="J83" s="223"/>
      <c r="K83" s="223"/>
    </row>
    <row r="84" spans="1:11" x14ac:dyDescent="0.3">
      <c r="A84" s="223" t="s">
        <v>4550</v>
      </c>
      <c r="B84" s="223"/>
      <c r="C84" s="223"/>
      <c r="D84" s="223"/>
      <c r="E84" s="223"/>
      <c r="F84" s="223"/>
      <c r="G84" s="223"/>
      <c r="H84" s="223"/>
      <c r="I84" s="223"/>
      <c r="J84" s="223"/>
      <c r="K84" s="223"/>
    </row>
    <row r="85" spans="1:11" x14ac:dyDescent="0.3">
      <c r="A85" s="223" t="s">
        <v>4551</v>
      </c>
      <c r="B85" s="223"/>
      <c r="C85" s="223"/>
      <c r="D85" s="223"/>
      <c r="E85" s="223"/>
      <c r="F85" s="223"/>
      <c r="G85" s="223"/>
      <c r="H85" s="223"/>
      <c r="I85" s="223"/>
      <c r="J85" s="223"/>
      <c r="K85" s="223"/>
    </row>
    <row r="86" spans="1:11" x14ac:dyDescent="0.3">
      <c r="A86" s="223" t="s">
        <v>4552</v>
      </c>
      <c r="B86" s="223"/>
      <c r="C86" s="223"/>
      <c r="D86" s="223"/>
      <c r="E86" s="223"/>
      <c r="F86" s="223"/>
      <c r="G86" s="223"/>
      <c r="H86" s="223"/>
      <c r="I86" s="223"/>
      <c r="J86" s="223"/>
      <c r="K86" s="223"/>
    </row>
  </sheetData>
  <mergeCells count="2">
    <mergeCell ref="A32:K32"/>
    <mergeCell ref="A22:K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93AB-02E8-45A1-8272-DFF72EA87685}">
  <sheetPr>
    <tabColor theme="5"/>
  </sheetPr>
  <dimension ref="A1:G105"/>
  <sheetViews>
    <sheetView workbookViewId="0">
      <selection activeCell="H16" sqref="H16"/>
    </sheetView>
  </sheetViews>
  <sheetFormatPr defaultRowHeight="14.4" x14ac:dyDescent="0.3"/>
  <cols>
    <col min="1" max="1" width="25.109375" bestFit="1" customWidth="1"/>
    <col min="2" max="2" width="13.5546875" bestFit="1" customWidth="1"/>
    <col min="3" max="3" width="12.21875" bestFit="1" customWidth="1"/>
    <col min="4" max="4" width="9.109375" bestFit="1" customWidth="1"/>
    <col min="5" max="5" width="15.33203125" bestFit="1" customWidth="1"/>
    <col min="6" max="6" width="9.33203125" bestFit="1" customWidth="1"/>
    <col min="7" max="7" width="31.5546875" bestFit="1" customWidth="1"/>
  </cols>
  <sheetData>
    <row r="1" spans="1:7" x14ac:dyDescent="0.3">
      <c r="A1" s="169" t="s">
        <v>2</v>
      </c>
      <c r="B1" s="169" t="s">
        <v>1</v>
      </c>
      <c r="C1" s="169" t="s">
        <v>487</v>
      </c>
      <c r="D1" s="169" t="s">
        <v>112</v>
      </c>
      <c r="E1" s="169" t="s">
        <v>4055</v>
      </c>
      <c r="F1" s="169" t="s">
        <v>4056</v>
      </c>
      <c r="G1" s="169" t="s">
        <v>114</v>
      </c>
    </row>
    <row r="2" spans="1:7" x14ac:dyDescent="0.3">
      <c r="A2" t="s">
        <v>3923</v>
      </c>
      <c r="B2" t="s">
        <v>5</v>
      </c>
      <c r="C2" t="s">
        <v>31</v>
      </c>
      <c r="D2" t="s">
        <v>4019</v>
      </c>
      <c r="E2" s="167">
        <v>46201.99</v>
      </c>
      <c r="F2" s="166">
        <v>0.98499999999999999</v>
      </c>
      <c r="G2" t="s">
        <v>4057</v>
      </c>
    </row>
    <row r="3" spans="1:7" x14ac:dyDescent="0.3">
      <c r="A3" t="s">
        <v>36</v>
      </c>
      <c r="B3" t="s">
        <v>6</v>
      </c>
      <c r="C3" t="s">
        <v>31</v>
      </c>
      <c r="D3" t="s">
        <v>4019</v>
      </c>
      <c r="E3" s="167">
        <v>46201.99</v>
      </c>
      <c r="F3" s="166">
        <v>0.99099999999999999</v>
      </c>
      <c r="G3" t="s">
        <v>4058</v>
      </c>
    </row>
    <row r="4" spans="1:7" x14ac:dyDescent="0.3">
      <c r="A4" t="s">
        <v>70</v>
      </c>
      <c r="B4" t="s">
        <v>9</v>
      </c>
      <c r="C4" t="s">
        <v>31</v>
      </c>
      <c r="D4" t="s">
        <v>4019</v>
      </c>
      <c r="E4" s="167">
        <v>46201.99</v>
      </c>
      <c r="F4" s="166">
        <v>0.998</v>
      </c>
      <c r="G4" t="s">
        <v>4059</v>
      </c>
    </row>
    <row r="5" spans="1:7" x14ac:dyDescent="0.3">
      <c r="A5" t="s">
        <v>59</v>
      </c>
      <c r="B5" t="s">
        <v>8</v>
      </c>
      <c r="C5" t="s">
        <v>31</v>
      </c>
      <c r="D5" t="s">
        <v>4019</v>
      </c>
      <c r="E5" s="167">
        <v>46201.99</v>
      </c>
      <c r="F5" s="166">
        <v>0.97199999999999998</v>
      </c>
      <c r="G5" t="s">
        <v>4060</v>
      </c>
    </row>
    <row r="6" spans="1:7" x14ac:dyDescent="0.3">
      <c r="A6" t="s">
        <v>44</v>
      </c>
      <c r="B6" t="s">
        <v>7</v>
      </c>
      <c r="C6" t="s">
        <v>31</v>
      </c>
      <c r="D6" t="s">
        <v>4003</v>
      </c>
      <c r="E6" s="167">
        <v>46201.99</v>
      </c>
      <c r="F6" s="166">
        <v>0.99199999999999999</v>
      </c>
      <c r="G6" t="s">
        <v>4061</v>
      </c>
    </row>
    <row r="7" spans="1:7" x14ac:dyDescent="0.3">
      <c r="A7" t="s">
        <v>93</v>
      </c>
      <c r="B7" t="s">
        <v>12</v>
      </c>
      <c r="C7" t="s">
        <v>31</v>
      </c>
      <c r="D7" t="s">
        <v>4003</v>
      </c>
      <c r="E7" s="167">
        <v>46201.99</v>
      </c>
      <c r="F7" s="166">
        <v>0.995</v>
      </c>
      <c r="G7" t="s">
        <v>4062</v>
      </c>
    </row>
    <row r="8" spans="1:7" x14ac:dyDescent="0.3">
      <c r="A8" t="s">
        <v>97</v>
      </c>
      <c r="B8" t="s">
        <v>12</v>
      </c>
      <c r="C8" t="s">
        <v>31</v>
      </c>
      <c r="D8" t="s">
        <v>4003</v>
      </c>
      <c r="E8" s="167">
        <v>46201.99</v>
      </c>
      <c r="F8" s="166">
        <v>0.999</v>
      </c>
      <c r="G8" t="s">
        <v>4063</v>
      </c>
    </row>
    <row r="9" spans="1:7" x14ac:dyDescent="0.3">
      <c r="A9" t="s">
        <v>16</v>
      </c>
      <c r="B9" t="s">
        <v>5</v>
      </c>
      <c r="C9" t="s">
        <v>31</v>
      </c>
      <c r="D9" t="s">
        <v>4003</v>
      </c>
      <c r="E9" s="167">
        <v>46201.99</v>
      </c>
      <c r="F9" s="166">
        <v>0.99299999999999999</v>
      </c>
      <c r="G9" t="s">
        <v>4064</v>
      </c>
    </row>
    <row r="10" spans="1:7" x14ac:dyDescent="0.3">
      <c r="A10" t="s">
        <v>98</v>
      </c>
      <c r="B10" t="s">
        <v>12</v>
      </c>
      <c r="C10" t="s">
        <v>31</v>
      </c>
      <c r="D10" t="s">
        <v>4003</v>
      </c>
      <c r="E10" s="167">
        <v>46201.99</v>
      </c>
      <c r="F10" s="166">
        <v>0.99399999999999999</v>
      </c>
      <c r="G10" t="s">
        <v>4065</v>
      </c>
    </row>
    <row r="11" spans="1:7" x14ac:dyDescent="0.3">
      <c r="A11" t="s">
        <v>15</v>
      </c>
      <c r="B11" t="s">
        <v>5</v>
      </c>
      <c r="C11" t="s">
        <v>31</v>
      </c>
      <c r="D11" t="s">
        <v>3977</v>
      </c>
      <c r="E11" s="167">
        <v>46201.99</v>
      </c>
      <c r="F11" s="166">
        <v>0.997</v>
      </c>
    </row>
    <row r="12" spans="1:7" x14ac:dyDescent="0.3">
      <c r="A12" t="s">
        <v>35</v>
      </c>
      <c r="B12" t="s">
        <v>6</v>
      </c>
      <c r="C12" t="s">
        <v>31</v>
      </c>
      <c r="D12" t="s">
        <v>3977</v>
      </c>
      <c r="E12" s="167">
        <v>46201.99</v>
      </c>
      <c r="F12" s="166">
        <v>0.998</v>
      </c>
    </row>
    <row r="13" spans="1:7" x14ac:dyDescent="0.3">
      <c r="A13" t="s">
        <v>73</v>
      </c>
      <c r="B13" t="s">
        <v>10</v>
      </c>
      <c r="C13" t="s">
        <v>31</v>
      </c>
      <c r="D13" t="s">
        <v>3977</v>
      </c>
      <c r="E13" s="167">
        <v>46201.99</v>
      </c>
      <c r="F13" s="166">
        <v>0.996</v>
      </c>
    </row>
    <row r="14" spans="1:7" x14ac:dyDescent="0.3">
      <c r="A14" t="s">
        <v>74</v>
      </c>
      <c r="B14" t="s">
        <v>10</v>
      </c>
      <c r="C14" t="s">
        <v>31</v>
      </c>
      <c r="D14" t="s">
        <v>3977</v>
      </c>
      <c r="E14" s="167">
        <v>46201.99</v>
      </c>
      <c r="F14" s="166">
        <v>0.99399999999999999</v>
      </c>
    </row>
    <row r="15" spans="1:7" x14ac:dyDescent="0.3">
      <c r="A15" t="s">
        <v>51</v>
      </c>
      <c r="B15" t="s">
        <v>7</v>
      </c>
      <c r="C15" t="s">
        <v>31</v>
      </c>
      <c r="D15" t="s">
        <v>3977</v>
      </c>
      <c r="E15" s="167">
        <v>46201.99</v>
      </c>
      <c r="F15" s="166">
        <v>0.995</v>
      </c>
    </row>
    <row r="16" spans="1:7" x14ac:dyDescent="0.3">
      <c r="A16" t="s">
        <v>47</v>
      </c>
      <c r="B16" t="s">
        <v>7</v>
      </c>
      <c r="C16" t="s">
        <v>31</v>
      </c>
      <c r="D16" t="s">
        <v>3977</v>
      </c>
      <c r="E16" s="167">
        <v>46201.99</v>
      </c>
      <c r="F16" s="166">
        <v>0.997</v>
      </c>
    </row>
    <row r="17" spans="1:7" x14ac:dyDescent="0.3">
      <c r="A17" t="s">
        <v>66</v>
      </c>
      <c r="B17" t="s">
        <v>9</v>
      </c>
      <c r="C17" t="s">
        <v>31</v>
      </c>
      <c r="D17" t="s">
        <v>3977</v>
      </c>
      <c r="E17" s="167">
        <v>46201.99</v>
      </c>
      <c r="F17" s="166">
        <v>0.999</v>
      </c>
    </row>
    <row r="18" spans="1:7" x14ac:dyDescent="0.3">
      <c r="A18" t="s">
        <v>56</v>
      </c>
      <c r="B18" t="s">
        <v>8</v>
      </c>
      <c r="C18" t="s">
        <v>31</v>
      </c>
      <c r="D18" t="s">
        <v>3977</v>
      </c>
      <c r="E18" s="167">
        <v>46201.99</v>
      </c>
      <c r="F18" s="166">
        <v>0.99299999999999999</v>
      </c>
    </row>
    <row r="19" spans="1:7" x14ac:dyDescent="0.3">
      <c r="A19" t="s">
        <v>14</v>
      </c>
      <c r="B19" t="s">
        <v>5</v>
      </c>
      <c r="C19" t="s">
        <v>31</v>
      </c>
      <c r="D19" t="s">
        <v>3977</v>
      </c>
      <c r="E19" s="167">
        <v>46201.99</v>
      </c>
      <c r="F19" s="166">
        <v>0.998</v>
      </c>
    </row>
    <row r="20" spans="1:7" x14ac:dyDescent="0.3">
      <c r="A20" t="s">
        <v>17</v>
      </c>
      <c r="B20" t="s">
        <v>5</v>
      </c>
      <c r="C20" t="s">
        <v>31</v>
      </c>
      <c r="D20" t="s">
        <v>3977</v>
      </c>
      <c r="E20" s="167">
        <v>46201.99</v>
      </c>
      <c r="F20" s="166">
        <v>0.996</v>
      </c>
    </row>
    <row r="21" spans="1:7" x14ac:dyDescent="0.3">
      <c r="A21" t="s">
        <v>64</v>
      </c>
      <c r="B21" t="s">
        <v>9</v>
      </c>
      <c r="C21" t="s">
        <v>31</v>
      </c>
      <c r="D21" t="s">
        <v>3977</v>
      </c>
      <c r="E21" s="167">
        <v>46201.99</v>
      </c>
      <c r="F21" s="166">
        <v>0.99199999999999999</v>
      </c>
    </row>
    <row r="22" spans="1:7" x14ac:dyDescent="0.3">
      <c r="A22" t="s">
        <v>35</v>
      </c>
      <c r="B22" t="s">
        <v>6</v>
      </c>
      <c r="C22" t="s">
        <v>29</v>
      </c>
      <c r="D22" t="s">
        <v>4019</v>
      </c>
      <c r="E22" s="167">
        <v>46201.98</v>
      </c>
      <c r="F22" s="166">
        <v>0.95499999999999996</v>
      </c>
      <c r="G22" t="s">
        <v>4066</v>
      </c>
    </row>
    <row r="23" spans="1:7" x14ac:dyDescent="0.3">
      <c r="A23" t="s">
        <v>56</v>
      </c>
      <c r="B23" t="s">
        <v>8</v>
      </c>
      <c r="C23" t="s">
        <v>29</v>
      </c>
      <c r="D23" t="s">
        <v>4019</v>
      </c>
      <c r="E23" s="167">
        <v>46201.98</v>
      </c>
      <c r="F23" s="166">
        <v>0.94799999999999995</v>
      </c>
      <c r="G23" t="s">
        <v>4067</v>
      </c>
    </row>
    <row r="24" spans="1:7" x14ac:dyDescent="0.3">
      <c r="A24" t="s">
        <v>51</v>
      </c>
      <c r="B24" t="s">
        <v>7</v>
      </c>
      <c r="C24" t="s">
        <v>29</v>
      </c>
      <c r="D24" t="s">
        <v>4003</v>
      </c>
      <c r="E24" s="167">
        <v>46201.98</v>
      </c>
      <c r="F24" s="166">
        <v>0.97199999999999998</v>
      </c>
      <c r="G24" t="s">
        <v>4068</v>
      </c>
    </row>
    <row r="25" spans="1:7" x14ac:dyDescent="0.3">
      <c r="A25" t="s">
        <v>3923</v>
      </c>
      <c r="B25" t="s">
        <v>5</v>
      </c>
      <c r="C25" t="s">
        <v>29</v>
      </c>
      <c r="D25" t="s">
        <v>3977</v>
      </c>
      <c r="E25" s="167">
        <v>46201.98</v>
      </c>
      <c r="F25" s="166">
        <v>0.98899999999999999</v>
      </c>
    </row>
    <row r="26" spans="1:7" x14ac:dyDescent="0.3">
      <c r="A26" t="s">
        <v>44</v>
      </c>
      <c r="B26" t="s">
        <v>7</v>
      </c>
      <c r="C26" t="s">
        <v>29</v>
      </c>
      <c r="D26" t="s">
        <v>3977</v>
      </c>
      <c r="E26" s="167">
        <v>46201.98</v>
      </c>
      <c r="F26" s="166">
        <v>0.99099999999999999</v>
      </c>
    </row>
    <row r="27" spans="1:7" x14ac:dyDescent="0.3">
      <c r="A27" t="s">
        <v>73</v>
      </c>
      <c r="B27" t="s">
        <v>10</v>
      </c>
      <c r="C27" t="s">
        <v>29</v>
      </c>
      <c r="D27" t="s">
        <v>3977</v>
      </c>
      <c r="E27" s="167">
        <v>46201.98</v>
      </c>
      <c r="F27" s="166">
        <v>0.98699999999999999</v>
      </c>
    </row>
    <row r="28" spans="1:7" x14ac:dyDescent="0.3">
      <c r="A28" t="s">
        <v>15</v>
      </c>
      <c r="B28" t="s">
        <v>5</v>
      </c>
      <c r="C28" t="s">
        <v>29</v>
      </c>
      <c r="D28" t="s">
        <v>3977</v>
      </c>
      <c r="E28" s="167">
        <v>46201.98</v>
      </c>
      <c r="F28" s="166">
        <v>0.99</v>
      </c>
    </row>
    <row r="29" spans="1:7" x14ac:dyDescent="0.3">
      <c r="A29" t="s">
        <v>16</v>
      </c>
      <c r="B29" t="s">
        <v>5</v>
      </c>
      <c r="C29" t="s">
        <v>28</v>
      </c>
      <c r="D29" t="s">
        <v>4019</v>
      </c>
      <c r="E29" s="167">
        <v>46201.98</v>
      </c>
      <c r="F29" s="166">
        <v>0.92100000000000004</v>
      </c>
      <c r="G29" t="s">
        <v>4069</v>
      </c>
    </row>
    <row r="30" spans="1:7" x14ac:dyDescent="0.3">
      <c r="A30" t="s">
        <v>36</v>
      </c>
      <c r="B30" t="s">
        <v>6</v>
      </c>
      <c r="C30" t="s">
        <v>28</v>
      </c>
      <c r="D30" t="s">
        <v>4019</v>
      </c>
      <c r="E30" s="167">
        <v>46201.98</v>
      </c>
      <c r="F30" s="166">
        <v>0.91500000000000004</v>
      </c>
      <c r="G30" t="s">
        <v>4070</v>
      </c>
    </row>
    <row r="31" spans="1:7" x14ac:dyDescent="0.3">
      <c r="A31" t="s">
        <v>75</v>
      </c>
      <c r="B31" t="s">
        <v>10</v>
      </c>
      <c r="C31" t="s">
        <v>28</v>
      </c>
      <c r="D31" t="s">
        <v>4003</v>
      </c>
      <c r="E31" s="167">
        <v>46201.98</v>
      </c>
      <c r="F31" s="166">
        <v>0.96299999999999997</v>
      </c>
      <c r="G31" t="s">
        <v>4071</v>
      </c>
    </row>
    <row r="32" spans="1:7" x14ac:dyDescent="0.3">
      <c r="A32" t="s">
        <v>3923</v>
      </c>
      <c r="B32" t="s">
        <v>5</v>
      </c>
      <c r="C32" t="s">
        <v>28</v>
      </c>
      <c r="D32" t="s">
        <v>3977</v>
      </c>
      <c r="E32" s="167">
        <v>46201.98</v>
      </c>
      <c r="F32" s="166">
        <v>0.97499999999999998</v>
      </c>
    </row>
    <row r="33" spans="1:7" x14ac:dyDescent="0.3">
      <c r="A33" t="s">
        <v>73</v>
      </c>
      <c r="B33" t="s">
        <v>10</v>
      </c>
      <c r="C33" t="s">
        <v>28</v>
      </c>
      <c r="D33" t="s">
        <v>3977</v>
      </c>
      <c r="E33" s="167">
        <v>46201.98</v>
      </c>
      <c r="F33" s="166">
        <v>0.98199999999999998</v>
      </c>
    </row>
    <row r="34" spans="1:7" x14ac:dyDescent="0.3">
      <c r="A34" t="s">
        <v>66</v>
      </c>
      <c r="B34" t="s">
        <v>9</v>
      </c>
      <c r="C34" t="s">
        <v>27</v>
      </c>
      <c r="D34" t="s">
        <v>4019</v>
      </c>
      <c r="E34" s="167">
        <v>46201.98</v>
      </c>
      <c r="F34" s="166">
        <v>0.88500000000000001</v>
      </c>
      <c r="G34" t="s">
        <v>4072</v>
      </c>
    </row>
    <row r="35" spans="1:7" x14ac:dyDescent="0.3">
      <c r="A35" t="s">
        <v>70</v>
      </c>
      <c r="B35" t="s">
        <v>9</v>
      </c>
      <c r="C35" t="s">
        <v>27</v>
      </c>
      <c r="D35" t="s">
        <v>4003</v>
      </c>
      <c r="E35" s="167">
        <v>46201.98</v>
      </c>
      <c r="F35" s="166">
        <v>0.93200000000000005</v>
      </c>
      <c r="G35" t="s">
        <v>4073</v>
      </c>
    </row>
    <row r="36" spans="1:7" x14ac:dyDescent="0.3">
      <c r="A36" t="s">
        <v>3923</v>
      </c>
      <c r="B36" t="s">
        <v>5</v>
      </c>
      <c r="C36" t="s">
        <v>27</v>
      </c>
      <c r="D36" t="s">
        <v>3977</v>
      </c>
      <c r="E36" s="167">
        <v>46201.98</v>
      </c>
      <c r="F36" s="166">
        <v>0.95099999999999996</v>
      </c>
    </row>
    <row r="37" spans="1:7" x14ac:dyDescent="0.3">
      <c r="A37" t="s">
        <v>51</v>
      </c>
      <c r="B37" t="s">
        <v>7</v>
      </c>
      <c r="C37" t="s">
        <v>27</v>
      </c>
      <c r="D37" t="s">
        <v>3977</v>
      </c>
      <c r="E37" s="167">
        <v>46201.98</v>
      </c>
      <c r="F37" s="166">
        <v>0.94799999999999995</v>
      </c>
    </row>
    <row r="40" spans="1:7" ht="15.6" x14ac:dyDescent="0.3">
      <c r="A40" s="384" t="s">
        <v>4777</v>
      </c>
      <c r="B40" s="384"/>
      <c r="C40" s="384"/>
      <c r="D40" s="384"/>
      <c r="E40" s="384"/>
      <c r="F40" s="384"/>
      <c r="G40" s="384"/>
    </row>
    <row r="41" spans="1:7" x14ac:dyDescent="0.3">
      <c r="A41" s="237"/>
      <c r="B41" s="237"/>
      <c r="C41" s="237"/>
      <c r="D41" s="237"/>
      <c r="E41" s="237"/>
      <c r="F41" s="237"/>
      <c r="G41" s="237"/>
    </row>
    <row r="42" spans="1:7" x14ac:dyDescent="0.3">
      <c r="A42" s="237" t="s">
        <v>4778</v>
      </c>
      <c r="B42" s="237"/>
      <c r="C42" s="237"/>
      <c r="D42" s="237"/>
      <c r="E42" s="237"/>
      <c r="F42" s="237"/>
      <c r="G42" s="237"/>
    </row>
    <row r="43" spans="1:7" x14ac:dyDescent="0.3">
      <c r="A43" s="237"/>
      <c r="B43" s="237"/>
      <c r="C43" s="237"/>
      <c r="D43" s="237"/>
      <c r="E43" s="237"/>
      <c r="F43" s="237"/>
      <c r="G43" s="237"/>
    </row>
    <row r="44" spans="1:7" x14ac:dyDescent="0.3">
      <c r="A44" s="237" t="s">
        <v>4779</v>
      </c>
      <c r="B44" s="237"/>
      <c r="C44" s="237"/>
      <c r="D44" s="237"/>
      <c r="E44" s="237"/>
      <c r="F44" s="237"/>
      <c r="G44" s="237"/>
    </row>
    <row r="45" spans="1:7" x14ac:dyDescent="0.3">
      <c r="A45" s="237"/>
      <c r="B45" s="237"/>
      <c r="C45" s="237"/>
      <c r="D45" s="237"/>
      <c r="E45" s="237"/>
      <c r="F45" s="237"/>
      <c r="G45" s="237"/>
    </row>
    <row r="46" spans="1:7" x14ac:dyDescent="0.3">
      <c r="A46" s="237" t="s">
        <v>4780</v>
      </c>
      <c r="B46" s="237"/>
      <c r="C46" s="237"/>
      <c r="D46" s="237"/>
      <c r="E46" s="237"/>
      <c r="F46" s="237"/>
      <c r="G46" s="237"/>
    </row>
    <row r="47" spans="1:7" x14ac:dyDescent="0.3">
      <c r="A47" s="237"/>
      <c r="B47" s="237"/>
      <c r="C47" s="237"/>
      <c r="D47" s="237"/>
      <c r="E47" s="237"/>
      <c r="F47" s="237"/>
      <c r="G47" s="237"/>
    </row>
    <row r="48" spans="1:7" x14ac:dyDescent="0.3">
      <c r="A48" s="237" t="s">
        <v>4748</v>
      </c>
      <c r="B48" s="237"/>
      <c r="C48" s="237"/>
      <c r="D48" s="237"/>
      <c r="E48" s="237"/>
      <c r="F48" s="237"/>
      <c r="G48" s="237"/>
    </row>
    <row r="50" spans="1:7" ht="18" x14ac:dyDescent="0.35">
      <c r="A50" s="385" t="s">
        <v>4553</v>
      </c>
      <c r="B50" s="385"/>
      <c r="C50" s="385"/>
      <c r="D50" s="385"/>
      <c r="E50" s="385"/>
      <c r="F50" s="385"/>
      <c r="G50" s="385"/>
    </row>
    <row r="52" spans="1:7" ht="15.6" x14ac:dyDescent="0.3">
      <c r="A52" s="222" t="s">
        <v>4554</v>
      </c>
      <c r="B52" s="223"/>
      <c r="C52" s="223"/>
      <c r="D52" s="223"/>
      <c r="E52" s="223"/>
      <c r="F52" s="223"/>
      <c r="G52" s="223"/>
    </row>
    <row r="53" spans="1:7" x14ac:dyDescent="0.3">
      <c r="A53" s="223" t="s">
        <v>4555</v>
      </c>
      <c r="B53" s="223"/>
      <c r="C53" s="223"/>
      <c r="D53" s="223"/>
      <c r="E53" s="223"/>
      <c r="F53" s="223"/>
      <c r="G53" s="223"/>
    </row>
    <row r="54" spans="1:7" x14ac:dyDescent="0.3">
      <c r="A54" s="223" t="s">
        <v>4556</v>
      </c>
      <c r="B54" s="223"/>
      <c r="C54" s="223"/>
      <c r="D54" s="223"/>
      <c r="E54" s="223"/>
      <c r="F54" s="223"/>
      <c r="G54" s="223"/>
    </row>
    <row r="55" spans="1:7" x14ac:dyDescent="0.3">
      <c r="A55" s="223"/>
      <c r="B55" s="223"/>
      <c r="C55" s="223"/>
      <c r="D55" s="223"/>
      <c r="E55" s="223"/>
      <c r="F55" s="223"/>
      <c r="G55" s="223"/>
    </row>
    <row r="56" spans="1:7" x14ac:dyDescent="0.3">
      <c r="A56" s="223" t="s">
        <v>4557</v>
      </c>
      <c r="B56" s="223"/>
      <c r="C56" s="223"/>
      <c r="D56" s="223"/>
      <c r="E56" s="223"/>
      <c r="F56" s="223"/>
      <c r="G56" s="223"/>
    </row>
    <row r="57" spans="1:7" x14ac:dyDescent="0.3">
      <c r="A57" s="223" t="s">
        <v>4558</v>
      </c>
      <c r="B57" s="223"/>
      <c r="C57" s="223"/>
      <c r="D57" s="223"/>
      <c r="E57" s="223"/>
      <c r="F57" s="223"/>
      <c r="G57" s="223"/>
    </row>
    <row r="58" spans="1:7" x14ac:dyDescent="0.3">
      <c r="A58" s="223" t="s">
        <v>4559</v>
      </c>
      <c r="B58" s="223"/>
      <c r="C58" s="223"/>
      <c r="D58" s="223"/>
      <c r="E58" s="223"/>
      <c r="F58" s="223"/>
      <c r="G58" s="223"/>
    </row>
    <row r="59" spans="1:7" x14ac:dyDescent="0.3">
      <c r="A59" s="223" t="s">
        <v>4560</v>
      </c>
      <c r="B59" s="223"/>
      <c r="C59" s="223"/>
      <c r="D59" s="223"/>
      <c r="E59" s="223"/>
      <c r="F59" s="223"/>
      <c r="G59" s="223"/>
    </row>
    <row r="60" spans="1:7" x14ac:dyDescent="0.3">
      <c r="A60" s="223" t="s">
        <v>4561</v>
      </c>
      <c r="B60" s="223"/>
      <c r="C60" s="223"/>
      <c r="D60" s="223"/>
      <c r="E60" s="223"/>
      <c r="F60" s="223"/>
      <c r="G60" s="223"/>
    </row>
    <row r="61" spans="1:7" x14ac:dyDescent="0.3">
      <c r="A61" s="223"/>
      <c r="B61" s="223"/>
      <c r="C61" s="223"/>
      <c r="D61" s="223"/>
      <c r="E61" s="223"/>
      <c r="F61" s="223"/>
      <c r="G61" s="223"/>
    </row>
    <row r="62" spans="1:7" ht="15.6" x14ac:dyDescent="0.3">
      <c r="A62" s="222" t="s">
        <v>4562</v>
      </c>
      <c r="B62" s="223"/>
      <c r="C62" s="223"/>
      <c r="D62" s="223"/>
      <c r="E62" s="223"/>
      <c r="F62" s="223"/>
      <c r="G62" s="223"/>
    </row>
    <row r="63" spans="1:7" x14ac:dyDescent="0.3">
      <c r="A63" s="223"/>
      <c r="B63" s="223"/>
      <c r="C63" s="223"/>
      <c r="D63" s="223"/>
      <c r="E63" s="223"/>
      <c r="F63" s="223"/>
      <c r="G63" s="223"/>
    </row>
    <row r="64" spans="1:7" x14ac:dyDescent="0.3">
      <c r="A64" s="224" t="s">
        <v>4563</v>
      </c>
      <c r="B64" s="223"/>
      <c r="C64" s="223"/>
      <c r="D64" s="223"/>
      <c r="E64" s="223"/>
      <c r="F64" s="223"/>
      <c r="G64" s="223"/>
    </row>
    <row r="65" spans="1:7" x14ac:dyDescent="0.3">
      <c r="A65" s="223" t="s">
        <v>4429</v>
      </c>
      <c r="B65" s="223"/>
      <c r="C65" s="223"/>
      <c r="D65" s="223"/>
      <c r="E65" s="223"/>
      <c r="F65" s="223"/>
      <c r="G65" s="223"/>
    </row>
    <row r="66" spans="1:7" x14ac:dyDescent="0.3">
      <c r="A66" s="223" t="s">
        <v>4564</v>
      </c>
      <c r="B66" s="223"/>
      <c r="C66" s="223"/>
      <c r="D66" s="223"/>
      <c r="E66" s="223"/>
      <c r="F66" s="223"/>
      <c r="G66" s="223"/>
    </row>
    <row r="67" spans="1:7" x14ac:dyDescent="0.3">
      <c r="A67" s="223" t="s">
        <v>4565</v>
      </c>
      <c r="B67" s="223"/>
      <c r="C67" s="223"/>
      <c r="D67" s="223"/>
      <c r="E67" s="223"/>
      <c r="F67" s="223"/>
      <c r="G67" s="223"/>
    </row>
    <row r="68" spans="1:7" x14ac:dyDescent="0.3">
      <c r="A68" s="223" t="s">
        <v>4566</v>
      </c>
      <c r="B68" s="223"/>
      <c r="C68" s="223"/>
      <c r="D68" s="223"/>
      <c r="E68" s="223"/>
      <c r="F68" s="223"/>
      <c r="G68" s="223"/>
    </row>
    <row r="69" spans="1:7" x14ac:dyDescent="0.3">
      <c r="A69" s="223"/>
      <c r="B69" s="223"/>
      <c r="C69" s="223"/>
      <c r="D69" s="223"/>
      <c r="E69" s="223"/>
      <c r="F69" s="223"/>
      <c r="G69" s="223"/>
    </row>
    <row r="70" spans="1:7" x14ac:dyDescent="0.3">
      <c r="A70" s="223" t="s">
        <v>4567</v>
      </c>
      <c r="B70" s="223"/>
      <c r="C70" s="223"/>
      <c r="D70" s="223"/>
      <c r="E70" s="223"/>
      <c r="F70" s="223"/>
      <c r="G70" s="223"/>
    </row>
    <row r="71" spans="1:7" x14ac:dyDescent="0.3">
      <c r="A71" s="223" t="s">
        <v>4568</v>
      </c>
      <c r="B71" s="223"/>
      <c r="C71" s="223"/>
      <c r="D71" s="223"/>
      <c r="E71" s="223"/>
      <c r="F71" s="223"/>
      <c r="G71" s="223"/>
    </row>
    <row r="72" spans="1:7" x14ac:dyDescent="0.3">
      <c r="A72" s="223" t="s">
        <v>4569</v>
      </c>
      <c r="B72" s="223"/>
      <c r="C72" s="223"/>
      <c r="D72" s="223"/>
      <c r="E72" s="223"/>
      <c r="F72" s="223"/>
      <c r="G72" s="223"/>
    </row>
    <row r="73" spans="1:7" x14ac:dyDescent="0.3">
      <c r="A73" s="223" t="s">
        <v>4570</v>
      </c>
      <c r="B73" s="223"/>
      <c r="C73" s="223"/>
      <c r="D73" s="223"/>
      <c r="E73" s="223"/>
      <c r="F73" s="223"/>
      <c r="G73" s="223"/>
    </row>
    <row r="74" spans="1:7" x14ac:dyDescent="0.3">
      <c r="A74" s="223" t="s">
        <v>4571</v>
      </c>
      <c r="B74" s="223"/>
      <c r="C74" s="223"/>
      <c r="D74" s="223"/>
      <c r="E74" s="223"/>
      <c r="F74" s="223"/>
      <c r="G74" s="223"/>
    </row>
    <row r="75" spans="1:7" x14ac:dyDescent="0.3">
      <c r="A75" s="223" t="s">
        <v>4572</v>
      </c>
      <c r="B75" s="223"/>
      <c r="C75" s="223"/>
      <c r="D75" s="223"/>
      <c r="E75" s="223"/>
      <c r="F75" s="223"/>
      <c r="G75" s="223"/>
    </row>
    <row r="76" spans="1:7" x14ac:dyDescent="0.3">
      <c r="A76" s="223"/>
      <c r="B76" s="223"/>
      <c r="C76" s="223"/>
      <c r="D76" s="223"/>
      <c r="E76" s="223"/>
      <c r="F76" s="223"/>
      <c r="G76" s="223"/>
    </row>
    <row r="77" spans="1:7" ht="15.6" x14ac:dyDescent="0.3">
      <c r="A77" s="222" t="s">
        <v>4493</v>
      </c>
      <c r="B77" s="223"/>
      <c r="C77" s="223"/>
      <c r="D77" s="223"/>
      <c r="E77" s="223"/>
      <c r="F77" s="223"/>
      <c r="G77" s="223"/>
    </row>
    <row r="78" spans="1:7" x14ac:dyDescent="0.3">
      <c r="A78" s="223"/>
      <c r="B78" s="223"/>
      <c r="C78" s="223"/>
      <c r="D78" s="223"/>
      <c r="E78" s="223"/>
      <c r="F78" s="223"/>
      <c r="G78" s="223"/>
    </row>
    <row r="79" spans="1:7" x14ac:dyDescent="0.3">
      <c r="A79" s="223" t="s">
        <v>4573</v>
      </c>
      <c r="B79" s="223"/>
      <c r="C79" s="223"/>
      <c r="D79" s="223"/>
      <c r="E79" s="223"/>
      <c r="F79" s="223"/>
      <c r="G79" s="223"/>
    </row>
    <row r="80" spans="1:7" x14ac:dyDescent="0.3">
      <c r="A80" s="223"/>
      <c r="B80" s="223"/>
      <c r="C80" s="223"/>
      <c r="D80" s="223"/>
      <c r="E80" s="223"/>
      <c r="F80" s="223"/>
      <c r="G80" s="223"/>
    </row>
    <row r="81" spans="1:7" x14ac:dyDescent="0.3">
      <c r="A81" s="223" t="s">
        <v>4495</v>
      </c>
      <c r="B81" s="223"/>
      <c r="C81" s="223"/>
      <c r="D81" s="223"/>
      <c r="E81" s="223"/>
      <c r="F81" s="223"/>
      <c r="G81" s="223"/>
    </row>
    <row r="82" spans="1:7" x14ac:dyDescent="0.3">
      <c r="A82" s="223" t="s">
        <v>4574</v>
      </c>
      <c r="B82" s="223"/>
      <c r="C82" s="223"/>
      <c r="D82" s="223"/>
      <c r="E82" s="223"/>
      <c r="F82" s="223"/>
      <c r="G82" s="223"/>
    </row>
    <row r="83" spans="1:7" x14ac:dyDescent="0.3">
      <c r="A83" s="223" t="s">
        <v>4575</v>
      </c>
      <c r="B83" s="223"/>
      <c r="C83" s="223"/>
      <c r="D83" s="223"/>
      <c r="E83" s="223"/>
      <c r="F83" s="223"/>
      <c r="G83" s="223"/>
    </row>
    <row r="84" spans="1:7" x14ac:dyDescent="0.3">
      <c r="A84" s="223" t="s">
        <v>4576</v>
      </c>
      <c r="B84" s="223"/>
      <c r="C84" s="223"/>
      <c r="D84" s="223"/>
      <c r="E84" s="223"/>
      <c r="F84" s="223"/>
      <c r="G84" s="223"/>
    </row>
    <row r="85" spans="1:7" x14ac:dyDescent="0.3">
      <c r="A85" s="223" t="s">
        <v>4577</v>
      </c>
      <c r="B85" s="223"/>
      <c r="C85" s="223"/>
      <c r="D85" s="223"/>
      <c r="E85" s="223"/>
      <c r="F85" s="223"/>
      <c r="G85" s="223"/>
    </row>
    <row r="86" spans="1:7" x14ac:dyDescent="0.3">
      <c r="A86" s="223"/>
      <c r="B86" s="223"/>
      <c r="C86" s="223"/>
      <c r="D86" s="223"/>
      <c r="E86" s="223"/>
      <c r="F86" s="223"/>
      <c r="G86" s="223"/>
    </row>
    <row r="87" spans="1:7" x14ac:dyDescent="0.3">
      <c r="A87" s="223" t="s">
        <v>4578</v>
      </c>
      <c r="B87" s="223"/>
      <c r="C87" s="223"/>
      <c r="D87" s="223"/>
      <c r="E87" s="223"/>
      <c r="F87" s="223"/>
      <c r="G87" s="223"/>
    </row>
    <row r="88" spans="1:7" x14ac:dyDescent="0.3">
      <c r="A88" s="223" t="s">
        <v>4579</v>
      </c>
      <c r="B88" s="223"/>
      <c r="C88" s="223"/>
      <c r="D88" s="223"/>
      <c r="E88" s="223"/>
      <c r="F88" s="223"/>
      <c r="G88" s="223"/>
    </row>
    <row r="89" spans="1:7" x14ac:dyDescent="0.3">
      <c r="A89" s="223" t="s">
        <v>4580</v>
      </c>
      <c r="B89" s="223"/>
      <c r="C89" s="223"/>
      <c r="D89" s="223"/>
      <c r="E89" s="223"/>
      <c r="F89" s="223"/>
      <c r="G89" s="223"/>
    </row>
    <row r="90" spans="1:7" x14ac:dyDescent="0.3">
      <c r="A90" s="223" t="s">
        <v>4581</v>
      </c>
      <c r="B90" s="223"/>
      <c r="C90" s="223"/>
      <c r="D90" s="223"/>
      <c r="E90" s="223"/>
      <c r="F90" s="223"/>
      <c r="G90" s="223"/>
    </row>
    <row r="91" spans="1:7" x14ac:dyDescent="0.3">
      <c r="A91" s="223" t="s">
        <v>4582</v>
      </c>
      <c r="B91" s="223"/>
      <c r="C91" s="223"/>
      <c r="D91" s="223"/>
      <c r="E91" s="223"/>
      <c r="F91" s="223"/>
      <c r="G91" s="223"/>
    </row>
    <row r="92" spans="1:7" x14ac:dyDescent="0.3">
      <c r="A92" s="223"/>
      <c r="B92" s="223"/>
      <c r="C92" s="223"/>
      <c r="D92" s="223"/>
      <c r="E92" s="223"/>
      <c r="F92" s="223"/>
      <c r="G92" s="223"/>
    </row>
    <row r="93" spans="1:7" ht="15.6" x14ac:dyDescent="0.3">
      <c r="A93" s="222" t="s">
        <v>4451</v>
      </c>
      <c r="B93" s="223"/>
      <c r="C93" s="223"/>
      <c r="D93" s="223"/>
      <c r="E93" s="223"/>
      <c r="F93" s="223"/>
      <c r="G93" s="223"/>
    </row>
    <row r="94" spans="1:7" x14ac:dyDescent="0.3">
      <c r="A94" s="223"/>
      <c r="B94" s="223"/>
      <c r="C94" s="223"/>
      <c r="D94" s="223"/>
      <c r="E94" s="223"/>
      <c r="F94" s="223"/>
      <c r="G94" s="223"/>
    </row>
    <row r="95" spans="1:7" x14ac:dyDescent="0.3">
      <c r="A95" s="223" t="s">
        <v>4583</v>
      </c>
      <c r="B95" s="223"/>
      <c r="C95" s="223"/>
      <c r="D95" s="223"/>
      <c r="E95" s="223"/>
      <c r="F95" s="223"/>
      <c r="G95" s="223"/>
    </row>
    <row r="96" spans="1:7" x14ac:dyDescent="0.3">
      <c r="A96" s="223" t="s">
        <v>4584</v>
      </c>
      <c r="B96" s="223"/>
      <c r="C96" s="223"/>
      <c r="D96" s="223"/>
      <c r="E96" s="223"/>
      <c r="F96" s="223"/>
      <c r="G96" s="223"/>
    </row>
    <row r="97" spans="1:7" x14ac:dyDescent="0.3">
      <c r="A97" s="223" t="s">
        <v>4585</v>
      </c>
      <c r="B97" s="223"/>
      <c r="C97" s="223"/>
      <c r="D97" s="223"/>
      <c r="E97" s="223"/>
      <c r="F97" s="223"/>
      <c r="G97" s="223"/>
    </row>
    <row r="98" spans="1:7" x14ac:dyDescent="0.3">
      <c r="A98" s="223" t="s">
        <v>4586</v>
      </c>
      <c r="B98" s="223"/>
      <c r="C98" s="223"/>
      <c r="D98" s="223"/>
      <c r="E98" s="223"/>
      <c r="F98" s="223"/>
      <c r="G98" s="223"/>
    </row>
    <row r="99" spans="1:7" x14ac:dyDescent="0.3">
      <c r="A99" s="223" t="s">
        <v>4587</v>
      </c>
      <c r="B99" s="223"/>
      <c r="C99" s="223"/>
      <c r="D99" s="223"/>
      <c r="E99" s="223"/>
      <c r="F99" s="223"/>
      <c r="G99" s="223"/>
    </row>
    <row r="100" spans="1:7" x14ac:dyDescent="0.3">
      <c r="A100" s="223" t="s">
        <v>4588</v>
      </c>
      <c r="B100" s="223"/>
      <c r="C100" s="223"/>
      <c r="D100" s="223"/>
      <c r="E100" s="223"/>
      <c r="F100" s="223"/>
      <c r="G100" s="223"/>
    </row>
    <row r="101" spans="1:7" x14ac:dyDescent="0.3">
      <c r="A101" s="223" t="s">
        <v>4589</v>
      </c>
      <c r="B101" s="223"/>
      <c r="C101" s="223"/>
      <c r="D101" s="223"/>
      <c r="E101" s="223"/>
      <c r="F101" s="223"/>
      <c r="G101" s="223"/>
    </row>
    <row r="102" spans="1:7" x14ac:dyDescent="0.3">
      <c r="A102" s="223"/>
      <c r="B102" s="223"/>
      <c r="C102" s="223"/>
      <c r="D102" s="223"/>
      <c r="E102" s="223"/>
      <c r="F102" s="223"/>
      <c r="G102" s="223"/>
    </row>
    <row r="103" spans="1:7" x14ac:dyDescent="0.3">
      <c r="A103" s="223" t="s">
        <v>4590</v>
      </c>
      <c r="B103" s="223"/>
      <c r="C103" s="223"/>
      <c r="D103" s="223"/>
      <c r="E103" s="223"/>
      <c r="F103" s="223"/>
      <c r="G103" s="223"/>
    </row>
    <row r="104" spans="1:7" x14ac:dyDescent="0.3">
      <c r="A104" s="223" t="s">
        <v>4591</v>
      </c>
      <c r="B104" s="223"/>
      <c r="C104" s="223"/>
      <c r="D104" s="223"/>
      <c r="E104" s="223"/>
      <c r="F104" s="223"/>
      <c r="G104" s="223"/>
    </row>
    <row r="105" spans="1:7" x14ac:dyDescent="0.3">
      <c r="A105" s="223" t="s">
        <v>4592</v>
      </c>
      <c r="B105" s="223"/>
      <c r="C105" s="223"/>
      <c r="D105" s="223"/>
      <c r="E105" s="223"/>
      <c r="F105" s="223"/>
      <c r="G105" s="223"/>
    </row>
  </sheetData>
  <mergeCells count="2">
    <mergeCell ref="A50:G50"/>
    <mergeCell ref="A40:G40"/>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6180-9567-4B03-BA95-710DF4756F02}">
  <sheetPr>
    <tabColor theme="5"/>
  </sheetPr>
  <dimension ref="A1:L89"/>
  <sheetViews>
    <sheetView workbookViewId="0">
      <selection activeCell="H16" sqref="H16"/>
    </sheetView>
  </sheetViews>
  <sheetFormatPr defaultRowHeight="14.4" x14ac:dyDescent="0.3"/>
  <cols>
    <col min="1" max="1" width="14.6640625" bestFit="1" customWidth="1"/>
    <col min="2" max="2" width="15" bestFit="1" customWidth="1"/>
    <col min="3" max="3" width="9.88671875" bestFit="1" customWidth="1"/>
    <col min="4" max="4" width="9" bestFit="1" customWidth="1"/>
    <col min="5" max="5" width="18.88671875" bestFit="1" customWidth="1"/>
    <col min="6" max="6" width="25.109375" bestFit="1" customWidth="1"/>
    <col min="7" max="7" width="14.6640625" bestFit="1" customWidth="1"/>
    <col min="8" max="8" width="13.5546875" bestFit="1" customWidth="1"/>
    <col min="9" max="9" width="13.88671875" customWidth="1"/>
    <col min="10" max="10" width="15.44140625" bestFit="1" customWidth="1"/>
    <col min="11" max="11" width="14.6640625" bestFit="1" customWidth="1"/>
    <col min="12" max="12" width="31.5546875" bestFit="1" customWidth="1"/>
  </cols>
  <sheetData>
    <row r="1" spans="1:12" x14ac:dyDescent="0.3">
      <c r="A1" s="170" t="s">
        <v>4074</v>
      </c>
      <c r="B1" s="170" t="s">
        <v>4075</v>
      </c>
      <c r="C1" s="170" t="s">
        <v>4076</v>
      </c>
      <c r="D1" s="170" t="s">
        <v>4077</v>
      </c>
      <c r="E1" s="170" t="s">
        <v>383</v>
      </c>
      <c r="F1" s="170" t="s">
        <v>4078</v>
      </c>
      <c r="G1" s="170" t="s">
        <v>4079</v>
      </c>
      <c r="H1" s="170" t="s">
        <v>1</v>
      </c>
      <c r="I1" s="170" t="s">
        <v>106</v>
      </c>
      <c r="J1" s="170" t="s">
        <v>4080</v>
      </c>
      <c r="K1" s="170" t="s">
        <v>2544</v>
      </c>
      <c r="L1" s="170" t="s">
        <v>114</v>
      </c>
    </row>
    <row r="2" spans="1:12" x14ac:dyDescent="0.3">
      <c r="A2" t="s">
        <v>4081</v>
      </c>
      <c r="B2" s="3">
        <v>46202</v>
      </c>
      <c r="C2" s="157">
        <v>0.75</v>
      </c>
      <c r="D2" s="157">
        <v>0.91666666666666663</v>
      </c>
      <c r="E2" t="s">
        <v>4082</v>
      </c>
      <c r="F2" t="s">
        <v>3923</v>
      </c>
      <c r="G2" t="s">
        <v>31</v>
      </c>
      <c r="H2" t="s">
        <v>5</v>
      </c>
      <c r="I2" t="s">
        <v>4083</v>
      </c>
      <c r="J2" t="s">
        <v>941</v>
      </c>
      <c r="K2" t="s">
        <v>2578</v>
      </c>
      <c r="L2" t="s">
        <v>4084</v>
      </c>
    </row>
    <row r="3" spans="1:12" x14ac:dyDescent="0.3">
      <c r="A3" t="s">
        <v>4085</v>
      </c>
      <c r="B3" s="3">
        <v>46202</v>
      </c>
      <c r="C3" s="157">
        <v>0.83333333333333337</v>
      </c>
      <c r="D3" s="157">
        <v>0.95833333333333337</v>
      </c>
      <c r="E3" t="s">
        <v>4086</v>
      </c>
      <c r="F3" t="s">
        <v>35</v>
      </c>
      <c r="G3" t="s">
        <v>29</v>
      </c>
      <c r="H3" t="s">
        <v>6</v>
      </c>
      <c r="I3" t="s">
        <v>4083</v>
      </c>
      <c r="J3" t="s">
        <v>947</v>
      </c>
      <c r="K3" t="s">
        <v>2578</v>
      </c>
      <c r="L3" t="s">
        <v>4087</v>
      </c>
    </row>
    <row r="4" spans="1:12" x14ac:dyDescent="0.3">
      <c r="A4" t="s">
        <v>4088</v>
      </c>
      <c r="B4" s="3">
        <v>46202</v>
      </c>
      <c r="C4" s="157">
        <v>0.79166666666666663</v>
      </c>
      <c r="D4" s="157">
        <v>0.875</v>
      </c>
      <c r="E4" t="s">
        <v>4089</v>
      </c>
      <c r="F4" t="s">
        <v>70</v>
      </c>
      <c r="G4" t="s">
        <v>31</v>
      </c>
      <c r="H4" t="s">
        <v>9</v>
      </c>
      <c r="I4" t="s">
        <v>3998</v>
      </c>
      <c r="J4" t="s">
        <v>950</v>
      </c>
      <c r="K4" t="s">
        <v>2578</v>
      </c>
      <c r="L4" t="s">
        <v>4090</v>
      </c>
    </row>
    <row r="5" spans="1:12" x14ac:dyDescent="0.3">
      <c r="A5" t="s">
        <v>4091</v>
      </c>
      <c r="B5" s="3">
        <v>46203</v>
      </c>
      <c r="C5" s="157">
        <v>8.3333333333333329E-2</v>
      </c>
      <c r="D5" s="157">
        <v>0.25</v>
      </c>
      <c r="E5" t="s">
        <v>1929</v>
      </c>
      <c r="F5" t="s">
        <v>44</v>
      </c>
      <c r="G5" t="s">
        <v>31</v>
      </c>
      <c r="H5" t="s">
        <v>7</v>
      </c>
      <c r="I5" t="s">
        <v>4083</v>
      </c>
      <c r="J5" t="s">
        <v>953</v>
      </c>
      <c r="K5" t="s">
        <v>2578</v>
      </c>
      <c r="L5" t="s">
        <v>4092</v>
      </c>
    </row>
    <row r="6" spans="1:12" x14ac:dyDescent="0.3">
      <c r="A6" t="s">
        <v>4093</v>
      </c>
      <c r="B6" s="3">
        <v>46203</v>
      </c>
      <c r="C6" s="157">
        <v>0.91666666666666663</v>
      </c>
      <c r="D6" s="157">
        <v>8.3333333333333329E-2</v>
      </c>
      <c r="E6" t="s">
        <v>4086</v>
      </c>
      <c r="F6" t="s">
        <v>56</v>
      </c>
      <c r="G6" t="s">
        <v>29</v>
      </c>
      <c r="H6" t="s">
        <v>8</v>
      </c>
      <c r="I6" t="s">
        <v>4083</v>
      </c>
      <c r="J6" t="s">
        <v>956</v>
      </c>
      <c r="K6" t="s">
        <v>2578</v>
      </c>
      <c r="L6" t="s">
        <v>4094</v>
      </c>
    </row>
    <row r="7" spans="1:12" x14ac:dyDescent="0.3">
      <c r="A7" t="s">
        <v>4095</v>
      </c>
      <c r="B7" s="3">
        <v>46204</v>
      </c>
      <c r="C7" s="157">
        <v>0.125</v>
      </c>
      <c r="D7" s="157">
        <v>0.20833333333333334</v>
      </c>
      <c r="E7" t="s">
        <v>1113</v>
      </c>
      <c r="F7" t="s">
        <v>15</v>
      </c>
      <c r="G7" t="s">
        <v>4096</v>
      </c>
      <c r="H7" t="s">
        <v>5</v>
      </c>
      <c r="I7" t="s">
        <v>4097</v>
      </c>
      <c r="J7" t="s">
        <v>959</v>
      </c>
      <c r="K7" t="s">
        <v>2578</v>
      </c>
      <c r="L7" t="s">
        <v>4098</v>
      </c>
    </row>
    <row r="8" spans="1:12" x14ac:dyDescent="0.3">
      <c r="A8" t="s">
        <v>4099</v>
      </c>
      <c r="B8" s="3">
        <v>46204</v>
      </c>
      <c r="C8" s="157">
        <v>0.75</v>
      </c>
      <c r="D8" s="157">
        <v>0.83333333333333337</v>
      </c>
      <c r="E8" t="s">
        <v>4082</v>
      </c>
      <c r="F8" t="s">
        <v>16</v>
      </c>
      <c r="G8" t="s">
        <v>28</v>
      </c>
      <c r="H8" t="s">
        <v>5</v>
      </c>
      <c r="I8" t="s">
        <v>4083</v>
      </c>
      <c r="J8" t="s">
        <v>962</v>
      </c>
      <c r="K8" t="s">
        <v>2650</v>
      </c>
      <c r="L8" t="s">
        <v>4100</v>
      </c>
    </row>
    <row r="9" spans="1:12" x14ac:dyDescent="0.3">
      <c r="A9" t="s">
        <v>4101</v>
      </c>
      <c r="B9" s="3">
        <v>46205</v>
      </c>
      <c r="C9" s="157">
        <v>0</v>
      </c>
      <c r="D9" s="157">
        <v>0.16666666666666666</v>
      </c>
      <c r="E9" t="s">
        <v>1929</v>
      </c>
      <c r="F9" t="s">
        <v>73</v>
      </c>
      <c r="G9" t="s">
        <v>31</v>
      </c>
      <c r="H9" t="s">
        <v>10</v>
      </c>
      <c r="I9" t="s">
        <v>4097</v>
      </c>
      <c r="J9" t="s">
        <v>965</v>
      </c>
      <c r="K9" t="s">
        <v>2578</v>
      </c>
      <c r="L9" t="s">
        <v>4102</v>
      </c>
    </row>
    <row r="10" spans="1:12" x14ac:dyDescent="0.3">
      <c r="A10" t="s">
        <v>4103</v>
      </c>
      <c r="B10" s="3">
        <v>46205</v>
      </c>
      <c r="C10" s="157">
        <v>0.83333333333333337</v>
      </c>
      <c r="D10" s="157">
        <v>0.91666666666666663</v>
      </c>
      <c r="E10" t="s">
        <v>4086</v>
      </c>
      <c r="F10" t="s">
        <v>36</v>
      </c>
      <c r="G10" t="s">
        <v>28</v>
      </c>
      <c r="H10" t="s">
        <v>6</v>
      </c>
      <c r="I10" t="s">
        <v>4083</v>
      </c>
      <c r="J10" t="s">
        <v>968</v>
      </c>
      <c r="K10" t="s">
        <v>2578</v>
      </c>
      <c r="L10" t="s">
        <v>4104</v>
      </c>
    </row>
    <row r="11" spans="1:12" x14ac:dyDescent="0.3">
      <c r="A11" t="s">
        <v>4105</v>
      </c>
      <c r="B11" s="3">
        <v>46206</v>
      </c>
      <c r="C11" s="157">
        <v>8.3333333333333329E-2</v>
      </c>
      <c r="D11" s="157">
        <v>0.25</v>
      </c>
      <c r="E11" t="s">
        <v>4082</v>
      </c>
      <c r="F11" t="s">
        <v>93</v>
      </c>
      <c r="G11" t="s">
        <v>31</v>
      </c>
      <c r="H11" t="s">
        <v>12</v>
      </c>
      <c r="I11" t="s">
        <v>3998</v>
      </c>
      <c r="J11" t="s">
        <v>971</v>
      </c>
      <c r="K11" t="s">
        <v>2578</v>
      </c>
      <c r="L11" t="s">
        <v>4106</v>
      </c>
    </row>
    <row r="12" spans="1:12" x14ac:dyDescent="0.3">
      <c r="A12" t="s">
        <v>4107</v>
      </c>
      <c r="B12" s="3">
        <v>46207</v>
      </c>
      <c r="C12" s="157">
        <v>4.1666666666666664E-2</v>
      </c>
      <c r="D12" s="157">
        <v>0.125</v>
      </c>
      <c r="E12" t="s">
        <v>1113</v>
      </c>
      <c r="F12" t="s">
        <v>66</v>
      </c>
      <c r="G12" t="s">
        <v>31</v>
      </c>
      <c r="H12" t="s">
        <v>9</v>
      </c>
      <c r="I12" t="s">
        <v>3998</v>
      </c>
      <c r="J12" t="s">
        <v>974</v>
      </c>
      <c r="K12" t="s">
        <v>2650</v>
      </c>
      <c r="L12" t="s">
        <v>4108</v>
      </c>
    </row>
    <row r="13" spans="1:12" x14ac:dyDescent="0.3">
      <c r="A13" t="s">
        <v>4109</v>
      </c>
      <c r="B13" s="3">
        <v>46207</v>
      </c>
      <c r="C13" s="157">
        <v>0.91666666666666663</v>
      </c>
      <c r="D13" s="157">
        <v>8.3333333333333329E-2</v>
      </c>
      <c r="E13" t="s">
        <v>1929</v>
      </c>
      <c r="F13" t="s">
        <v>97</v>
      </c>
      <c r="G13" t="s">
        <v>31</v>
      </c>
      <c r="H13" t="s">
        <v>12</v>
      </c>
      <c r="I13" t="s">
        <v>4097</v>
      </c>
      <c r="J13" t="s">
        <v>977</v>
      </c>
      <c r="K13" t="s">
        <v>2578</v>
      </c>
      <c r="L13" t="s">
        <v>4110</v>
      </c>
    </row>
    <row r="14" spans="1:12" x14ac:dyDescent="0.3">
      <c r="A14" t="s">
        <v>4111</v>
      </c>
      <c r="B14" s="3">
        <v>46208</v>
      </c>
      <c r="C14" s="157">
        <v>0.75</v>
      </c>
      <c r="D14" s="157">
        <v>0.91666666666666663</v>
      </c>
      <c r="E14" t="s">
        <v>4086</v>
      </c>
      <c r="F14" t="s">
        <v>51</v>
      </c>
      <c r="G14" t="s">
        <v>29</v>
      </c>
      <c r="H14" t="s">
        <v>7</v>
      </c>
      <c r="I14" t="s">
        <v>4083</v>
      </c>
      <c r="J14" t="s">
        <v>980</v>
      </c>
      <c r="K14" t="s">
        <v>2578</v>
      </c>
      <c r="L14" t="s">
        <v>4112</v>
      </c>
    </row>
    <row r="15" spans="1:12" x14ac:dyDescent="0.3">
      <c r="A15" t="s">
        <v>4113</v>
      </c>
      <c r="B15" s="3">
        <v>46209</v>
      </c>
      <c r="C15" s="157">
        <v>8.3333333333333329E-2</v>
      </c>
      <c r="D15" s="157">
        <v>0.33333333333333331</v>
      </c>
      <c r="E15" t="s">
        <v>4082</v>
      </c>
      <c r="F15" t="s">
        <v>74</v>
      </c>
      <c r="G15" t="s">
        <v>31</v>
      </c>
      <c r="H15" t="s">
        <v>10</v>
      </c>
      <c r="I15" t="s">
        <v>4083</v>
      </c>
      <c r="J15" t="s">
        <v>986</v>
      </c>
      <c r="K15" t="s">
        <v>2578</v>
      </c>
      <c r="L15" t="s">
        <v>4114</v>
      </c>
    </row>
    <row r="16" spans="1:12" x14ac:dyDescent="0.3">
      <c r="A16" t="s">
        <v>4115</v>
      </c>
      <c r="B16" s="3">
        <v>46210</v>
      </c>
      <c r="C16" s="157">
        <v>0</v>
      </c>
      <c r="D16" s="157">
        <v>0.16666666666666666</v>
      </c>
      <c r="E16" t="s">
        <v>1929</v>
      </c>
      <c r="F16" t="s">
        <v>47</v>
      </c>
      <c r="G16" t="s">
        <v>31</v>
      </c>
      <c r="H16" t="s">
        <v>7</v>
      </c>
      <c r="I16" t="s">
        <v>3998</v>
      </c>
      <c r="J16" t="s">
        <v>989</v>
      </c>
      <c r="K16" t="s">
        <v>2650</v>
      </c>
      <c r="L16" t="s">
        <v>4116</v>
      </c>
    </row>
    <row r="17" spans="1:12" x14ac:dyDescent="0.3">
      <c r="A17" t="s">
        <v>4117</v>
      </c>
      <c r="B17" s="3">
        <v>46211</v>
      </c>
      <c r="C17" s="157">
        <v>0.125</v>
      </c>
      <c r="D17" s="157">
        <v>0.20833333333333334</v>
      </c>
      <c r="E17" t="s">
        <v>1113</v>
      </c>
      <c r="F17" t="s">
        <v>64</v>
      </c>
      <c r="G17" t="s">
        <v>31</v>
      </c>
      <c r="H17" t="s">
        <v>9</v>
      </c>
      <c r="I17" t="s">
        <v>4097</v>
      </c>
      <c r="J17" t="s">
        <v>992</v>
      </c>
      <c r="K17" t="s">
        <v>2578</v>
      </c>
      <c r="L17" t="s">
        <v>4118</v>
      </c>
    </row>
    <row r="18" spans="1:12" x14ac:dyDescent="0.3">
      <c r="A18" t="s">
        <v>4119</v>
      </c>
      <c r="B18" s="3">
        <v>46212</v>
      </c>
      <c r="C18" s="157">
        <v>0.91666666666666663</v>
      </c>
      <c r="D18" s="157">
        <v>8.3333333333333329E-2</v>
      </c>
      <c r="E18" t="s">
        <v>4086</v>
      </c>
      <c r="F18" t="s">
        <v>14</v>
      </c>
      <c r="G18" t="s">
        <v>29</v>
      </c>
      <c r="H18" t="s">
        <v>5</v>
      </c>
      <c r="I18" t="s">
        <v>4083</v>
      </c>
      <c r="J18" t="s">
        <v>995</v>
      </c>
      <c r="K18" t="s">
        <v>2578</v>
      </c>
      <c r="L18" t="s">
        <v>4094</v>
      </c>
    </row>
    <row r="19" spans="1:12" x14ac:dyDescent="0.3">
      <c r="A19" t="s">
        <v>4120</v>
      </c>
      <c r="B19" s="3">
        <v>46213</v>
      </c>
      <c r="C19" s="157">
        <v>4.1666666666666664E-2</v>
      </c>
      <c r="D19" s="157">
        <v>0.20833333333333334</v>
      </c>
      <c r="E19" t="s">
        <v>4089</v>
      </c>
      <c r="F19" t="s">
        <v>98</v>
      </c>
      <c r="G19" t="s">
        <v>31</v>
      </c>
      <c r="H19" t="s">
        <v>12</v>
      </c>
      <c r="I19" t="s">
        <v>3998</v>
      </c>
      <c r="J19" t="s">
        <v>998</v>
      </c>
      <c r="K19" t="s">
        <v>2578</v>
      </c>
      <c r="L19" t="s">
        <v>4090</v>
      </c>
    </row>
    <row r="20" spans="1:12" x14ac:dyDescent="0.3">
      <c r="A20" t="s">
        <v>4121</v>
      </c>
      <c r="B20" s="3">
        <v>46201</v>
      </c>
      <c r="C20" s="157">
        <v>8.3333333333333329E-2</v>
      </c>
      <c r="D20" s="157">
        <v>0.16666666666666666</v>
      </c>
      <c r="E20" t="s">
        <v>4082</v>
      </c>
      <c r="F20" t="s">
        <v>59</v>
      </c>
      <c r="G20" t="s">
        <v>31</v>
      </c>
      <c r="H20" t="s">
        <v>8</v>
      </c>
      <c r="I20" t="s">
        <v>4083</v>
      </c>
      <c r="J20" t="s">
        <v>1001</v>
      </c>
      <c r="K20" t="s">
        <v>3139</v>
      </c>
      <c r="L20" t="s">
        <v>4122</v>
      </c>
    </row>
    <row r="21" spans="1:12" x14ac:dyDescent="0.3">
      <c r="A21" t="s">
        <v>4123</v>
      </c>
      <c r="B21" s="3">
        <v>46200</v>
      </c>
      <c r="C21" s="157">
        <v>0.83333333333333337</v>
      </c>
      <c r="D21" s="157">
        <v>0.95833333333333337</v>
      </c>
      <c r="E21" t="s">
        <v>4086</v>
      </c>
      <c r="F21" t="s">
        <v>17</v>
      </c>
      <c r="G21" t="s">
        <v>28</v>
      </c>
      <c r="H21" t="s">
        <v>5</v>
      </c>
      <c r="I21" t="s">
        <v>4083</v>
      </c>
      <c r="J21" t="s">
        <v>1004</v>
      </c>
      <c r="K21" t="s">
        <v>3139</v>
      </c>
      <c r="L21" t="s">
        <v>4122</v>
      </c>
    </row>
    <row r="24" spans="1:12" ht="15.6" x14ac:dyDescent="0.3">
      <c r="A24" s="384" t="s">
        <v>4781</v>
      </c>
      <c r="B24" s="384"/>
      <c r="C24" s="384"/>
      <c r="D24" s="384"/>
      <c r="E24" s="384"/>
      <c r="F24" s="384"/>
      <c r="G24" s="384"/>
      <c r="H24" s="384"/>
      <c r="I24" s="384"/>
      <c r="J24" s="384"/>
      <c r="K24" s="384"/>
      <c r="L24" s="384"/>
    </row>
    <row r="25" spans="1:12" x14ac:dyDescent="0.3">
      <c r="A25" s="237"/>
      <c r="B25" s="237"/>
      <c r="C25" s="237"/>
      <c r="D25" s="237"/>
      <c r="E25" s="237"/>
      <c r="F25" s="237"/>
      <c r="G25" s="237"/>
      <c r="H25" s="237"/>
      <c r="I25" s="237"/>
      <c r="J25" s="237"/>
      <c r="K25" s="237"/>
      <c r="L25" s="237"/>
    </row>
    <row r="26" spans="1:12" x14ac:dyDescent="0.3">
      <c r="A26" s="237" t="s">
        <v>4782</v>
      </c>
      <c r="B26" s="237"/>
      <c r="C26" s="237"/>
      <c r="D26" s="237"/>
      <c r="E26" s="237"/>
      <c r="F26" s="237"/>
      <c r="G26" s="237"/>
      <c r="H26" s="237"/>
      <c r="I26" s="237"/>
      <c r="J26" s="237"/>
      <c r="K26" s="237"/>
      <c r="L26" s="237"/>
    </row>
    <row r="27" spans="1:12" x14ac:dyDescent="0.3">
      <c r="A27" s="237"/>
      <c r="B27" s="237"/>
      <c r="C27" s="237"/>
      <c r="D27" s="237"/>
      <c r="E27" s="237"/>
      <c r="F27" s="237"/>
      <c r="G27" s="237"/>
      <c r="H27" s="237"/>
      <c r="I27" s="237"/>
      <c r="J27" s="237"/>
      <c r="K27" s="237"/>
      <c r="L27" s="237"/>
    </row>
    <row r="28" spans="1:12" x14ac:dyDescent="0.3">
      <c r="A28" s="237" t="s">
        <v>4783</v>
      </c>
      <c r="B28" s="237"/>
      <c r="C28" s="237"/>
      <c r="D28" s="237"/>
      <c r="E28" s="237"/>
      <c r="F28" s="237"/>
      <c r="G28" s="237"/>
      <c r="H28" s="237"/>
      <c r="I28" s="237"/>
      <c r="J28" s="237"/>
      <c r="K28" s="237"/>
      <c r="L28" s="237"/>
    </row>
    <row r="29" spans="1:12" x14ac:dyDescent="0.3">
      <c r="A29" s="237"/>
      <c r="B29" s="237"/>
      <c r="C29" s="237"/>
      <c r="D29" s="237"/>
      <c r="E29" s="237"/>
      <c r="F29" s="237"/>
      <c r="G29" s="237"/>
      <c r="H29" s="237"/>
      <c r="I29" s="237"/>
      <c r="J29" s="237"/>
      <c r="K29" s="237"/>
      <c r="L29" s="237"/>
    </row>
    <row r="30" spans="1:12" x14ac:dyDescent="0.3">
      <c r="A30" s="237" t="s">
        <v>4784</v>
      </c>
      <c r="B30" s="237"/>
      <c r="C30" s="237"/>
      <c r="D30" s="237"/>
      <c r="E30" s="237"/>
      <c r="F30" s="237"/>
      <c r="G30" s="237"/>
      <c r="H30" s="237"/>
      <c r="I30" s="237"/>
      <c r="J30" s="237"/>
      <c r="K30" s="237"/>
      <c r="L30" s="237"/>
    </row>
    <row r="31" spans="1:12" x14ac:dyDescent="0.3">
      <c r="A31" s="237"/>
      <c r="B31" s="237"/>
      <c r="C31" s="237"/>
      <c r="D31" s="237"/>
      <c r="E31" s="237"/>
      <c r="F31" s="237"/>
      <c r="G31" s="237"/>
      <c r="H31" s="237"/>
      <c r="I31" s="237"/>
      <c r="J31" s="237"/>
      <c r="K31" s="237"/>
      <c r="L31" s="237"/>
    </row>
    <row r="32" spans="1:12" x14ac:dyDescent="0.3">
      <c r="A32" s="237" t="s">
        <v>4748</v>
      </c>
      <c r="B32" s="237"/>
      <c r="C32" s="237"/>
      <c r="D32" s="237"/>
      <c r="E32" s="237"/>
      <c r="F32" s="237"/>
      <c r="G32" s="237"/>
      <c r="H32" s="237"/>
      <c r="I32" s="237"/>
      <c r="J32" s="237"/>
      <c r="K32" s="237"/>
      <c r="L32" s="237"/>
    </row>
    <row r="34" spans="1:12" ht="18" x14ac:dyDescent="0.35">
      <c r="A34" s="385" t="s">
        <v>4593</v>
      </c>
      <c r="B34" s="385"/>
      <c r="C34" s="385"/>
      <c r="D34" s="385"/>
      <c r="E34" s="385"/>
      <c r="F34" s="385"/>
      <c r="G34" s="385"/>
      <c r="H34" s="385"/>
      <c r="I34" s="385"/>
      <c r="J34" s="385"/>
      <c r="K34" s="385"/>
      <c r="L34" s="385"/>
    </row>
    <row r="36" spans="1:12" ht="15.6" x14ac:dyDescent="0.3">
      <c r="A36" s="222" t="s">
        <v>4594</v>
      </c>
      <c r="B36" s="223"/>
      <c r="C36" s="223"/>
      <c r="D36" s="223"/>
      <c r="E36" s="223"/>
      <c r="F36" s="223"/>
      <c r="G36" s="223"/>
      <c r="H36" s="223"/>
      <c r="I36" s="223"/>
      <c r="J36" s="223"/>
      <c r="K36" s="223"/>
      <c r="L36" s="223"/>
    </row>
    <row r="37" spans="1:12" x14ac:dyDescent="0.3">
      <c r="A37" s="223" t="s">
        <v>4595</v>
      </c>
      <c r="B37" s="223"/>
      <c r="C37" s="223"/>
      <c r="D37" s="223"/>
      <c r="E37" s="223"/>
      <c r="F37" s="223"/>
      <c r="G37" s="223"/>
      <c r="H37" s="223"/>
      <c r="I37" s="223"/>
      <c r="J37" s="223"/>
      <c r="K37" s="223"/>
      <c r="L37" s="223"/>
    </row>
    <row r="38" spans="1:12" x14ac:dyDescent="0.3">
      <c r="A38" s="223" t="s">
        <v>4596</v>
      </c>
      <c r="B38" s="223"/>
      <c r="C38" s="223"/>
      <c r="D38" s="223"/>
      <c r="E38" s="223"/>
      <c r="F38" s="223"/>
      <c r="G38" s="223"/>
      <c r="H38" s="223"/>
      <c r="I38" s="223"/>
      <c r="J38" s="223"/>
      <c r="K38" s="223"/>
      <c r="L38" s="223"/>
    </row>
    <row r="39" spans="1:12" x14ac:dyDescent="0.3">
      <c r="A39" s="223"/>
      <c r="B39" s="223"/>
      <c r="C39" s="223"/>
      <c r="D39" s="223"/>
      <c r="E39" s="223"/>
      <c r="F39" s="223"/>
      <c r="G39" s="223"/>
      <c r="H39" s="223"/>
      <c r="I39" s="223"/>
      <c r="J39" s="223"/>
      <c r="K39" s="223"/>
      <c r="L39" s="223"/>
    </row>
    <row r="40" spans="1:12" x14ac:dyDescent="0.3">
      <c r="A40" s="223" t="s">
        <v>4597</v>
      </c>
      <c r="B40" s="223"/>
      <c r="C40" s="223"/>
      <c r="D40" s="223"/>
      <c r="E40" s="223"/>
      <c r="F40" s="223"/>
      <c r="G40" s="223"/>
      <c r="H40" s="223"/>
      <c r="I40" s="223"/>
      <c r="J40" s="223"/>
      <c r="K40" s="223"/>
      <c r="L40" s="223"/>
    </row>
    <row r="41" spans="1:12" x14ac:dyDescent="0.3">
      <c r="A41" s="223" t="s">
        <v>4598</v>
      </c>
      <c r="B41" s="223"/>
      <c r="C41" s="223"/>
      <c r="D41" s="223"/>
      <c r="E41" s="223"/>
      <c r="F41" s="223"/>
      <c r="G41" s="223"/>
      <c r="H41" s="223"/>
      <c r="I41" s="223"/>
      <c r="J41" s="223"/>
      <c r="K41" s="223"/>
      <c r="L41" s="223"/>
    </row>
    <row r="42" spans="1:12" x14ac:dyDescent="0.3">
      <c r="A42" s="223" t="s">
        <v>4599</v>
      </c>
      <c r="B42" s="223"/>
      <c r="C42" s="223"/>
      <c r="D42" s="223"/>
      <c r="E42" s="223"/>
      <c r="F42" s="223"/>
      <c r="G42" s="223"/>
      <c r="H42" s="223"/>
      <c r="I42" s="223"/>
      <c r="J42" s="223"/>
      <c r="K42" s="223"/>
      <c r="L42" s="223"/>
    </row>
    <row r="43" spans="1:12" x14ac:dyDescent="0.3">
      <c r="A43" s="223" t="s">
        <v>4600</v>
      </c>
      <c r="B43" s="223"/>
      <c r="C43" s="223"/>
      <c r="D43" s="223"/>
      <c r="E43" s="223"/>
      <c r="F43" s="223"/>
      <c r="G43" s="223"/>
      <c r="H43" s="223"/>
      <c r="I43" s="223"/>
      <c r="J43" s="223"/>
      <c r="K43" s="223"/>
      <c r="L43" s="223"/>
    </row>
    <row r="44" spans="1:12" x14ac:dyDescent="0.3">
      <c r="A44" s="223" t="s">
        <v>4601</v>
      </c>
      <c r="B44" s="223"/>
      <c r="C44" s="223"/>
      <c r="D44" s="223"/>
      <c r="E44" s="223"/>
      <c r="F44" s="223"/>
      <c r="G44" s="223"/>
      <c r="H44" s="223"/>
      <c r="I44" s="223"/>
      <c r="J44" s="223"/>
      <c r="K44" s="223"/>
      <c r="L44" s="223"/>
    </row>
    <row r="45" spans="1:12" x14ac:dyDescent="0.3">
      <c r="A45" s="223"/>
      <c r="B45" s="223"/>
      <c r="C45" s="223"/>
      <c r="D45" s="223"/>
      <c r="E45" s="223"/>
      <c r="F45" s="223"/>
      <c r="G45" s="223"/>
      <c r="H45" s="223"/>
      <c r="I45" s="223"/>
      <c r="J45" s="223"/>
      <c r="K45" s="223"/>
      <c r="L45" s="223"/>
    </row>
    <row r="46" spans="1:12" ht="15.6" x14ac:dyDescent="0.3">
      <c r="A46" s="222" t="s">
        <v>4602</v>
      </c>
      <c r="B46" s="223"/>
      <c r="C46" s="223"/>
      <c r="D46" s="223"/>
      <c r="E46" s="223"/>
      <c r="F46" s="223"/>
      <c r="G46" s="223"/>
      <c r="H46" s="223"/>
      <c r="I46" s="223"/>
      <c r="J46" s="223"/>
      <c r="K46" s="223"/>
      <c r="L46" s="223"/>
    </row>
    <row r="47" spans="1:12" x14ac:dyDescent="0.3">
      <c r="A47" s="223"/>
      <c r="B47" s="223"/>
      <c r="C47" s="223"/>
      <c r="D47" s="223"/>
      <c r="E47" s="223"/>
      <c r="F47" s="223"/>
      <c r="G47" s="223"/>
      <c r="H47" s="223"/>
      <c r="I47" s="223"/>
      <c r="J47" s="223"/>
      <c r="K47" s="223"/>
      <c r="L47" s="223"/>
    </row>
    <row r="48" spans="1:12" x14ac:dyDescent="0.3">
      <c r="A48" s="224" t="s">
        <v>4603</v>
      </c>
      <c r="B48" s="223"/>
      <c r="C48" s="223"/>
      <c r="D48" s="223"/>
      <c r="E48" s="223"/>
      <c r="F48" s="223"/>
      <c r="G48" s="223"/>
      <c r="H48" s="223"/>
      <c r="I48" s="223"/>
      <c r="J48" s="223"/>
      <c r="K48" s="223"/>
      <c r="L48" s="223"/>
    </row>
    <row r="49" spans="1:12" x14ac:dyDescent="0.3">
      <c r="A49" s="223" t="s">
        <v>4429</v>
      </c>
      <c r="B49" s="223"/>
      <c r="C49" s="223"/>
      <c r="D49" s="223"/>
      <c r="E49" s="223"/>
      <c r="F49" s="223"/>
      <c r="G49" s="223"/>
      <c r="H49" s="223"/>
      <c r="I49" s="223"/>
      <c r="J49" s="223"/>
      <c r="K49" s="223"/>
      <c r="L49" s="223"/>
    </row>
    <row r="50" spans="1:12" x14ac:dyDescent="0.3">
      <c r="A50" s="223" t="s">
        <v>4604</v>
      </c>
      <c r="B50" s="223"/>
      <c r="C50" s="223"/>
      <c r="D50" s="223"/>
      <c r="E50" s="223"/>
      <c r="F50" s="223"/>
      <c r="G50" s="223"/>
      <c r="H50" s="223"/>
      <c r="I50" s="223"/>
      <c r="J50" s="223"/>
      <c r="K50" s="223"/>
      <c r="L50" s="223"/>
    </row>
    <row r="51" spans="1:12" x14ac:dyDescent="0.3">
      <c r="A51" s="223" t="s">
        <v>4605</v>
      </c>
      <c r="B51" s="223"/>
      <c r="C51" s="223"/>
      <c r="D51" s="223"/>
      <c r="E51" s="223"/>
      <c r="F51" s="223"/>
      <c r="G51" s="223"/>
      <c r="H51" s="223"/>
      <c r="I51" s="223"/>
      <c r="J51" s="223"/>
      <c r="K51" s="223"/>
      <c r="L51" s="223"/>
    </row>
    <row r="52" spans="1:12" x14ac:dyDescent="0.3">
      <c r="A52" s="223" t="s">
        <v>4606</v>
      </c>
      <c r="B52" s="223"/>
      <c r="C52" s="223"/>
      <c r="D52" s="223"/>
      <c r="E52" s="223"/>
      <c r="F52" s="223"/>
      <c r="G52" s="223"/>
      <c r="H52" s="223"/>
      <c r="I52" s="223"/>
      <c r="J52" s="223"/>
      <c r="K52" s="223"/>
      <c r="L52" s="223"/>
    </row>
    <row r="53" spans="1:12" x14ac:dyDescent="0.3">
      <c r="A53" s="223" t="s">
        <v>4607</v>
      </c>
      <c r="B53" s="223"/>
      <c r="C53" s="223"/>
      <c r="D53" s="223"/>
      <c r="E53" s="223"/>
      <c r="F53" s="223"/>
      <c r="G53" s="223"/>
      <c r="H53" s="223"/>
      <c r="I53" s="223"/>
      <c r="J53" s="223"/>
      <c r="K53" s="223"/>
      <c r="L53" s="223"/>
    </row>
    <row r="54" spans="1:12" x14ac:dyDescent="0.3">
      <c r="A54" s="223" t="s">
        <v>4608</v>
      </c>
      <c r="B54" s="223"/>
      <c r="C54" s="223"/>
      <c r="D54" s="223"/>
      <c r="E54" s="223"/>
      <c r="F54" s="223"/>
      <c r="G54" s="223"/>
      <c r="H54" s="223"/>
      <c r="I54" s="223"/>
      <c r="J54" s="223"/>
      <c r="K54" s="223"/>
      <c r="L54" s="223"/>
    </row>
    <row r="55" spans="1:12" x14ac:dyDescent="0.3">
      <c r="A55" s="223"/>
      <c r="B55" s="223"/>
      <c r="C55" s="223"/>
      <c r="D55" s="223"/>
      <c r="E55" s="223"/>
      <c r="F55" s="223"/>
      <c r="G55" s="223"/>
      <c r="H55" s="223"/>
      <c r="I55" s="223"/>
      <c r="J55" s="223"/>
      <c r="K55" s="223"/>
      <c r="L55" s="223"/>
    </row>
    <row r="56" spans="1:12" x14ac:dyDescent="0.3">
      <c r="A56" s="223" t="s">
        <v>4609</v>
      </c>
      <c r="B56" s="223"/>
      <c r="C56" s="223"/>
      <c r="D56" s="223"/>
      <c r="E56" s="223"/>
      <c r="F56" s="223"/>
      <c r="G56" s="223"/>
      <c r="H56" s="223"/>
      <c r="I56" s="223"/>
      <c r="J56" s="223"/>
      <c r="K56" s="223"/>
      <c r="L56" s="223"/>
    </row>
    <row r="57" spans="1:12" x14ac:dyDescent="0.3">
      <c r="A57" s="223" t="s">
        <v>4610</v>
      </c>
      <c r="B57" s="223"/>
      <c r="C57" s="223"/>
      <c r="D57" s="223"/>
      <c r="E57" s="223"/>
      <c r="F57" s="223"/>
      <c r="G57" s="223"/>
      <c r="H57" s="223"/>
      <c r="I57" s="223"/>
      <c r="J57" s="223"/>
      <c r="K57" s="223"/>
      <c r="L57" s="223"/>
    </row>
    <row r="58" spans="1:12" x14ac:dyDescent="0.3">
      <c r="A58" s="223" t="s">
        <v>4611</v>
      </c>
      <c r="B58" s="223"/>
      <c r="C58" s="223"/>
      <c r="D58" s="223"/>
      <c r="E58" s="223"/>
      <c r="F58" s="223"/>
      <c r="G58" s="223"/>
      <c r="H58" s="223"/>
      <c r="I58" s="223"/>
      <c r="J58" s="223"/>
      <c r="K58" s="223"/>
      <c r="L58" s="223"/>
    </row>
    <row r="59" spans="1:12" x14ac:dyDescent="0.3">
      <c r="A59" s="223" t="s">
        <v>4612</v>
      </c>
      <c r="B59" s="223"/>
      <c r="C59" s="223"/>
      <c r="D59" s="223"/>
      <c r="E59" s="223"/>
      <c r="F59" s="223"/>
      <c r="G59" s="223"/>
      <c r="H59" s="223"/>
      <c r="I59" s="223"/>
      <c r="J59" s="223"/>
      <c r="K59" s="223"/>
      <c r="L59" s="223"/>
    </row>
    <row r="60" spans="1:12" x14ac:dyDescent="0.3">
      <c r="A60" s="223"/>
      <c r="B60" s="223"/>
      <c r="C60" s="223"/>
      <c r="D60" s="223"/>
      <c r="E60" s="223"/>
      <c r="F60" s="223"/>
      <c r="G60" s="223"/>
      <c r="H60" s="223"/>
      <c r="I60" s="223"/>
      <c r="J60" s="223"/>
      <c r="K60" s="223"/>
      <c r="L60" s="223"/>
    </row>
    <row r="61" spans="1:12" ht="15.6" x14ac:dyDescent="0.3">
      <c r="A61" s="222" t="s">
        <v>4613</v>
      </c>
      <c r="B61" s="223"/>
      <c r="C61" s="223"/>
      <c r="D61" s="223"/>
      <c r="E61" s="223"/>
      <c r="F61" s="223"/>
      <c r="G61" s="223"/>
      <c r="H61" s="223"/>
      <c r="I61" s="223"/>
      <c r="J61" s="223"/>
      <c r="K61" s="223"/>
      <c r="L61" s="223"/>
    </row>
    <row r="62" spans="1:12" x14ac:dyDescent="0.3">
      <c r="A62" s="223"/>
      <c r="B62" s="223"/>
      <c r="C62" s="223"/>
      <c r="D62" s="223"/>
      <c r="E62" s="223"/>
      <c r="F62" s="223"/>
      <c r="G62" s="223"/>
      <c r="H62" s="223"/>
      <c r="I62" s="223"/>
      <c r="J62" s="223"/>
      <c r="K62" s="223"/>
      <c r="L62" s="223"/>
    </row>
    <row r="63" spans="1:12" x14ac:dyDescent="0.3">
      <c r="A63" s="223" t="s">
        <v>4440</v>
      </c>
      <c r="B63" s="223"/>
      <c r="C63" s="223"/>
      <c r="D63" s="223"/>
      <c r="E63" s="223"/>
      <c r="F63" s="223"/>
      <c r="G63" s="223"/>
      <c r="H63" s="223"/>
      <c r="I63" s="223"/>
      <c r="J63" s="223"/>
      <c r="K63" s="223"/>
      <c r="L63" s="223"/>
    </row>
    <row r="64" spans="1:12" x14ac:dyDescent="0.3">
      <c r="A64" s="223"/>
      <c r="B64" s="223"/>
      <c r="C64" s="223"/>
      <c r="D64" s="223"/>
      <c r="E64" s="223"/>
      <c r="F64" s="223"/>
      <c r="G64" s="223"/>
      <c r="H64" s="223"/>
      <c r="I64" s="223"/>
      <c r="J64" s="223"/>
      <c r="K64" s="223"/>
      <c r="L64" s="223"/>
    </row>
    <row r="65" spans="1:12" x14ac:dyDescent="0.3">
      <c r="A65" s="223" t="s">
        <v>4614</v>
      </c>
      <c r="B65" s="223"/>
      <c r="C65" s="223"/>
      <c r="D65" s="223"/>
      <c r="E65" s="223"/>
      <c r="F65" s="223"/>
      <c r="G65" s="223"/>
      <c r="H65" s="223"/>
      <c r="I65" s="223"/>
      <c r="J65" s="223"/>
      <c r="K65" s="223"/>
      <c r="L65" s="223"/>
    </row>
    <row r="66" spans="1:12" x14ac:dyDescent="0.3">
      <c r="A66" s="223" t="s">
        <v>4615</v>
      </c>
      <c r="B66" s="223"/>
      <c r="C66" s="223"/>
      <c r="D66" s="223"/>
      <c r="E66" s="223"/>
      <c r="F66" s="223"/>
      <c r="G66" s="223"/>
      <c r="H66" s="223"/>
      <c r="I66" s="223"/>
      <c r="J66" s="223"/>
      <c r="K66" s="223"/>
      <c r="L66" s="223"/>
    </row>
    <row r="67" spans="1:12" x14ac:dyDescent="0.3">
      <c r="A67" s="223" t="s">
        <v>4616</v>
      </c>
      <c r="B67" s="223"/>
      <c r="C67" s="223"/>
      <c r="D67" s="223"/>
      <c r="E67" s="223"/>
      <c r="F67" s="223"/>
      <c r="G67" s="223"/>
      <c r="H67" s="223"/>
      <c r="I67" s="223"/>
      <c r="J67" s="223"/>
      <c r="K67" s="223"/>
      <c r="L67" s="223"/>
    </row>
    <row r="68" spans="1:12" x14ac:dyDescent="0.3">
      <c r="A68" s="223" t="s">
        <v>4617</v>
      </c>
      <c r="B68" s="223"/>
      <c r="C68" s="223"/>
      <c r="D68" s="223"/>
      <c r="E68" s="223"/>
      <c r="F68" s="223"/>
      <c r="G68" s="223"/>
      <c r="H68" s="223"/>
      <c r="I68" s="223"/>
      <c r="J68" s="223"/>
      <c r="K68" s="223"/>
      <c r="L68" s="223"/>
    </row>
    <row r="69" spans="1:12" x14ac:dyDescent="0.3">
      <c r="A69" s="223" t="s">
        <v>4618</v>
      </c>
      <c r="B69" s="223"/>
      <c r="C69" s="223"/>
      <c r="D69" s="223"/>
      <c r="E69" s="223"/>
      <c r="F69" s="223"/>
      <c r="G69" s="223"/>
      <c r="H69" s="223"/>
      <c r="I69" s="223"/>
      <c r="J69" s="223"/>
      <c r="K69" s="223"/>
      <c r="L69" s="223"/>
    </row>
    <row r="70" spans="1:12" x14ac:dyDescent="0.3">
      <c r="A70" s="223"/>
      <c r="B70" s="223"/>
      <c r="C70" s="223"/>
      <c r="D70" s="223"/>
      <c r="E70" s="223"/>
      <c r="F70" s="223"/>
      <c r="G70" s="223"/>
      <c r="H70" s="223"/>
      <c r="I70" s="223"/>
      <c r="J70" s="223"/>
      <c r="K70" s="223"/>
      <c r="L70" s="223"/>
    </row>
    <row r="71" spans="1:12" x14ac:dyDescent="0.3">
      <c r="A71" s="223" t="s">
        <v>4619</v>
      </c>
      <c r="B71" s="223"/>
      <c r="C71" s="223"/>
      <c r="D71" s="223"/>
      <c r="E71" s="223"/>
      <c r="F71" s="223"/>
      <c r="G71" s="223"/>
      <c r="H71" s="223"/>
      <c r="I71" s="223"/>
      <c r="J71" s="223"/>
      <c r="K71" s="223"/>
      <c r="L71" s="223"/>
    </row>
    <row r="72" spans="1:12" x14ac:dyDescent="0.3">
      <c r="A72" s="223" t="s">
        <v>4620</v>
      </c>
      <c r="B72" s="223"/>
      <c r="C72" s="223"/>
      <c r="D72" s="223"/>
      <c r="E72" s="223"/>
      <c r="F72" s="223"/>
      <c r="G72" s="223"/>
      <c r="H72" s="223"/>
      <c r="I72" s="223"/>
      <c r="J72" s="223"/>
      <c r="K72" s="223"/>
      <c r="L72" s="223"/>
    </row>
    <row r="73" spans="1:12" x14ac:dyDescent="0.3">
      <c r="A73" s="223" t="s">
        <v>4621</v>
      </c>
      <c r="B73" s="223"/>
      <c r="C73" s="223"/>
      <c r="D73" s="223"/>
      <c r="E73" s="223"/>
      <c r="F73" s="223"/>
      <c r="G73" s="223"/>
      <c r="H73" s="223"/>
      <c r="I73" s="223"/>
      <c r="J73" s="223"/>
      <c r="K73" s="223"/>
      <c r="L73" s="223"/>
    </row>
    <row r="74" spans="1:12" x14ac:dyDescent="0.3">
      <c r="A74" s="223" t="s">
        <v>4622</v>
      </c>
      <c r="B74" s="223"/>
      <c r="C74" s="223"/>
      <c r="D74" s="223"/>
      <c r="E74" s="223"/>
      <c r="F74" s="223"/>
      <c r="G74" s="223"/>
      <c r="H74" s="223"/>
      <c r="I74" s="223"/>
      <c r="J74" s="223"/>
      <c r="K74" s="223"/>
      <c r="L74" s="223"/>
    </row>
    <row r="75" spans="1:12" x14ac:dyDescent="0.3">
      <c r="A75" s="223" t="s">
        <v>4623</v>
      </c>
      <c r="B75" s="223"/>
      <c r="C75" s="223"/>
      <c r="D75" s="223"/>
      <c r="E75" s="223"/>
      <c r="F75" s="223"/>
      <c r="G75" s="223"/>
      <c r="H75" s="223"/>
      <c r="I75" s="223"/>
      <c r="J75" s="223"/>
      <c r="K75" s="223"/>
      <c r="L75" s="223"/>
    </row>
    <row r="76" spans="1:12" x14ac:dyDescent="0.3">
      <c r="A76" s="223"/>
      <c r="B76" s="223"/>
      <c r="C76" s="223"/>
      <c r="D76" s="223"/>
      <c r="E76" s="223"/>
      <c r="F76" s="223"/>
      <c r="G76" s="223"/>
      <c r="H76" s="223"/>
      <c r="I76" s="223"/>
      <c r="J76" s="223"/>
      <c r="K76" s="223"/>
      <c r="L76" s="223"/>
    </row>
    <row r="77" spans="1:12" ht="15.6" x14ac:dyDescent="0.3">
      <c r="A77" s="222" t="s">
        <v>4451</v>
      </c>
      <c r="B77" s="223"/>
      <c r="C77" s="223"/>
      <c r="D77" s="223"/>
      <c r="E77" s="223"/>
      <c r="F77" s="223"/>
      <c r="G77" s="223"/>
      <c r="H77" s="223"/>
      <c r="I77" s="223"/>
      <c r="J77" s="223"/>
      <c r="K77" s="223"/>
      <c r="L77" s="223"/>
    </row>
    <row r="78" spans="1:12" x14ac:dyDescent="0.3">
      <c r="A78" s="223"/>
      <c r="B78" s="223"/>
      <c r="C78" s="223"/>
      <c r="D78" s="223"/>
      <c r="E78" s="223"/>
      <c r="F78" s="223"/>
      <c r="G78" s="223"/>
      <c r="H78" s="223"/>
      <c r="I78" s="223"/>
      <c r="J78" s="223"/>
      <c r="K78" s="223"/>
      <c r="L78" s="223"/>
    </row>
    <row r="79" spans="1:12" x14ac:dyDescent="0.3">
      <c r="A79" s="223" t="s">
        <v>4624</v>
      </c>
      <c r="B79" s="223"/>
      <c r="C79" s="223"/>
      <c r="D79" s="223"/>
      <c r="E79" s="223"/>
      <c r="F79" s="223"/>
      <c r="G79" s="223"/>
      <c r="H79" s="223"/>
      <c r="I79" s="223"/>
      <c r="J79" s="223"/>
      <c r="K79" s="223"/>
      <c r="L79" s="223"/>
    </row>
    <row r="80" spans="1:12" x14ac:dyDescent="0.3">
      <c r="A80" s="223" t="s">
        <v>4625</v>
      </c>
      <c r="B80" s="223"/>
      <c r="C80" s="223"/>
      <c r="D80" s="223"/>
      <c r="E80" s="223"/>
      <c r="F80" s="223"/>
      <c r="G80" s="223"/>
      <c r="H80" s="223"/>
      <c r="I80" s="223"/>
      <c r="J80" s="223"/>
      <c r="K80" s="223"/>
      <c r="L80" s="223"/>
    </row>
    <row r="81" spans="1:12" x14ac:dyDescent="0.3">
      <c r="A81" s="223" t="s">
        <v>4626</v>
      </c>
      <c r="B81" s="223"/>
      <c r="C81" s="223"/>
      <c r="D81" s="223"/>
      <c r="E81" s="223"/>
      <c r="F81" s="223"/>
      <c r="G81" s="223"/>
      <c r="H81" s="223"/>
      <c r="I81" s="223"/>
      <c r="J81" s="223"/>
      <c r="K81" s="223"/>
      <c r="L81" s="223"/>
    </row>
    <row r="82" spans="1:12" x14ac:dyDescent="0.3">
      <c r="A82" s="223" t="s">
        <v>4627</v>
      </c>
      <c r="B82" s="223"/>
      <c r="C82" s="223"/>
      <c r="D82" s="223"/>
      <c r="E82" s="223"/>
      <c r="F82" s="223"/>
      <c r="G82" s="223"/>
      <c r="H82" s="223"/>
      <c r="I82" s="223"/>
      <c r="J82" s="223"/>
      <c r="K82" s="223"/>
      <c r="L82" s="223"/>
    </row>
    <row r="83" spans="1:12" x14ac:dyDescent="0.3">
      <c r="A83" s="223" t="s">
        <v>4628</v>
      </c>
      <c r="B83" s="223"/>
      <c r="C83" s="223"/>
      <c r="D83" s="223"/>
      <c r="E83" s="223"/>
      <c r="F83" s="223"/>
      <c r="G83" s="223"/>
      <c r="H83" s="223"/>
      <c r="I83" s="223"/>
      <c r="J83" s="223"/>
      <c r="K83" s="223"/>
      <c r="L83" s="223"/>
    </row>
    <row r="84" spans="1:12" x14ac:dyDescent="0.3">
      <c r="A84" s="223" t="s">
        <v>4629</v>
      </c>
      <c r="B84" s="223"/>
      <c r="C84" s="223"/>
      <c r="D84" s="223"/>
      <c r="E84" s="223"/>
      <c r="F84" s="223"/>
      <c r="G84" s="223"/>
      <c r="H84" s="223"/>
      <c r="I84" s="223"/>
      <c r="J84" s="223"/>
      <c r="K84" s="223"/>
      <c r="L84" s="223"/>
    </row>
    <row r="85" spans="1:12" x14ac:dyDescent="0.3">
      <c r="A85" s="223" t="s">
        <v>4630</v>
      </c>
      <c r="B85" s="223"/>
      <c r="C85" s="223"/>
      <c r="D85" s="223"/>
      <c r="E85" s="223"/>
      <c r="F85" s="223"/>
      <c r="G85" s="223"/>
      <c r="H85" s="223"/>
      <c r="I85" s="223"/>
      <c r="J85" s="223"/>
      <c r="K85" s="223"/>
      <c r="L85" s="223"/>
    </row>
    <row r="86" spans="1:12" x14ac:dyDescent="0.3">
      <c r="A86" s="223"/>
      <c r="B86" s="223"/>
      <c r="C86" s="223"/>
      <c r="D86" s="223"/>
      <c r="E86" s="223"/>
      <c r="F86" s="223"/>
      <c r="G86" s="223"/>
      <c r="H86" s="223"/>
      <c r="I86" s="223"/>
      <c r="J86" s="223"/>
      <c r="K86" s="223"/>
      <c r="L86" s="223"/>
    </row>
    <row r="87" spans="1:12" x14ac:dyDescent="0.3">
      <c r="A87" s="223" t="s">
        <v>4590</v>
      </c>
      <c r="B87" s="223"/>
      <c r="C87" s="223"/>
      <c r="D87" s="223"/>
      <c r="E87" s="223"/>
      <c r="F87" s="223"/>
      <c r="G87" s="223"/>
      <c r="H87" s="223"/>
      <c r="I87" s="223"/>
      <c r="J87" s="223"/>
      <c r="K87" s="223"/>
      <c r="L87" s="223"/>
    </row>
    <row r="88" spans="1:12" x14ac:dyDescent="0.3">
      <c r="A88" s="223" t="s">
        <v>4631</v>
      </c>
      <c r="B88" s="223"/>
      <c r="C88" s="223"/>
      <c r="D88" s="223"/>
      <c r="E88" s="223"/>
      <c r="F88" s="223"/>
      <c r="G88" s="223"/>
      <c r="H88" s="223"/>
      <c r="I88" s="223"/>
      <c r="J88" s="223"/>
      <c r="K88" s="223"/>
      <c r="L88" s="223"/>
    </row>
    <row r="89" spans="1:12" x14ac:dyDescent="0.3">
      <c r="A89" s="223" t="s">
        <v>4632</v>
      </c>
      <c r="B89" s="223"/>
      <c r="C89" s="223"/>
      <c r="D89" s="223"/>
      <c r="E89" s="223"/>
      <c r="F89" s="223"/>
      <c r="G89" s="223"/>
      <c r="H89" s="223"/>
      <c r="I89" s="223"/>
      <c r="J89" s="223"/>
      <c r="K89" s="223"/>
      <c r="L89" s="223"/>
    </row>
  </sheetData>
  <mergeCells count="2">
    <mergeCell ref="A34:L34"/>
    <mergeCell ref="A24:L2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86C1-E0DE-4648-9AEA-990359410FD0}">
  <sheetPr>
    <tabColor theme="7"/>
  </sheetPr>
  <dimension ref="A1:F240"/>
  <sheetViews>
    <sheetView workbookViewId="0">
      <selection sqref="A1:F1"/>
    </sheetView>
  </sheetViews>
  <sheetFormatPr defaultRowHeight="14.4" x14ac:dyDescent="0.3"/>
  <cols>
    <col min="1" max="1" width="53.21875" bestFit="1" customWidth="1"/>
    <col min="2" max="3" width="33.33203125" customWidth="1"/>
    <col min="4" max="4" width="27.77734375" customWidth="1"/>
    <col min="5" max="6" width="22.21875" customWidth="1"/>
  </cols>
  <sheetData>
    <row r="1" spans="1:6" ht="30" customHeight="1" x14ac:dyDescent="0.4">
      <c r="A1" s="404" t="s">
        <v>5293</v>
      </c>
      <c r="B1" s="339"/>
      <c r="C1" s="339"/>
      <c r="D1" s="339"/>
      <c r="E1" s="339"/>
      <c r="F1" s="339"/>
    </row>
    <row r="2" spans="1:6" x14ac:dyDescent="0.3">
      <c r="A2" s="405" t="s">
        <v>5294</v>
      </c>
      <c r="B2" s="405">
        <v>1</v>
      </c>
      <c r="C2" s="405" t="s">
        <v>5295</v>
      </c>
      <c r="D2" s="406">
        <v>46202</v>
      </c>
      <c r="E2" s="405" t="s">
        <v>4198</v>
      </c>
      <c r="F2" s="405" t="s">
        <v>2568</v>
      </c>
    </row>
    <row r="4" spans="1:6" x14ac:dyDescent="0.3">
      <c r="A4" s="61" t="s">
        <v>5296</v>
      </c>
    </row>
    <row r="5" spans="1:6" x14ac:dyDescent="0.3">
      <c r="A5" s="1">
        <v>1</v>
      </c>
      <c r="B5" t="s">
        <v>5297</v>
      </c>
      <c r="C5" t="s">
        <v>5298</v>
      </c>
    </row>
    <row r="6" spans="1:6" x14ac:dyDescent="0.3">
      <c r="A6" s="1">
        <v>2</v>
      </c>
      <c r="B6" t="s">
        <v>5299</v>
      </c>
      <c r="C6" t="s">
        <v>5300</v>
      </c>
    </row>
    <row r="7" spans="1:6" x14ac:dyDescent="0.3">
      <c r="A7" s="1">
        <v>3</v>
      </c>
      <c r="B7" t="s">
        <v>5301</v>
      </c>
      <c r="C7" t="s">
        <v>5302</v>
      </c>
    </row>
    <row r="8" spans="1:6" x14ac:dyDescent="0.3">
      <c r="A8" s="1">
        <v>4</v>
      </c>
      <c r="B8" t="s">
        <v>5303</v>
      </c>
      <c r="C8" t="s">
        <v>5304</v>
      </c>
    </row>
    <row r="9" spans="1:6" x14ac:dyDescent="0.3">
      <c r="A9" s="1">
        <v>5</v>
      </c>
      <c r="B9" t="s">
        <v>5305</v>
      </c>
      <c r="C9" t="s">
        <v>5306</v>
      </c>
    </row>
    <row r="10" spans="1:6" x14ac:dyDescent="0.3">
      <c r="A10" s="1">
        <v>6</v>
      </c>
      <c r="B10" t="s">
        <v>5307</v>
      </c>
      <c r="C10" t="s">
        <v>5308</v>
      </c>
    </row>
    <row r="11" spans="1:6" x14ac:dyDescent="0.3">
      <c r="A11" s="1">
        <v>7</v>
      </c>
      <c r="B11" t="s">
        <v>5309</v>
      </c>
      <c r="C11" t="s">
        <v>5310</v>
      </c>
    </row>
    <row r="12" spans="1:6" ht="18" x14ac:dyDescent="0.35">
      <c r="A12" s="337" t="s">
        <v>5311</v>
      </c>
    </row>
    <row r="14" spans="1:6" x14ac:dyDescent="0.3">
      <c r="A14" s="9" t="s">
        <v>5312</v>
      </c>
    </row>
    <row r="15" spans="1:6" x14ac:dyDescent="0.3">
      <c r="A15" s="330" t="s">
        <v>5313</v>
      </c>
      <c r="B15" s="330" t="s">
        <v>5314</v>
      </c>
      <c r="C15" s="330" t="s">
        <v>5315</v>
      </c>
    </row>
    <row r="16" spans="1:6" x14ac:dyDescent="0.3">
      <c r="A16" t="s">
        <v>5316</v>
      </c>
      <c r="B16" t="s">
        <v>5317</v>
      </c>
      <c r="C16" t="s">
        <v>5318</v>
      </c>
    </row>
    <row r="17" spans="1:3" x14ac:dyDescent="0.3">
      <c r="A17" t="s">
        <v>5054</v>
      </c>
      <c r="B17" s="407" t="s">
        <v>5319</v>
      </c>
      <c r="C17" t="s">
        <v>5320</v>
      </c>
    </row>
    <row r="18" spans="1:3" x14ac:dyDescent="0.3">
      <c r="A18" t="s">
        <v>5321</v>
      </c>
      <c r="B18" t="s">
        <v>5322</v>
      </c>
      <c r="C18" t="s">
        <v>5323</v>
      </c>
    </row>
    <row r="19" spans="1:3" x14ac:dyDescent="0.3">
      <c r="A19" t="s">
        <v>5324</v>
      </c>
      <c r="B19" t="s">
        <v>5325</v>
      </c>
      <c r="C19" t="s">
        <v>5326</v>
      </c>
    </row>
    <row r="20" spans="1:3" x14ac:dyDescent="0.3">
      <c r="A20" t="s">
        <v>5327</v>
      </c>
      <c r="B20" t="s">
        <v>5328</v>
      </c>
      <c r="C20" t="s">
        <v>5329</v>
      </c>
    </row>
    <row r="21" spans="1:3" x14ac:dyDescent="0.3">
      <c r="A21" t="s">
        <v>5330</v>
      </c>
      <c r="B21" t="s">
        <v>5331</v>
      </c>
      <c r="C21" t="s">
        <v>5332</v>
      </c>
    </row>
    <row r="22" spans="1:3" x14ac:dyDescent="0.3">
      <c r="A22" t="s">
        <v>5333</v>
      </c>
      <c r="B22" t="s">
        <v>5334</v>
      </c>
      <c r="C22" t="s">
        <v>5335</v>
      </c>
    </row>
    <row r="24" spans="1:3" x14ac:dyDescent="0.3">
      <c r="A24" s="9" t="s">
        <v>5336</v>
      </c>
    </row>
    <row r="25" spans="1:3" x14ac:dyDescent="0.3">
      <c r="A25" s="330" t="s">
        <v>5337</v>
      </c>
      <c r="B25" s="330" t="s">
        <v>5314</v>
      </c>
      <c r="C25" s="330" t="s">
        <v>114</v>
      </c>
    </row>
    <row r="26" spans="1:3" x14ac:dyDescent="0.3">
      <c r="A26" t="s">
        <v>5338</v>
      </c>
      <c r="B26" t="s">
        <v>5339</v>
      </c>
      <c r="C26" t="s">
        <v>5340</v>
      </c>
    </row>
    <row r="27" spans="1:3" x14ac:dyDescent="0.3">
      <c r="A27" t="s">
        <v>5341</v>
      </c>
      <c r="B27" t="s">
        <v>5342</v>
      </c>
      <c r="C27" t="s">
        <v>5343</v>
      </c>
    </row>
    <row r="28" spans="1:3" x14ac:dyDescent="0.3">
      <c r="A28" t="s">
        <v>5344</v>
      </c>
      <c r="B28" t="s">
        <v>5345</v>
      </c>
      <c r="C28" t="s">
        <v>5346</v>
      </c>
    </row>
    <row r="29" spans="1:3" x14ac:dyDescent="0.3">
      <c r="A29" t="s">
        <v>5347</v>
      </c>
      <c r="B29" t="s">
        <v>5348</v>
      </c>
      <c r="C29" t="s">
        <v>5349</v>
      </c>
    </row>
    <row r="30" spans="1:3" x14ac:dyDescent="0.3">
      <c r="A30" t="s">
        <v>5350</v>
      </c>
      <c r="B30" t="s">
        <v>5351</v>
      </c>
      <c r="C30" t="s">
        <v>5352</v>
      </c>
    </row>
    <row r="31" spans="1:3" x14ac:dyDescent="0.3">
      <c r="A31" t="s">
        <v>5353</v>
      </c>
      <c r="B31" t="s">
        <v>5354</v>
      </c>
      <c r="C31" t="s">
        <v>5355</v>
      </c>
    </row>
    <row r="32" spans="1:3" x14ac:dyDescent="0.3">
      <c r="A32" t="s">
        <v>5356</v>
      </c>
      <c r="B32" t="s">
        <v>5357</v>
      </c>
      <c r="C32" t="s">
        <v>5358</v>
      </c>
    </row>
    <row r="33" spans="1:5" x14ac:dyDescent="0.3">
      <c r="A33" t="s">
        <v>5359</v>
      </c>
      <c r="B33" t="s">
        <v>5360</v>
      </c>
      <c r="C33" t="s">
        <v>5361</v>
      </c>
    </row>
    <row r="35" spans="1:5" ht="18" x14ac:dyDescent="0.35">
      <c r="A35" s="337" t="s">
        <v>5362</v>
      </c>
    </row>
    <row r="37" spans="1:5" x14ac:dyDescent="0.3">
      <c r="A37" s="9" t="s">
        <v>5363</v>
      </c>
    </row>
    <row r="38" spans="1:5" x14ac:dyDescent="0.3">
      <c r="A38" s="330" t="s">
        <v>2269</v>
      </c>
      <c r="B38" s="330" t="s">
        <v>3637</v>
      </c>
      <c r="C38" s="330" t="s">
        <v>5364</v>
      </c>
      <c r="D38" s="330" t="s">
        <v>5365</v>
      </c>
      <c r="E38" s="330" t="s">
        <v>5366</v>
      </c>
    </row>
    <row r="49" spans="1:5" x14ac:dyDescent="0.3">
      <c r="A49" t="s">
        <v>5367</v>
      </c>
      <c r="B49" t="s">
        <v>5368</v>
      </c>
      <c r="C49" t="s">
        <v>2800</v>
      </c>
      <c r="D49" t="s">
        <v>5369</v>
      </c>
      <c r="E49" t="s">
        <v>5370</v>
      </c>
    </row>
    <row r="52" spans="1:5" ht="15.6" x14ac:dyDescent="0.3">
      <c r="A52" s="15" t="s">
        <v>5371</v>
      </c>
    </row>
    <row r="53" spans="1:5" x14ac:dyDescent="0.3">
      <c r="A53" s="408" t="s">
        <v>5337</v>
      </c>
      <c r="B53" s="408" t="s">
        <v>1800</v>
      </c>
    </row>
    <row r="54" spans="1:5" x14ac:dyDescent="0.3">
      <c r="A54" t="s">
        <v>5372</v>
      </c>
      <c r="B54" t="s">
        <v>5373</v>
      </c>
    </row>
    <row r="55" spans="1:5" x14ac:dyDescent="0.3">
      <c r="A55" t="s">
        <v>5374</v>
      </c>
      <c r="B55" t="s">
        <v>5375</v>
      </c>
    </row>
    <row r="56" spans="1:5" x14ac:dyDescent="0.3">
      <c r="A56" t="s">
        <v>5376</v>
      </c>
      <c r="B56" t="s">
        <v>5377</v>
      </c>
    </row>
    <row r="57" spans="1:5" x14ac:dyDescent="0.3">
      <c r="A57" t="s">
        <v>5378</v>
      </c>
      <c r="B57" t="s">
        <v>5379</v>
      </c>
    </row>
    <row r="58" spans="1:5" x14ac:dyDescent="0.3">
      <c r="A58" t="s">
        <v>5380</v>
      </c>
      <c r="B58" t="s">
        <v>5381</v>
      </c>
    </row>
    <row r="61" spans="1:5" ht="15.6" x14ac:dyDescent="0.3">
      <c r="A61" s="15" t="s">
        <v>5382</v>
      </c>
    </row>
    <row r="62" spans="1:5" x14ac:dyDescent="0.3">
      <c r="A62" s="408" t="s">
        <v>5337</v>
      </c>
      <c r="B62" s="408" t="s">
        <v>1800</v>
      </c>
    </row>
    <row r="63" spans="1:5" x14ac:dyDescent="0.3">
      <c r="A63" t="s">
        <v>5383</v>
      </c>
      <c r="B63" t="s">
        <v>5384</v>
      </c>
    </row>
    <row r="64" spans="1:5" x14ac:dyDescent="0.3">
      <c r="A64" t="s">
        <v>5385</v>
      </c>
      <c r="B64" t="s">
        <v>5386</v>
      </c>
    </row>
    <row r="65" spans="1:2" x14ac:dyDescent="0.3">
      <c r="A65" t="s">
        <v>5387</v>
      </c>
      <c r="B65" t="s">
        <v>5388</v>
      </c>
    </row>
    <row r="66" spans="1:2" x14ac:dyDescent="0.3">
      <c r="A66" t="s">
        <v>5389</v>
      </c>
      <c r="B66" t="s">
        <v>5390</v>
      </c>
    </row>
    <row r="67" spans="1:2" x14ac:dyDescent="0.3">
      <c r="A67" t="s">
        <v>5391</v>
      </c>
      <c r="B67" t="s">
        <v>5392</v>
      </c>
    </row>
    <row r="79" spans="1:2" ht="18" x14ac:dyDescent="0.35">
      <c r="A79" s="409" t="s">
        <v>5510</v>
      </c>
    </row>
    <row r="81" spans="1:5" x14ac:dyDescent="0.3">
      <c r="A81" s="1" t="s">
        <v>5511</v>
      </c>
    </row>
    <row r="82" spans="1:5" x14ac:dyDescent="0.3">
      <c r="A82" s="408" t="s">
        <v>5337</v>
      </c>
      <c r="B82" s="408" t="s">
        <v>1800</v>
      </c>
    </row>
    <row r="83" spans="1:5" x14ac:dyDescent="0.3">
      <c r="A83" t="s">
        <v>5338</v>
      </c>
      <c r="B83" t="s">
        <v>5512</v>
      </c>
    </row>
    <row r="84" spans="1:5" x14ac:dyDescent="0.3">
      <c r="A84" t="s">
        <v>5513</v>
      </c>
      <c r="B84" t="s">
        <v>5514</v>
      </c>
    </row>
    <row r="85" spans="1:5" x14ac:dyDescent="0.3">
      <c r="A85" t="s">
        <v>5515</v>
      </c>
      <c r="B85" t="s">
        <v>5516</v>
      </c>
    </row>
    <row r="86" spans="1:5" x14ac:dyDescent="0.3">
      <c r="A86" t="s">
        <v>5517</v>
      </c>
      <c r="B86" t="s">
        <v>5518</v>
      </c>
    </row>
    <row r="89" spans="1:5" x14ac:dyDescent="0.3">
      <c r="A89" s="1" t="s">
        <v>5519</v>
      </c>
    </row>
    <row r="90" spans="1:5" x14ac:dyDescent="0.3">
      <c r="A90" s="408" t="s">
        <v>5520</v>
      </c>
      <c r="B90" s="408" t="s">
        <v>383</v>
      </c>
      <c r="C90" s="408" t="s">
        <v>5521</v>
      </c>
      <c r="D90" s="408" t="s">
        <v>5522</v>
      </c>
      <c r="E90" s="408" t="s">
        <v>5523</v>
      </c>
    </row>
    <row r="91" spans="1:5" x14ac:dyDescent="0.3">
      <c r="A91" t="s">
        <v>1</v>
      </c>
      <c r="B91" t="s">
        <v>5524</v>
      </c>
      <c r="C91" t="s">
        <v>5525</v>
      </c>
      <c r="D91" t="s">
        <v>4096</v>
      </c>
      <c r="E91" t="s">
        <v>3219</v>
      </c>
    </row>
    <row r="92" spans="1:5" x14ac:dyDescent="0.3">
      <c r="A92" t="s">
        <v>2</v>
      </c>
      <c r="B92" t="s">
        <v>5524</v>
      </c>
      <c r="C92" t="s">
        <v>5526</v>
      </c>
      <c r="D92" t="s">
        <v>4096</v>
      </c>
      <c r="E92" t="s">
        <v>3219</v>
      </c>
    </row>
    <row r="93" spans="1:5" x14ac:dyDescent="0.3">
      <c r="A93" t="s">
        <v>112</v>
      </c>
      <c r="B93" t="s">
        <v>5524</v>
      </c>
      <c r="C93" t="s">
        <v>5527</v>
      </c>
      <c r="D93" t="s">
        <v>4096</v>
      </c>
      <c r="E93" t="s">
        <v>3219</v>
      </c>
    </row>
    <row r="94" spans="1:5" x14ac:dyDescent="0.3">
      <c r="A94" t="s">
        <v>5528</v>
      </c>
      <c r="B94" t="s">
        <v>5529</v>
      </c>
      <c r="C94" t="s">
        <v>5530</v>
      </c>
      <c r="D94" t="s">
        <v>4174</v>
      </c>
      <c r="E94" t="s">
        <v>2800</v>
      </c>
    </row>
    <row r="95" spans="1:5" x14ac:dyDescent="0.3">
      <c r="A95" t="s">
        <v>1811</v>
      </c>
      <c r="B95" t="s">
        <v>5531</v>
      </c>
      <c r="C95" t="s">
        <v>5532</v>
      </c>
      <c r="D95" t="s">
        <v>4096</v>
      </c>
      <c r="E95" t="s">
        <v>2800</v>
      </c>
    </row>
    <row r="96" spans="1:5" x14ac:dyDescent="0.3">
      <c r="A96" t="s">
        <v>107</v>
      </c>
      <c r="B96" t="s">
        <v>5524</v>
      </c>
      <c r="C96" t="s">
        <v>5533</v>
      </c>
      <c r="D96" t="s">
        <v>4096</v>
      </c>
      <c r="E96" t="s">
        <v>3219</v>
      </c>
    </row>
    <row r="99" spans="1:2" x14ac:dyDescent="0.3">
      <c r="A99" s="1" t="s">
        <v>5534</v>
      </c>
    </row>
    <row r="100" spans="1:2" x14ac:dyDescent="0.3">
      <c r="A100" s="408" t="s">
        <v>5535</v>
      </c>
      <c r="B100" s="408" t="s">
        <v>5314</v>
      </c>
    </row>
    <row r="101" spans="1:2" x14ac:dyDescent="0.3">
      <c r="A101" t="s">
        <v>5536</v>
      </c>
      <c r="B101" t="s">
        <v>5537</v>
      </c>
    </row>
    <row r="102" spans="1:2" x14ac:dyDescent="0.3">
      <c r="A102" t="s">
        <v>5538</v>
      </c>
      <c r="B102" t="s">
        <v>5539</v>
      </c>
    </row>
    <row r="103" spans="1:2" x14ac:dyDescent="0.3">
      <c r="A103" t="s">
        <v>5540</v>
      </c>
      <c r="B103" t="s">
        <v>5541</v>
      </c>
    </row>
    <row r="104" spans="1:2" x14ac:dyDescent="0.3">
      <c r="A104" t="s">
        <v>5542</v>
      </c>
      <c r="B104" t="s">
        <v>5543</v>
      </c>
    </row>
    <row r="105" spans="1:2" x14ac:dyDescent="0.3">
      <c r="A105" t="s">
        <v>5544</v>
      </c>
      <c r="B105" t="s">
        <v>5545</v>
      </c>
    </row>
    <row r="108" spans="1:2" x14ac:dyDescent="0.3">
      <c r="A108" s="1" t="s">
        <v>5546</v>
      </c>
    </row>
    <row r="109" spans="1:2" x14ac:dyDescent="0.3">
      <c r="A109" s="408" t="s">
        <v>2739</v>
      </c>
      <c r="B109" s="408" t="s">
        <v>5315</v>
      </c>
    </row>
    <row r="110" spans="1:2" x14ac:dyDescent="0.3">
      <c r="A110" t="s">
        <v>5547</v>
      </c>
      <c r="B110" t="s">
        <v>5548</v>
      </c>
    </row>
    <row r="111" spans="1:2" x14ac:dyDescent="0.3">
      <c r="A111" t="s">
        <v>5549</v>
      </c>
      <c r="B111" t="s">
        <v>5550</v>
      </c>
    </row>
    <row r="112" spans="1:2" x14ac:dyDescent="0.3">
      <c r="A112" t="s">
        <v>5551</v>
      </c>
      <c r="B112" t="s">
        <v>5552</v>
      </c>
    </row>
    <row r="113" spans="1:2" x14ac:dyDescent="0.3">
      <c r="A113" t="s">
        <v>5553</v>
      </c>
      <c r="B113" t="s">
        <v>5554</v>
      </c>
    </row>
    <row r="116" spans="1:2" ht="18" x14ac:dyDescent="0.35">
      <c r="A116" s="409" t="s">
        <v>5555</v>
      </c>
    </row>
    <row r="118" spans="1:2" x14ac:dyDescent="0.3">
      <c r="A118" s="1" t="s">
        <v>5556</v>
      </c>
    </row>
    <row r="119" spans="1:2" x14ac:dyDescent="0.3">
      <c r="A119" s="408" t="s">
        <v>5337</v>
      </c>
      <c r="B119" s="408" t="s">
        <v>1800</v>
      </c>
    </row>
    <row r="120" spans="1:2" x14ac:dyDescent="0.3">
      <c r="A120" t="s">
        <v>5557</v>
      </c>
      <c r="B120" t="s">
        <v>5558</v>
      </c>
    </row>
    <row r="121" spans="1:2" x14ac:dyDescent="0.3">
      <c r="A121" t="s">
        <v>5559</v>
      </c>
      <c r="B121" t="s">
        <v>5560</v>
      </c>
    </row>
    <row r="122" spans="1:2" x14ac:dyDescent="0.3">
      <c r="A122" t="s">
        <v>5561</v>
      </c>
      <c r="B122" t="s">
        <v>5562</v>
      </c>
    </row>
    <row r="123" spans="1:2" x14ac:dyDescent="0.3">
      <c r="A123" t="s">
        <v>5563</v>
      </c>
      <c r="B123" t="s">
        <v>5564</v>
      </c>
    </row>
    <row r="126" spans="1:2" x14ac:dyDescent="0.3">
      <c r="A126" s="1" t="s">
        <v>5565</v>
      </c>
    </row>
    <row r="127" spans="1:2" x14ac:dyDescent="0.3">
      <c r="A127" s="408" t="s">
        <v>5566</v>
      </c>
      <c r="B127" s="408" t="s">
        <v>5314</v>
      </c>
    </row>
    <row r="128" spans="1:2" x14ac:dyDescent="0.3">
      <c r="A128" t="s">
        <v>5567</v>
      </c>
      <c r="B128" t="s">
        <v>5568</v>
      </c>
    </row>
    <row r="129" spans="1:2" x14ac:dyDescent="0.3">
      <c r="A129" t="s">
        <v>5569</v>
      </c>
      <c r="B129" t="s">
        <v>5570</v>
      </c>
    </row>
    <row r="130" spans="1:2" x14ac:dyDescent="0.3">
      <c r="A130" t="s">
        <v>5571</v>
      </c>
      <c r="B130" t="s">
        <v>5572</v>
      </c>
    </row>
    <row r="131" spans="1:2" x14ac:dyDescent="0.3">
      <c r="A131" t="s">
        <v>5573</v>
      </c>
      <c r="B131" t="s">
        <v>5574</v>
      </c>
    </row>
    <row r="132" spans="1:2" x14ac:dyDescent="0.3">
      <c r="A132" t="s">
        <v>5575</v>
      </c>
      <c r="B132" t="s">
        <v>5576</v>
      </c>
    </row>
    <row r="133" spans="1:2" x14ac:dyDescent="0.3">
      <c r="A133" t="s">
        <v>5577</v>
      </c>
      <c r="B133" t="s">
        <v>5578</v>
      </c>
    </row>
    <row r="134" spans="1:2" x14ac:dyDescent="0.3">
      <c r="A134" t="s">
        <v>5579</v>
      </c>
      <c r="B134" t="s">
        <v>5580</v>
      </c>
    </row>
    <row r="137" spans="1:2" x14ac:dyDescent="0.3">
      <c r="A137" s="1" t="s">
        <v>5581</v>
      </c>
    </row>
    <row r="138" spans="1:2" x14ac:dyDescent="0.3">
      <c r="A138" s="408" t="s">
        <v>5406</v>
      </c>
      <c r="B138" s="408" t="s">
        <v>5582</v>
      </c>
    </row>
    <row r="139" spans="1:2" x14ac:dyDescent="0.3">
      <c r="A139" t="s">
        <v>5583</v>
      </c>
      <c r="B139" t="s">
        <v>5584</v>
      </c>
    </row>
    <row r="140" spans="1:2" x14ac:dyDescent="0.3">
      <c r="A140" t="s">
        <v>5585</v>
      </c>
      <c r="B140" t="s">
        <v>5586</v>
      </c>
    </row>
    <row r="141" spans="1:2" x14ac:dyDescent="0.3">
      <c r="A141" t="s">
        <v>5587</v>
      </c>
      <c r="B141" t="s">
        <v>5588</v>
      </c>
    </row>
    <row r="144" spans="1:2" ht="18" x14ac:dyDescent="0.35">
      <c r="A144" s="409" t="s">
        <v>5589</v>
      </c>
    </row>
    <row r="157" spans="1:2" ht="15.6" x14ac:dyDescent="0.3">
      <c r="A157" s="15" t="s">
        <v>5393</v>
      </c>
    </row>
    <row r="158" spans="1:2" x14ac:dyDescent="0.3">
      <c r="A158" s="408" t="s">
        <v>5394</v>
      </c>
      <c r="B158" s="408" t="s">
        <v>5395</v>
      </c>
    </row>
    <row r="159" spans="1:2" x14ac:dyDescent="0.3">
      <c r="A159" t="s">
        <v>5396</v>
      </c>
      <c r="B159" t="s">
        <v>5397</v>
      </c>
    </row>
    <row r="160" spans="1:2" x14ac:dyDescent="0.3">
      <c r="A160" t="s">
        <v>5398</v>
      </c>
      <c r="B160" t="s">
        <v>5399</v>
      </c>
    </row>
    <row r="161" spans="1:4" x14ac:dyDescent="0.3">
      <c r="A161" t="s">
        <v>5400</v>
      </c>
      <c r="B161" t="s">
        <v>5401</v>
      </c>
    </row>
    <row r="162" spans="1:4" x14ac:dyDescent="0.3">
      <c r="A162" t="s">
        <v>5402</v>
      </c>
      <c r="B162" t="s">
        <v>5403</v>
      </c>
    </row>
    <row r="165" spans="1:4" ht="18" x14ac:dyDescent="0.35">
      <c r="A165" s="409" t="s">
        <v>5404</v>
      </c>
    </row>
    <row r="167" spans="1:4" ht="15.6" x14ac:dyDescent="0.3">
      <c r="A167" s="15" t="s">
        <v>5405</v>
      </c>
    </row>
    <row r="168" spans="1:4" x14ac:dyDescent="0.3">
      <c r="A168" s="408" t="s">
        <v>5406</v>
      </c>
      <c r="B168" s="408" t="s">
        <v>5407</v>
      </c>
      <c r="C168" s="408" t="s">
        <v>5408</v>
      </c>
      <c r="D168" s="408" t="s">
        <v>5409</v>
      </c>
    </row>
    <row r="169" spans="1:4" x14ac:dyDescent="0.3">
      <c r="A169" t="s">
        <v>103</v>
      </c>
      <c r="B169" t="s">
        <v>5410</v>
      </c>
      <c r="C169" t="s">
        <v>5411</v>
      </c>
      <c r="D169" t="s">
        <v>5412</v>
      </c>
    </row>
    <row r="170" spans="1:4" x14ac:dyDescent="0.3">
      <c r="A170" t="s">
        <v>5413</v>
      </c>
      <c r="B170" t="s">
        <v>5414</v>
      </c>
      <c r="C170" t="s">
        <v>5415</v>
      </c>
      <c r="D170" t="s">
        <v>5416</v>
      </c>
    </row>
    <row r="171" spans="1:4" x14ac:dyDescent="0.3">
      <c r="A171" t="s">
        <v>5417</v>
      </c>
      <c r="B171" t="s">
        <v>5418</v>
      </c>
      <c r="C171" t="s">
        <v>5412</v>
      </c>
      <c r="D171" t="s">
        <v>5412</v>
      </c>
    </row>
    <row r="172" spans="1:4" x14ac:dyDescent="0.3">
      <c r="A172" t="s">
        <v>5419</v>
      </c>
      <c r="B172" t="s">
        <v>5420</v>
      </c>
      <c r="C172" t="s">
        <v>3320</v>
      </c>
      <c r="D172" t="s">
        <v>3320</v>
      </c>
    </row>
    <row r="173" spans="1:4" x14ac:dyDescent="0.3">
      <c r="A173" t="s">
        <v>5421</v>
      </c>
      <c r="B173" t="s">
        <v>5422</v>
      </c>
      <c r="C173" t="s">
        <v>5423</v>
      </c>
      <c r="D173" t="s">
        <v>5412</v>
      </c>
    </row>
    <row r="176" spans="1:4" ht="15.6" x14ac:dyDescent="0.3">
      <c r="A176" s="15" t="s">
        <v>5424</v>
      </c>
    </row>
    <row r="177" spans="1:2" x14ac:dyDescent="0.3">
      <c r="A177" s="408" t="s">
        <v>5406</v>
      </c>
      <c r="B177" s="408" t="s">
        <v>5425</v>
      </c>
    </row>
    <row r="178" spans="1:2" x14ac:dyDescent="0.3">
      <c r="A178" t="s">
        <v>5413</v>
      </c>
      <c r="B178" t="s">
        <v>5426</v>
      </c>
    </row>
    <row r="179" spans="1:2" x14ac:dyDescent="0.3">
      <c r="A179" t="s">
        <v>5427</v>
      </c>
      <c r="B179" t="s">
        <v>5428</v>
      </c>
    </row>
    <row r="180" spans="1:2" x14ac:dyDescent="0.3">
      <c r="A180" t="s">
        <v>5421</v>
      </c>
      <c r="B180" t="s">
        <v>5429</v>
      </c>
    </row>
    <row r="181" spans="1:2" x14ac:dyDescent="0.3">
      <c r="A181" t="s">
        <v>5430</v>
      </c>
      <c r="B181" t="s">
        <v>5431</v>
      </c>
    </row>
    <row r="182" spans="1:2" x14ac:dyDescent="0.3">
      <c r="A182" t="s">
        <v>5432</v>
      </c>
      <c r="B182" t="s">
        <v>5433</v>
      </c>
    </row>
    <row r="183" spans="1:2" x14ac:dyDescent="0.3">
      <c r="A183" t="s">
        <v>5434</v>
      </c>
      <c r="B183" t="s">
        <v>5435</v>
      </c>
    </row>
    <row r="186" spans="1:2" ht="15.6" x14ac:dyDescent="0.3">
      <c r="A186" s="15" t="s">
        <v>5436</v>
      </c>
    </row>
    <row r="187" spans="1:2" x14ac:dyDescent="0.3">
      <c r="A187" s="408" t="s">
        <v>5437</v>
      </c>
      <c r="B187" s="408" t="s">
        <v>2739</v>
      </c>
    </row>
    <row r="188" spans="1:2" x14ac:dyDescent="0.3">
      <c r="A188" t="s">
        <v>5438</v>
      </c>
      <c r="B188" t="s">
        <v>5439</v>
      </c>
    </row>
    <row r="189" spans="1:2" x14ac:dyDescent="0.3">
      <c r="A189" t="s">
        <v>5440</v>
      </c>
      <c r="B189" t="s">
        <v>5441</v>
      </c>
    </row>
    <row r="190" spans="1:2" x14ac:dyDescent="0.3">
      <c r="A190" t="s">
        <v>5442</v>
      </c>
      <c r="B190" t="s">
        <v>5443</v>
      </c>
    </row>
    <row r="191" spans="1:2" x14ac:dyDescent="0.3">
      <c r="A191" t="s">
        <v>5444</v>
      </c>
      <c r="B191" t="s">
        <v>5445</v>
      </c>
    </row>
    <row r="192" spans="1:2" x14ac:dyDescent="0.3">
      <c r="A192" t="s">
        <v>5446</v>
      </c>
      <c r="B192" t="s">
        <v>5447</v>
      </c>
    </row>
    <row r="193" spans="1:2" x14ac:dyDescent="0.3">
      <c r="A193" t="s">
        <v>5448</v>
      </c>
      <c r="B193" t="s">
        <v>5449</v>
      </c>
    </row>
    <row r="194" spans="1:2" x14ac:dyDescent="0.3">
      <c r="A194" t="s">
        <v>5450</v>
      </c>
      <c r="B194" t="s">
        <v>5451</v>
      </c>
    </row>
    <row r="197" spans="1:2" ht="15.6" x14ac:dyDescent="0.3">
      <c r="A197" s="15" t="s">
        <v>5452</v>
      </c>
    </row>
    <row r="198" spans="1:2" x14ac:dyDescent="0.3">
      <c r="A198" s="408" t="s">
        <v>3374</v>
      </c>
      <c r="B198" s="408" t="s">
        <v>5453</v>
      </c>
    </row>
    <row r="199" spans="1:2" x14ac:dyDescent="0.3">
      <c r="A199" t="s">
        <v>5454</v>
      </c>
      <c r="B199" t="s">
        <v>5455</v>
      </c>
    </row>
    <row r="200" spans="1:2" x14ac:dyDescent="0.3">
      <c r="A200" t="s">
        <v>5456</v>
      </c>
      <c r="B200" t="s">
        <v>5457</v>
      </c>
    </row>
    <row r="201" spans="1:2" x14ac:dyDescent="0.3">
      <c r="A201" t="s">
        <v>5303</v>
      </c>
      <c r="B201" t="s">
        <v>5458</v>
      </c>
    </row>
    <row r="202" spans="1:2" x14ac:dyDescent="0.3">
      <c r="A202" t="s">
        <v>5459</v>
      </c>
      <c r="B202" t="s">
        <v>5460</v>
      </c>
    </row>
    <row r="205" spans="1:2" ht="18" x14ac:dyDescent="0.35">
      <c r="A205" s="409" t="s">
        <v>5461</v>
      </c>
    </row>
    <row r="207" spans="1:2" ht="15.6" x14ac:dyDescent="0.3">
      <c r="A207" s="15" t="s">
        <v>5462</v>
      </c>
    </row>
    <row r="208" spans="1:2" x14ac:dyDescent="0.3">
      <c r="A208" s="408" t="s">
        <v>5463</v>
      </c>
      <c r="B208" s="408" t="s">
        <v>5464</v>
      </c>
    </row>
    <row r="209" spans="1:3" x14ac:dyDescent="0.3">
      <c r="A209" t="s">
        <v>5465</v>
      </c>
      <c r="B209" t="s">
        <v>5466</v>
      </c>
    </row>
    <row r="210" spans="1:3" x14ac:dyDescent="0.3">
      <c r="A210" t="s">
        <v>5467</v>
      </c>
      <c r="B210" t="s">
        <v>5468</v>
      </c>
    </row>
    <row r="211" spans="1:3" x14ac:dyDescent="0.3">
      <c r="A211" t="s">
        <v>5469</v>
      </c>
      <c r="B211" t="s">
        <v>5470</v>
      </c>
    </row>
    <row r="214" spans="1:3" ht="15.6" x14ac:dyDescent="0.3">
      <c r="A214" s="15" t="s">
        <v>5471</v>
      </c>
    </row>
    <row r="215" spans="1:3" x14ac:dyDescent="0.3">
      <c r="A215" s="408" t="s">
        <v>5472</v>
      </c>
      <c r="B215" s="408" t="s">
        <v>5473</v>
      </c>
      <c r="C215" s="408" t="s">
        <v>2739</v>
      </c>
    </row>
    <row r="216" spans="1:3" x14ac:dyDescent="0.3">
      <c r="A216" t="s">
        <v>5474</v>
      </c>
      <c r="B216" t="s">
        <v>5475</v>
      </c>
      <c r="C216" t="s">
        <v>5476</v>
      </c>
    </row>
    <row r="217" spans="1:3" x14ac:dyDescent="0.3">
      <c r="A217" t="s">
        <v>5477</v>
      </c>
      <c r="B217" t="s">
        <v>5478</v>
      </c>
      <c r="C217" t="s">
        <v>5479</v>
      </c>
    </row>
    <row r="218" spans="1:3" x14ac:dyDescent="0.3">
      <c r="A218" t="s">
        <v>5480</v>
      </c>
      <c r="B218" t="s">
        <v>5481</v>
      </c>
      <c r="C218" t="s">
        <v>5476</v>
      </c>
    </row>
    <row r="219" spans="1:3" x14ac:dyDescent="0.3">
      <c r="A219" t="s">
        <v>5482</v>
      </c>
      <c r="B219" t="s">
        <v>5483</v>
      </c>
      <c r="C219" t="s">
        <v>5484</v>
      </c>
    </row>
    <row r="222" spans="1:3" ht="15.6" x14ac:dyDescent="0.3">
      <c r="A222" s="15" t="s">
        <v>5485</v>
      </c>
    </row>
    <row r="223" spans="1:3" x14ac:dyDescent="0.3">
      <c r="A223" s="408" t="s">
        <v>5486</v>
      </c>
      <c r="B223" s="408" t="s">
        <v>5487</v>
      </c>
    </row>
    <row r="224" spans="1:3" x14ac:dyDescent="0.3">
      <c r="A224" t="s">
        <v>5488</v>
      </c>
      <c r="B224" t="s">
        <v>5489</v>
      </c>
    </row>
    <row r="225" spans="1:2" x14ac:dyDescent="0.3">
      <c r="A225" t="s">
        <v>5490</v>
      </c>
      <c r="B225" t="s">
        <v>5491</v>
      </c>
    </row>
    <row r="226" spans="1:2" x14ac:dyDescent="0.3">
      <c r="A226" t="s">
        <v>5492</v>
      </c>
      <c r="B226" t="s">
        <v>5493</v>
      </c>
    </row>
    <row r="227" spans="1:2" x14ac:dyDescent="0.3">
      <c r="A227" t="s">
        <v>5494</v>
      </c>
      <c r="B227" t="s">
        <v>5495</v>
      </c>
    </row>
    <row r="228" spans="1:2" x14ac:dyDescent="0.3">
      <c r="A228" t="s">
        <v>5496</v>
      </c>
      <c r="B228" t="s">
        <v>5497</v>
      </c>
    </row>
    <row r="229" spans="1:2" x14ac:dyDescent="0.3">
      <c r="A229" t="s">
        <v>5498</v>
      </c>
      <c r="B229" t="s">
        <v>5499</v>
      </c>
    </row>
    <row r="232" spans="1:2" ht="15.6" x14ac:dyDescent="0.3">
      <c r="A232" s="15" t="s">
        <v>5500</v>
      </c>
    </row>
    <row r="233" spans="1:2" x14ac:dyDescent="0.3">
      <c r="A233" s="408" t="s">
        <v>5501</v>
      </c>
      <c r="B233" s="408" t="s">
        <v>5315</v>
      </c>
    </row>
    <row r="234" spans="1:2" x14ac:dyDescent="0.3">
      <c r="A234" t="s">
        <v>5502</v>
      </c>
      <c r="B234" t="s">
        <v>5503</v>
      </c>
    </row>
    <row r="235" spans="1:2" x14ac:dyDescent="0.3">
      <c r="A235" t="s">
        <v>5504</v>
      </c>
      <c r="B235" t="s">
        <v>5505</v>
      </c>
    </row>
    <row r="236" spans="1:2" x14ac:dyDescent="0.3">
      <c r="A236" t="s">
        <v>5506</v>
      </c>
      <c r="B236" t="s">
        <v>5507</v>
      </c>
    </row>
    <row r="239" spans="1:2" x14ac:dyDescent="0.3">
      <c r="A239" s="221" t="s">
        <v>5508</v>
      </c>
    </row>
    <row r="240" spans="1:2" x14ac:dyDescent="0.3">
      <c r="A240" s="221" t="s">
        <v>5509</v>
      </c>
    </row>
  </sheetData>
  <mergeCells count="1">
    <mergeCell ref="A1:F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E853-EED1-4BF4-91D9-CA191ABE1E54}">
  <sheetPr>
    <tabColor theme="7"/>
  </sheetPr>
  <dimension ref="A1:D136"/>
  <sheetViews>
    <sheetView tabSelected="1" workbookViewId="0"/>
  </sheetViews>
  <sheetFormatPr defaultRowHeight="14.4" x14ac:dyDescent="0.3"/>
  <cols>
    <col min="1" max="1" width="33.33203125" customWidth="1"/>
    <col min="2" max="2" width="51.88671875" customWidth="1"/>
    <col min="3" max="4" width="37" customWidth="1"/>
  </cols>
  <sheetData>
    <row r="1" spans="1:4" ht="21" x14ac:dyDescent="0.4">
      <c r="A1" s="410" t="s">
        <v>5590</v>
      </c>
    </row>
    <row r="2" spans="1:4" x14ac:dyDescent="0.3">
      <c r="A2" s="58" t="s">
        <v>5591</v>
      </c>
      <c r="B2" s="58" t="s">
        <v>5592</v>
      </c>
      <c r="C2" s="58" t="s">
        <v>5593</v>
      </c>
      <c r="D2" s="58" t="s">
        <v>5594</v>
      </c>
    </row>
    <row r="4" spans="1:4" x14ac:dyDescent="0.3">
      <c r="A4" s="1" t="s">
        <v>5296</v>
      </c>
    </row>
    <row r="5" spans="1:4" x14ac:dyDescent="0.3">
      <c r="A5" t="s">
        <v>5595</v>
      </c>
      <c r="B5" t="s">
        <v>5596</v>
      </c>
    </row>
    <row r="6" spans="1:4" x14ac:dyDescent="0.3">
      <c r="A6" t="s">
        <v>5597</v>
      </c>
      <c r="B6" t="s">
        <v>5300</v>
      </c>
    </row>
    <row r="7" spans="1:4" x14ac:dyDescent="0.3">
      <c r="A7" t="s">
        <v>5598</v>
      </c>
      <c r="B7" t="s">
        <v>5599</v>
      </c>
    </row>
    <row r="8" spans="1:4" x14ac:dyDescent="0.3">
      <c r="A8" t="s">
        <v>5600</v>
      </c>
      <c r="B8" t="s">
        <v>5601</v>
      </c>
    </row>
    <row r="10" spans="1:4" ht="18" x14ac:dyDescent="0.35">
      <c r="A10" s="409" t="s">
        <v>5602</v>
      </c>
    </row>
    <row r="12" spans="1:4" x14ac:dyDescent="0.3">
      <c r="A12" s="1" t="s">
        <v>5603</v>
      </c>
    </row>
    <row r="13" spans="1:4" x14ac:dyDescent="0.3">
      <c r="A13" s="408" t="s">
        <v>5337</v>
      </c>
      <c r="B13" s="408" t="s">
        <v>1800</v>
      </c>
    </row>
    <row r="14" spans="1:4" x14ac:dyDescent="0.3">
      <c r="A14" t="s">
        <v>5338</v>
      </c>
      <c r="B14" t="s">
        <v>5604</v>
      </c>
    </row>
    <row r="15" spans="1:4" x14ac:dyDescent="0.3">
      <c r="A15" t="s">
        <v>5605</v>
      </c>
      <c r="B15" t="s">
        <v>5606</v>
      </c>
    </row>
    <row r="16" spans="1:4" x14ac:dyDescent="0.3">
      <c r="A16" t="s">
        <v>5513</v>
      </c>
      <c r="B16" t="s">
        <v>5607</v>
      </c>
    </row>
    <row r="17" spans="1:4" x14ac:dyDescent="0.3">
      <c r="A17" t="s">
        <v>5608</v>
      </c>
      <c r="B17" t="s">
        <v>5609</v>
      </c>
    </row>
    <row r="18" spans="1:4" x14ac:dyDescent="0.3">
      <c r="A18" t="s">
        <v>5610</v>
      </c>
      <c r="B18" t="s">
        <v>5611</v>
      </c>
    </row>
    <row r="19" spans="1:4" x14ac:dyDescent="0.3">
      <c r="A19" t="s">
        <v>5612</v>
      </c>
      <c r="B19" t="s">
        <v>5613</v>
      </c>
    </row>
    <row r="20" spans="1:4" x14ac:dyDescent="0.3">
      <c r="A20" t="s">
        <v>5614</v>
      </c>
      <c r="B20" t="s">
        <v>5615</v>
      </c>
    </row>
    <row r="21" spans="1:4" x14ac:dyDescent="0.3">
      <c r="A21" t="s">
        <v>5616</v>
      </c>
      <c r="B21" t="s">
        <v>5617</v>
      </c>
    </row>
    <row r="24" spans="1:4" x14ac:dyDescent="0.3">
      <c r="A24" s="1" t="s">
        <v>5618</v>
      </c>
    </row>
    <row r="25" spans="1:4" x14ac:dyDescent="0.3">
      <c r="A25" s="408" t="s">
        <v>5313</v>
      </c>
      <c r="B25" s="408" t="s">
        <v>5315</v>
      </c>
      <c r="C25" s="408" t="s">
        <v>5619</v>
      </c>
      <c r="D25" s="408" t="s">
        <v>5380</v>
      </c>
    </row>
    <row r="26" spans="1:4" x14ac:dyDescent="0.3">
      <c r="A26" t="s">
        <v>5620</v>
      </c>
      <c r="B26" t="s">
        <v>5621</v>
      </c>
      <c r="C26" t="s">
        <v>5622</v>
      </c>
      <c r="D26" t="s">
        <v>5623</v>
      </c>
    </row>
    <row r="27" spans="1:4" x14ac:dyDescent="0.3">
      <c r="A27" t="s">
        <v>5610</v>
      </c>
      <c r="B27" t="s">
        <v>5624</v>
      </c>
      <c r="C27" t="s">
        <v>3320</v>
      </c>
      <c r="D27" t="s">
        <v>3320</v>
      </c>
    </row>
    <row r="28" spans="1:4" x14ac:dyDescent="0.3">
      <c r="A28" t="s">
        <v>5612</v>
      </c>
      <c r="B28" t="s">
        <v>5625</v>
      </c>
      <c r="C28" t="s">
        <v>5626</v>
      </c>
      <c r="D28" t="s">
        <v>5627</v>
      </c>
    </row>
    <row r="29" spans="1:4" x14ac:dyDescent="0.3">
      <c r="A29" t="s">
        <v>5324</v>
      </c>
      <c r="B29" t="s">
        <v>5628</v>
      </c>
      <c r="C29" t="s">
        <v>5629</v>
      </c>
      <c r="D29" t="s">
        <v>5630</v>
      </c>
    </row>
    <row r="30" spans="1:4" x14ac:dyDescent="0.3">
      <c r="A30" t="s">
        <v>5631</v>
      </c>
      <c r="B30" t="s">
        <v>5632</v>
      </c>
      <c r="C30" t="s">
        <v>5633</v>
      </c>
      <c r="D30" t="s">
        <v>5634</v>
      </c>
    </row>
    <row r="31" spans="1:4" x14ac:dyDescent="0.3">
      <c r="A31" t="s">
        <v>1939</v>
      </c>
      <c r="B31" t="s">
        <v>5635</v>
      </c>
      <c r="C31" t="s">
        <v>5633</v>
      </c>
      <c r="D31" t="s">
        <v>5636</v>
      </c>
    </row>
    <row r="32" spans="1:4" x14ac:dyDescent="0.3">
      <c r="A32" t="s">
        <v>5637</v>
      </c>
      <c r="B32" t="s">
        <v>5638</v>
      </c>
      <c r="C32" t="s">
        <v>5639</v>
      </c>
      <c r="D32" t="s">
        <v>5640</v>
      </c>
    </row>
    <row r="35" spans="1:2" ht="18" x14ac:dyDescent="0.35">
      <c r="A35" s="409" t="s">
        <v>5641</v>
      </c>
    </row>
    <row r="37" spans="1:2" x14ac:dyDescent="0.3">
      <c r="A37" s="1" t="s">
        <v>5642</v>
      </c>
    </row>
    <row r="38" spans="1:2" x14ac:dyDescent="0.3">
      <c r="A38" s="408" t="s">
        <v>5337</v>
      </c>
      <c r="B38" s="408" t="s">
        <v>1800</v>
      </c>
    </row>
    <row r="39" spans="1:2" x14ac:dyDescent="0.3">
      <c r="A39" t="s">
        <v>5338</v>
      </c>
      <c r="B39" t="s">
        <v>5643</v>
      </c>
    </row>
    <row r="40" spans="1:2" x14ac:dyDescent="0.3">
      <c r="A40" t="s">
        <v>5341</v>
      </c>
      <c r="B40" t="s">
        <v>5644</v>
      </c>
    </row>
    <row r="41" spans="1:2" x14ac:dyDescent="0.3">
      <c r="A41" t="s">
        <v>5344</v>
      </c>
      <c r="B41" t="s">
        <v>5645</v>
      </c>
    </row>
    <row r="42" spans="1:2" x14ac:dyDescent="0.3">
      <c r="A42" t="s">
        <v>5513</v>
      </c>
      <c r="B42" t="s">
        <v>5646</v>
      </c>
    </row>
    <row r="43" spans="1:2" x14ac:dyDescent="0.3">
      <c r="A43" t="s">
        <v>5647</v>
      </c>
      <c r="B43" t="s">
        <v>5648</v>
      </c>
    </row>
    <row r="44" spans="1:2" x14ac:dyDescent="0.3">
      <c r="A44" t="s">
        <v>5649</v>
      </c>
      <c r="B44" t="s">
        <v>5650</v>
      </c>
    </row>
    <row r="45" spans="1:2" x14ac:dyDescent="0.3">
      <c r="A45" t="s">
        <v>5651</v>
      </c>
      <c r="B45" t="s">
        <v>5652</v>
      </c>
    </row>
    <row r="46" spans="1:2" x14ac:dyDescent="0.3">
      <c r="A46" t="s">
        <v>5425</v>
      </c>
      <c r="B46" t="s">
        <v>5653</v>
      </c>
    </row>
    <row r="49" spans="1:4" x14ac:dyDescent="0.3">
      <c r="A49" s="1" t="s">
        <v>5654</v>
      </c>
    </row>
    <row r="50" spans="1:4" x14ac:dyDescent="0.3">
      <c r="A50" s="408" t="s">
        <v>5655</v>
      </c>
      <c r="B50" s="408" t="s">
        <v>5656</v>
      </c>
      <c r="C50" s="408" t="s">
        <v>5657</v>
      </c>
      <c r="D50" s="408" t="s">
        <v>1919</v>
      </c>
    </row>
    <row r="51" spans="1:4" x14ac:dyDescent="0.3">
      <c r="A51" t="s">
        <v>5658</v>
      </c>
      <c r="B51" t="s">
        <v>5243</v>
      </c>
      <c r="C51" t="s">
        <v>5659</v>
      </c>
      <c r="D51" t="s">
        <v>5660</v>
      </c>
    </row>
    <row r="52" spans="1:4" x14ac:dyDescent="0.3">
      <c r="A52" t="s">
        <v>4800</v>
      </c>
      <c r="B52" t="s">
        <v>1921</v>
      </c>
      <c r="C52" t="s">
        <v>5661</v>
      </c>
      <c r="D52" t="s">
        <v>5662</v>
      </c>
    </row>
    <row r="53" spans="1:4" x14ac:dyDescent="0.3">
      <c r="A53" t="s">
        <v>4804</v>
      </c>
      <c r="B53" t="s">
        <v>2268</v>
      </c>
      <c r="C53" t="s">
        <v>5663</v>
      </c>
      <c r="D53" t="s">
        <v>5664</v>
      </c>
    </row>
    <row r="54" spans="1:4" x14ac:dyDescent="0.3">
      <c r="A54" t="s">
        <v>4808</v>
      </c>
      <c r="B54" t="s">
        <v>5665</v>
      </c>
      <c r="C54" t="s">
        <v>5666</v>
      </c>
      <c r="D54" t="s">
        <v>5667</v>
      </c>
    </row>
    <row r="55" spans="1:4" x14ac:dyDescent="0.3">
      <c r="A55" t="s">
        <v>4812</v>
      </c>
      <c r="B55" t="s">
        <v>2764</v>
      </c>
      <c r="C55" t="s">
        <v>5668</v>
      </c>
      <c r="D55" t="s">
        <v>5669</v>
      </c>
    </row>
    <row r="56" spans="1:4" x14ac:dyDescent="0.3">
      <c r="A56" t="s">
        <v>5670</v>
      </c>
      <c r="B56" t="s">
        <v>2402</v>
      </c>
      <c r="C56" t="s">
        <v>5671</v>
      </c>
      <c r="D56" t="s">
        <v>5672</v>
      </c>
    </row>
    <row r="57" spans="1:4" x14ac:dyDescent="0.3">
      <c r="A57" t="s">
        <v>4815</v>
      </c>
      <c r="B57" t="s">
        <v>2696</v>
      </c>
      <c r="C57" t="s">
        <v>5673</v>
      </c>
      <c r="D57" t="s">
        <v>5674</v>
      </c>
    </row>
    <row r="58" spans="1:4" x14ac:dyDescent="0.3">
      <c r="A58" t="s">
        <v>4819</v>
      </c>
      <c r="B58" t="s">
        <v>2697</v>
      </c>
      <c r="C58" t="s">
        <v>5675</v>
      </c>
      <c r="D58" t="s">
        <v>5676</v>
      </c>
    </row>
    <row r="59" spans="1:4" x14ac:dyDescent="0.3">
      <c r="A59" t="s">
        <v>4823</v>
      </c>
      <c r="B59" t="s">
        <v>2267</v>
      </c>
      <c r="C59" t="s">
        <v>5677</v>
      </c>
      <c r="D59" t="s">
        <v>5678</v>
      </c>
    </row>
    <row r="60" spans="1:4" x14ac:dyDescent="0.3">
      <c r="A60" t="s">
        <v>4847</v>
      </c>
      <c r="B60" t="s">
        <v>1926</v>
      </c>
      <c r="C60" t="s">
        <v>5679</v>
      </c>
      <c r="D60" t="s">
        <v>5680</v>
      </c>
    </row>
    <row r="61" spans="1:4" x14ac:dyDescent="0.3">
      <c r="A61" t="s">
        <v>4851</v>
      </c>
      <c r="B61" t="s">
        <v>1923</v>
      </c>
      <c r="C61" t="s">
        <v>5681</v>
      </c>
      <c r="D61" t="s">
        <v>5682</v>
      </c>
    </row>
    <row r="62" spans="1:4" x14ac:dyDescent="0.3">
      <c r="A62" t="s">
        <v>4796</v>
      </c>
      <c r="B62" t="s">
        <v>2339</v>
      </c>
      <c r="C62" t="s">
        <v>5683</v>
      </c>
      <c r="D62" t="s">
        <v>5684</v>
      </c>
    </row>
    <row r="63" spans="1:4" x14ac:dyDescent="0.3">
      <c r="A63" t="s">
        <v>4836</v>
      </c>
      <c r="B63" t="s">
        <v>4196</v>
      </c>
      <c r="C63" t="s">
        <v>5685</v>
      </c>
      <c r="D63" t="s">
        <v>5686</v>
      </c>
    </row>
    <row r="64" spans="1:4" x14ac:dyDescent="0.3">
      <c r="A64" t="s">
        <v>5687</v>
      </c>
      <c r="B64" t="s">
        <v>5688</v>
      </c>
      <c r="C64" t="s">
        <v>5689</v>
      </c>
      <c r="D64" t="s">
        <v>5690</v>
      </c>
    </row>
    <row r="65" spans="1:4" x14ac:dyDescent="0.3">
      <c r="A65" t="s">
        <v>4843</v>
      </c>
      <c r="B65" t="s">
        <v>3448</v>
      </c>
      <c r="C65" t="s">
        <v>5691</v>
      </c>
      <c r="D65" t="s">
        <v>5692</v>
      </c>
    </row>
    <row r="66" spans="1:4" x14ac:dyDescent="0.3">
      <c r="A66" t="s">
        <v>5693</v>
      </c>
      <c r="B66" t="s">
        <v>945</v>
      </c>
      <c r="C66" t="s">
        <v>5694</v>
      </c>
      <c r="D66" t="s">
        <v>5695</v>
      </c>
    </row>
    <row r="67" spans="1:4" x14ac:dyDescent="0.3">
      <c r="A67" t="s">
        <v>5696</v>
      </c>
      <c r="B67" t="s">
        <v>5697</v>
      </c>
      <c r="C67" t="s">
        <v>5698</v>
      </c>
      <c r="D67" t="s">
        <v>5699</v>
      </c>
    </row>
    <row r="70" spans="1:4" ht="18" x14ac:dyDescent="0.35">
      <c r="A70" s="409" t="s">
        <v>5700</v>
      </c>
    </row>
    <row r="72" spans="1:4" x14ac:dyDescent="0.3">
      <c r="A72" s="1" t="s">
        <v>5701</v>
      </c>
    </row>
    <row r="73" spans="1:4" x14ac:dyDescent="0.3">
      <c r="A73" s="408" t="s">
        <v>5406</v>
      </c>
      <c r="B73" s="408" t="s">
        <v>5314</v>
      </c>
    </row>
    <row r="74" spans="1:4" x14ac:dyDescent="0.3">
      <c r="A74" t="s">
        <v>5338</v>
      </c>
      <c r="B74" t="s">
        <v>5702</v>
      </c>
    </row>
    <row r="75" spans="1:4" x14ac:dyDescent="0.3">
      <c r="A75" t="s">
        <v>5515</v>
      </c>
      <c r="B75" t="s">
        <v>5703</v>
      </c>
    </row>
    <row r="76" spans="1:4" x14ac:dyDescent="0.3">
      <c r="A76" t="s">
        <v>5513</v>
      </c>
      <c r="B76" t="s">
        <v>5704</v>
      </c>
    </row>
    <row r="77" spans="1:4" x14ac:dyDescent="0.3">
      <c r="A77" t="s">
        <v>5705</v>
      </c>
      <c r="B77" t="s">
        <v>5706</v>
      </c>
    </row>
    <row r="78" spans="1:4" x14ac:dyDescent="0.3">
      <c r="A78" t="s">
        <v>5707</v>
      </c>
      <c r="B78" t="s">
        <v>5708</v>
      </c>
    </row>
    <row r="79" spans="1:4" x14ac:dyDescent="0.3">
      <c r="A79" t="s">
        <v>5709</v>
      </c>
      <c r="B79" t="s">
        <v>5710</v>
      </c>
    </row>
    <row r="80" spans="1:4" x14ac:dyDescent="0.3">
      <c r="A80" t="s">
        <v>5711</v>
      </c>
      <c r="B80" t="s">
        <v>5712</v>
      </c>
    </row>
    <row r="81" spans="1:3" x14ac:dyDescent="0.3">
      <c r="A81" t="s">
        <v>5713</v>
      </c>
      <c r="B81" t="s">
        <v>5714</v>
      </c>
    </row>
    <row r="84" spans="1:3" x14ac:dyDescent="0.3">
      <c r="A84" s="1" t="s">
        <v>5715</v>
      </c>
    </row>
    <row r="85" spans="1:3" x14ac:dyDescent="0.3">
      <c r="A85" s="408" t="s">
        <v>5716</v>
      </c>
      <c r="B85" s="408" t="s">
        <v>5605</v>
      </c>
      <c r="C85" s="408" t="s">
        <v>2266</v>
      </c>
    </row>
    <row r="86" spans="1:3" x14ac:dyDescent="0.3">
      <c r="A86" t="s">
        <v>5717</v>
      </c>
      <c r="B86" t="s">
        <v>5718</v>
      </c>
      <c r="C86" t="s">
        <v>5719</v>
      </c>
    </row>
    <row r="87" spans="1:3" x14ac:dyDescent="0.3">
      <c r="A87" t="s">
        <v>5711</v>
      </c>
      <c r="B87" t="s">
        <v>5720</v>
      </c>
      <c r="C87" t="s">
        <v>5721</v>
      </c>
    </row>
    <row r="88" spans="1:3" x14ac:dyDescent="0.3">
      <c r="A88" t="s">
        <v>5722</v>
      </c>
      <c r="B88" t="s">
        <v>5723</v>
      </c>
      <c r="C88" t="s">
        <v>5724</v>
      </c>
    </row>
    <row r="89" spans="1:3" x14ac:dyDescent="0.3">
      <c r="A89" t="s">
        <v>5303</v>
      </c>
      <c r="B89" t="s">
        <v>5725</v>
      </c>
      <c r="C89" t="s">
        <v>5726</v>
      </c>
    </row>
    <row r="90" spans="1:3" x14ac:dyDescent="0.3">
      <c r="A90" t="s">
        <v>5727</v>
      </c>
      <c r="B90" t="s">
        <v>5728</v>
      </c>
      <c r="C90" t="s">
        <v>5729</v>
      </c>
    </row>
    <row r="95" spans="1:3" ht="18" x14ac:dyDescent="0.35">
      <c r="A95" s="409" t="s">
        <v>5730</v>
      </c>
    </row>
    <row r="97" spans="1:3" x14ac:dyDescent="0.3">
      <c r="A97" s="1" t="s">
        <v>5731</v>
      </c>
    </row>
    <row r="98" spans="1:3" x14ac:dyDescent="0.3">
      <c r="A98" s="408" t="s">
        <v>5337</v>
      </c>
      <c r="B98" s="408" t="s">
        <v>1800</v>
      </c>
    </row>
    <row r="99" spans="1:3" x14ac:dyDescent="0.3">
      <c r="A99" t="s">
        <v>5732</v>
      </c>
      <c r="B99" t="s">
        <v>5733</v>
      </c>
    </row>
    <row r="100" spans="1:3" x14ac:dyDescent="0.3">
      <c r="A100" t="s">
        <v>5734</v>
      </c>
      <c r="B100" t="s">
        <v>5735</v>
      </c>
    </row>
    <row r="101" spans="1:3" x14ac:dyDescent="0.3">
      <c r="A101" t="s">
        <v>5407</v>
      </c>
      <c r="B101" t="s">
        <v>5736</v>
      </c>
    </row>
    <row r="102" spans="1:3" x14ac:dyDescent="0.3">
      <c r="A102" t="s">
        <v>5408</v>
      </c>
      <c r="B102" t="s">
        <v>5737</v>
      </c>
    </row>
    <row r="103" spans="1:3" x14ac:dyDescent="0.3">
      <c r="A103" t="s">
        <v>5380</v>
      </c>
      <c r="B103" t="s">
        <v>5738</v>
      </c>
    </row>
    <row r="104" spans="1:3" x14ac:dyDescent="0.3">
      <c r="A104" t="s">
        <v>5739</v>
      </c>
      <c r="B104" t="s">
        <v>5740</v>
      </c>
    </row>
    <row r="107" spans="1:3" x14ac:dyDescent="0.3">
      <c r="A107" s="1" t="s">
        <v>5741</v>
      </c>
    </row>
    <row r="108" spans="1:3" x14ac:dyDescent="0.3">
      <c r="A108" s="408" t="s">
        <v>112</v>
      </c>
      <c r="B108" s="408" t="s">
        <v>3191</v>
      </c>
      <c r="C108" s="408" t="s">
        <v>5742</v>
      </c>
    </row>
    <row r="109" spans="1:3" x14ac:dyDescent="0.3">
      <c r="A109" t="s">
        <v>874</v>
      </c>
      <c r="B109" t="s">
        <v>5743</v>
      </c>
      <c r="C109" t="s">
        <v>5744</v>
      </c>
    </row>
    <row r="110" spans="1:3" x14ac:dyDescent="0.3">
      <c r="A110" t="s">
        <v>2650</v>
      </c>
      <c r="B110" t="s">
        <v>5745</v>
      </c>
      <c r="C110" t="s">
        <v>5746</v>
      </c>
    </row>
    <row r="111" spans="1:3" x14ac:dyDescent="0.3">
      <c r="A111" t="s">
        <v>2578</v>
      </c>
      <c r="B111" t="s">
        <v>5747</v>
      </c>
      <c r="C111" t="s">
        <v>5748</v>
      </c>
    </row>
    <row r="112" spans="1:3" x14ac:dyDescent="0.3">
      <c r="A112" t="s">
        <v>2577</v>
      </c>
      <c r="B112" t="s">
        <v>5749</v>
      </c>
      <c r="C112" t="s">
        <v>5750</v>
      </c>
    </row>
    <row r="113" spans="1:3" x14ac:dyDescent="0.3">
      <c r="A113" t="s">
        <v>2568</v>
      </c>
      <c r="B113" t="s">
        <v>5751</v>
      </c>
      <c r="C113" t="s">
        <v>5752</v>
      </c>
    </row>
    <row r="114" spans="1:3" x14ac:dyDescent="0.3">
      <c r="A114" t="s">
        <v>3462</v>
      </c>
      <c r="B114" t="s">
        <v>5753</v>
      </c>
      <c r="C114" t="s">
        <v>5754</v>
      </c>
    </row>
    <row r="115" spans="1:3" x14ac:dyDescent="0.3">
      <c r="A115" t="s">
        <v>4019</v>
      </c>
      <c r="B115" t="s">
        <v>5755</v>
      </c>
      <c r="C115" t="s">
        <v>5756</v>
      </c>
    </row>
    <row r="116" spans="1:3" x14ac:dyDescent="0.3">
      <c r="A116" t="s">
        <v>4022</v>
      </c>
      <c r="B116" t="s">
        <v>5757</v>
      </c>
      <c r="C116" t="s">
        <v>5758</v>
      </c>
    </row>
    <row r="119" spans="1:3" x14ac:dyDescent="0.3">
      <c r="A119" s="1" t="s">
        <v>5759</v>
      </c>
    </row>
    <row r="120" spans="1:3" x14ac:dyDescent="0.3">
      <c r="A120" s="408" t="s">
        <v>107</v>
      </c>
      <c r="B120" s="408" t="s">
        <v>3191</v>
      </c>
      <c r="C120" s="408" t="s">
        <v>5655</v>
      </c>
    </row>
    <row r="121" spans="1:3" x14ac:dyDescent="0.3">
      <c r="A121" t="s">
        <v>129</v>
      </c>
      <c r="B121" t="s">
        <v>5749</v>
      </c>
      <c r="C121" t="s">
        <v>5760</v>
      </c>
    </row>
    <row r="122" spans="1:3" x14ac:dyDescent="0.3">
      <c r="A122" t="s">
        <v>142</v>
      </c>
      <c r="B122" t="s">
        <v>5753</v>
      </c>
      <c r="C122" t="s">
        <v>5761</v>
      </c>
    </row>
    <row r="123" spans="1:3" x14ac:dyDescent="0.3">
      <c r="A123" t="s">
        <v>134</v>
      </c>
      <c r="B123" t="s">
        <v>5745</v>
      </c>
      <c r="C123" t="s">
        <v>5762</v>
      </c>
    </row>
    <row r="124" spans="1:3" x14ac:dyDescent="0.3">
      <c r="A124" t="s">
        <v>119</v>
      </c>
      <c r="B124" t="s">
        <v>5743</v>
      </c>
      <c r="C124" t="s">
        <v>5763</v>
      </c>
    </row>
    <row r="127" spans="1:3" x14ac:dyDescent="0.3">
      <c r="A127" s="1" t="s">
        <v>5764</v>
      </c>
    </row>
    <row r="128" spans="1:3" x14ac:dyDescent="0.3">
      <c r="A128" s="408" t="s">
        <v>5765</v>
      </c>
      <c r="B128" s="408" t="s">
        <v>5766</v>
      </c>
      <c r="C128" s="408" t="s">
        <v>5767</v>
      </c>
    </row>
    <row r="129" spans="1:3" x14ac:dyDescent="0.3">
      <c r="A129" t="s">
        <v>5768</v>
      </c>
      <c r="B129" t="s">
        <v>5769</v>
      </c>
      <c r="C129" t="s">
        <v>5770</v>
      </c>
    </row>
    <row r="130" spans="1:3" x14ac:dyDescent="0.3">
      <c r="A130" t="s">
        <v>5637</v>
      </c>
      <c r="B130" t="s">
        <v>5771</v>
      </c>
      <c r="C130" t="s">
        <v>5772</v>
      </c>
    </row>
    <row r="131" spans="1:3" x14ac:dyDescent="0.3">
      <c r="A131" t="s">
        <v>5773</v>
      </c>
      <c r="B131" t="s">
        <v>5774</v>
      </c>
      <c r="C131" t="s">
        <v>5775</v>
      </c>
    </row>
    <row r="132" spans="1:3" x14ac:dyDescent="0.3">
      <c r="A132" t="s">
        <v>5776</v>
      </c>
      <c r="B132" t="s">
        <v>5777</v>
      </c>
      <c r="C132" t="s">
        <v>5778</v>
      </c>
    </row>
    <row r="133" spans="1:3" x14ac:dyDescent="0.3">
      <c r="A133" t="s">
        <v>5779</v>
      </c>
      <c r="B133" t="s">
        <v>5780</v>
      </c>
      <c r="C133" t="s">
        <v>5781</v>
      </c>
    </row>
    <row r="136" spans="1:3" x14ac:dyDescent="0.3">
      <c r="A136" s="221" t="s">
        <v>5782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82B6-AB8B-4735-BCC5-9C8BC7E9C95D}">
  <sheetPr>
    <tabColor theme="7"/>
  </sheetPr>
  <dimension ref="A1:D144"/>
  <sheetViews>
    <sheetView workbookViewId="0"/>
  </sheetViews>
  <sheetFormatPr defaultRowHeight="14.4" x14ac:dyDescent="0.3"/>
  <cols>
    <col min="1" max="1" width="33.33203125" customWidth="1"/>
    <col min="2" max="2" width="51.88671875" customWidth="1"/>
    <col min="3" max="3" width="46.33203125" customWidth="1"/>
    <col min="4" max="4" width="37" customWidth="1"/>
  </cols>
  <sheetData>
    <row r="1" spans="1:4" ht="21" x14ac:dyDescent="0.4">
      <c r="A1" s="410" t="s">
        <v>5783</v>
      </c>
    </row>
    <row r="2" spans="1:4" x14ac:dyDescent="0.3">
      <c r="A2" t="s">
        <v>5591</v>
      </c>
      <c r="B2" t="s">
        <v>5592</v>
      </c>
      <c r="C2" t="s">
        <v>5593</v>
      </c>
      <c r="D2" t="s">
        <v>5784</v>
      </c>
    </row>
    <row r="4" spans="1:4" x14ac:dyDescent="0.3">
      <c r="A4" s="1" t="s">
        <v>5296</v>
      </c>
    </row>
    <row r="5" spans="1:4" x14ac:dyDescent="0.3">
      <c r="A5" t="s">
        <v>5785</v>
      </c>
      <c r="B5" t="s">
        <v>5786</v>
      </c>
    </row>
    <row r="6" spans="1:4" x14ac:dyDescent="0.3">
      <c r="A6" t="s">
        <v>5787</v>
      </c>
      <c r="B6" t="s">
        <v>5788</v>
      </c>
    </row>
    <row r="7" spans="1:4" x14ac:dyDescent="0.3">
      <c r="A7" t="s">
        <v>5789</v>
      </c>
      <c r="B7" t="s">
        <v>5790</v>
      </c>
    </row>
    <row r="8" spans="1:4" x14ac:dyDescent="0.3">
      <c r="A8" t="s">
        <v>5791</v>
      </c>
      <c r="B8" t="s">
        <v>5792</v>
      </c>
    </row>
    <row r="9" spans="1:4" x14ac:dyDescent="0.3">
      <c r="A9" t="s">
        <v>5793</v>
      </c>
      <c r="B9" t="s">
        <v>5304</v>
      </c>
    </row>
    <row r="11" spans="1:4" ht="18" x14ac:dyDescent="0.35">
      <c r="A11" s="409" t="s">
        <v>5794</v>
      </c>
    </row>
    <row r="13" spans="1:4" x14ac:dyDescent="0.3">
      <c r="A13" s="1" t="s">
        <v>5795</v>
      </c>
    </row>
    <row r="14" spans="1:4" x14ac:dyDescent="0.3">
      <c r="A14" s="408" t="s">
        <v>5796</v>
      </c>
      <c r="B14" s="408" t="s">
        <v>1919</v>
      </c>
      <c r="C14" s="408" t="s">
        <v>5522</v>
      </c>
      <c r="D14" s="408" t="s">
        <v>5797</v>
      </c>
    </row>
    <row r="15" spans="1:4" x14ac:dyDescent="0.3">
      <c r="A15" t="s">
        <v>5798</v>
      </c>
      <c r="B15" t="s">
        <v>5799</v>
      </c>
      <c r="C15" t="s">
        <v>3219</v>
      </c>
      <c r="D15" t="s">
        <v>5800</v>
      </c>
    </row>
    <row r="16" spans="1:4" x14ac:dyDescent="0.3">
      <c r="A16" t="s">
        <v>5801</v>
      </c>
      <c r="B16" t="s">
        <v>5802</v>
      </c>
      <c r="C16" t="s">
        <v>2800</v>
      </c>
      <c r="D16" t="s">
        <v>5803</v>
      </c>
    </row>
    <row r="17" spans="1:4" x14ac:dyDescent="0.3">
      <c r="A17" t="s">
        <v>5804</v>
      </c>
      <c r="B17" t="s">
        <v>5805</v>
      </c>
      <c r="C17" t="s">
        <v>2800</v>
      </c>
      <c r="D17" t="s">
        <v>5806</v>
      </c>
    </row>
    <row r="18" spans="1:4" x14ac:dyDescent="0.3">
      <c r="A18" t="s">
        <v>5807</v>
      </c>
      <c r="B18" t="s">
        <v>5808</v>
      </c>
      <c r="C18" t="s">
        <v>2800</v>
      </c>
      <c r="D18" t="s">
        <v>5809</v>
      </c>
    </row>
    <row r="19" spans="1:4" x14ac:dyDescent="0.3">
      <c r="A19" t="s">
        <v>5810</v>
      </c>
      <c r="B19" t="s">
        <v>5811</v>
      </c>
      <c r="C19" t="s">
        <v>2800</v>
      </c>
      <c r="D19" t="s">
        <v>5812</v>
      </c>
    </row>
    <row r="22" spans="1:4" x14ac:dyDescent="0.3">
      <c r="A22" s="1" t="s">
        <v>5813</v>
      </c>
    </row>
    <row r="23" spans="1:4" x14ac:dyDescent="0.3">
      <c r="A23" s="408" t="s">
        <v>5337</v>
      </c>
      <c r="B23" s="408" t="s">
        <v>1800</v>
      </c>
    </row>
    <row r="24" spans="1:4" x14ac:dyDescent="0.3">
      <c r="A24" t="s">
        <v>5814</v>
      </c>
      <c r="B24" t="s">
        <v>5815</v>
      </c>
    </row>
    <row r="25" spans="1:4" x14ac:dyDescent="0.3">
      <c r="A25" t="s">
        <v>5816</v>
      </c>
      <c r="B25" t="s">
        <v>5817</v>
      </c>
    </row>
    <row r="26" spans="1:4" x14ac:dyDescent="0.3">
      <c r="A26" t="s">
        <v>5818</v>
      </c>
      <c r="B26" t="s">
        <v>5819</v>
      </c>
    </row>
    <row r="27" spans="1:4" x14ac:dyDescent="0.3">
      <c r="A27" t="s">
        <v>5820</v>
      </c>
      <c r="B27" t="s">
        <v>5821</v>
      </c>
    </row>
    <row r="28" spans="1:4" x14ac:dyDescent="0.3">
      <c r="A28" t="s">
        <v>5822</v>
      </c>
      <c r="B28" t="s">
        <v>5823</v>
      </c>
    </row>
    <row r="29" spans="1:4" x14ac:dyDescent="0.3">
      <c r="A29" t="s">
        <v>5824</v>
      </c>
      <c r="B29" t="s">
        <v>5825</v>
      </c>
    </row>
    <row r="30" spans="1:4" x14ac:dyDescent="0.3">
      <c r="A30" t="s">
        <v>5826</v>
      </c>
      <c r="B30" t="s">
        <v>5827</v>
      </c>
    </row>
    <row r="31" spans="1:4" x14ac:dyDescent="0.3">
      <c r="A31" t="s">
        <v>5828</v>
      </c>
      <c r="B31" t="s">
        <v>5829</v>
      </c>
    </row>
    <row r="32" spans="1:4" x14ac:dyDescent="0.3">
      <c r="A32" t="s">
        <v>5830</v>
      </c>
      <c r="B32" t="s">
        <v>5831</v>
      </c>
    </row>
    <row r="33" spans="1:3" x14ac:dyDescent="0.3">
      <c r="A33" t="s">
        <v>5832</v>
      </c>
      <c r="B33" t="s">
        <v>5833</v>
      </c>
    </row>
    <row r="34" spans="1:3" x14ac:dyDescent="0.3">
      <c r="A34" t="s">
        <v>5834</v>
      </c>
      <c r="B34" t="s">
        <v>5835</v>
      </c>
    </row>
    <row r="35" spans="1:3" x14ac:dyDescent="0.3">
      <c r="A35" t="s">
        <v>5836</v>
      </c>
      <c r="B35" t="s">
        <v>5837</v>
      </c>
    </row>
    <row r="40" spans="1:3" ht="18" x14ac:dyDescent="0.35">
      <c r="A40" s="409" t="s">
        <v>5838</v>
      </c>
    </row>
    <row r="42" spans="1:3" x14ac:dyDescent="0.3">
      <c r="A42" s="1" t="s">
        <v>5839</v>
      </c>
    </row>
    <row r="43" spans="1:3" x14ac:dyDescent="0.3">
      <c r="A43" s="408" t="s">
        <v>2061</v>
      </c>
      <c r="B43" s="408" t="s">
        <v>3191</v>
      </c>
      <c r="C43" s="408" t="s">
        <v>1919</v>
      </c>
    </row>
    <row r="44" spans="1:3" x14ac:dyDescent="0.3">
      <c r="A44" t="s">
        <v>5840</v>
      </c>
      <c r="B44" t="s">
        <v>5841</v>
      </c>
      <c r="C44" t="s">
        <v>5842</v>
      </c>
    </row>
    <row r="45" spans="1:3" x14ac:dyDescent="0.3">
      <c r="A45" t="s">
        <v>5843</v>
      </c>
      <c r="B45" t="s">
        <v>5844</v>
      </c>
      <c r="C45" t="s">
        <v>5845</v>
      </c>
    </row>
    <row r="46" spans="1:3" x14ac:dyDescent="0.3">
      <c r="A46" t="s">
        <v>5846</v>
      </c>
      <c r="B46" t="s">
        <v>5847</v>
      </c>
      <c r="C46" t="s">
        <v>5848</v>
      </c>
    </row>
    <row r="47" spans="1:3" x14ac:dyDescent="0.3">
      <c r="A47" t="s">
        <v>5849</v>
      </c>
      <c r="B47" t="s">
        <v>5850</v>
      </c>
      <c r="C47" t="s">
        <v>5851</v>
      </c>
    </row>
    <row r="48" spans="1:3" x14ac:dyDescent="0.3">
      <c r="A48" t="s">
        <v>1930</v>
      </c>
      <c r="B48" t="s">
        <v>5852</v>
      </c>
      <c r="C48" t="s">
        <v>2167</v>
      </c>
    </row>
    <row r="49" spans="1:3" x14ac:dyDescent="0.3">
      <c r="A49" t="s">
        <v>5853</v>
      </c>
      <c r="B49" t="s">
        <v>5854</v>
      </c>
      <c r="C49" t="s">
        <v>5855</v>
      </c>
    </row>
    <row r="50" spans="1:3" x14ac:dyDescent="0.3">
      <c r="A50" t="s">
        <v>5856</v>
      </c>
      <c r="B50" t="s">
        <v>5857</v>
      </c>
      <c r="C50" t="s">
        <v>5858</v>
      </c>
    </row>
    <row r="51" spans="1:3" x14ac:dyDescent="0.3">
      <c r="A51" t="s">
        <v>5859</v>
      </c>
      <c r="B51" t="s">
        <v>5860</v>
      </c>
      <c r="C51" t="s">
        <v>5861</v>
      </c>
    </row>
    <row r="52" spans="1:3" x14ac:dyDescent="0.3">
      <c r="A52" t="s">
        <v>5862</v>
      </c>
      <c r="B52" t="s">
        <v>5863</v>
      </c>
      <c r="C52" t="s">
        <v>5864</v>
      </c>
    </row>
    <row r="55" spans="1:3" x14ac:dyDescent="0.3">
      <c r="A55" s="1" t="s">
        <v>5865</v>
      </c>
    </row>
    <row r="56" spans="1:3" x14ac:dyDescent="0.3">
      <c r="A56" s="408" t="s">
        <v>5337</v>
      </c>
      <c r="B56" s="408" t="s">
        <v>1800</v>
      </c>
    </row>
    <row r="57" spans="1:3" x14ac:dyDescent="0.3">
      <c r="A57" t="s">
        <v>5866</v>
      </c>
      <c r="B57" t="s">
        <v>5867</v>
      </c>
    </row>
    <row r="58" spans="1:3" x14ac:dyDescent="0.3">
      <c r="A58" t="s">
        <v>5868</v>
      </c>
      <c r="B58" t="s">
        <v>5869</v>
      </c>
    </row>
    <row r="59" spans="1:3" x14ac:dyDescent="0.3">
      <c r="A59" t="s">
        <v>5870</v>
      </c>
      <c r="B59" t="s">
        <v>5871</v>
      </c>
    </row>
    <row r="60" spans="1:3" x14ac:dyDescent="0.3">
      <c r="A60" t="s">
        <v>5872</v>
      </c>
      <c r="B60" t="s">
        <v>5873</v>
      </c>
    </row>
    <row r="61" spans="1:3" x14ac:dyDescent="0.3">
      <c r="A61" t="s">
        <v>5874</v>
      </c>
      <c r="B61" t="s">
        <v>5875</v>
      </c>
    </row>
    <row r="62" spans="1:3" x14ac:dyDescent="0.3">
      <c r="A62" t="s">
        <v>5425</v>
      </c>
      <c r="B62" t="s">
        <v>5876</v>
      </c>
    </row>
    <row r="63" spans="1:3" x14ac:dyDescent="0.3">
      <c r="A63" t="s">
        <v>5619</v>
      </c>
      <c r="B63" t="s">
        <v>5877</v>
      </c>
    </row>
    <row r="65" spans="1:3" ht="18" x14ac:dyDescent="0.35">
      <c r="A65" s="409" t="s">
        <v>5878</v>
      </c>
    </row>
    <row r="67" spans="1:3" x14ac:dyDescent="0.3">
      <c r="A67" s="1" t="s">
        <v>5879</v>
      </c>
    </row>
    <row r="68" spans="1:3" x14ac:dyDescent="0.3">
      <c r="A68" s="408" t="s">
        <v>5880</v>
      </c>
      <c r="B68" s="408" t="s">
        <v>383</v>
      </c>
      <c r="C68" s="408" t="s">
        <v>5521</v>
      </c>
    </row>
    <row r="69" spans="1:3" x14ac:dyDescent="0.3">
      <c r="A69" t="s">
        <v>2061</v>
      </c>
      <c r="B69" t="s">
        <v>5881</v>
      </c>
      <c r="C69" t="s">
        <v>5882</v>
      </c>
    </row>
    <row r="70" spans="1:3" x14ac:dyDescent="0.3">
      <c r="A70" t="s">
        <v>1</v>
      </c>
      <c r="B70" t="s">
        <v>5883</v>
      </c>
      <c r="C70" t="s">
        <v>5884</v>
      </c>
    </row>
    <row r="71" spans="1:3" x14ac:dyDescent="0.3">
      <c r="A71" t="s">
        <v>2</v>
      </c>
      <c r="B71" t="s">
        <v>5883</v>
      </c>
      <c r="C71" t="s">
        <v>5885</v>
      </c>
    </row>
    <row r="72" spans="1:3" x14ac:dyDescent="0.3">
      <c r="A72" t="s">
        <v>107</v>
      </c>
      <c r="B72" t="s">
        <v>5886</v>
      </c>
      <c r="C72" t="s">
        <v>5887</v>
      </c>
    </row>
    <row r="73" spans="1:3" x14ac:dyDescent="0.3">
      <c r="A73" t="s">
        <v>112</v>
      </c>
      <c r="B73" t="s">
        <v>5886</v>
      </c>
      <c r="C73" t="s">
        <v>5888</v>
      </c>
    </row>
    <row r="74" spans="1:3" x14ac:dyDescent="0.3">
      <c r="A74" t="s">
        <v>5529</v>
      </c>
      <c r="B74" t="s">
        <v>5889</v>
      </c>
      <c r="C74" t="s">
        <v>5890</v>
      </c>
    </row>
    <row r="75" spans="1:3" x14ac:dyDescent="0.3">
      <c r="A75" t="s">
        <v>5891</v>
      </c>
      <c r="B75" t="s">
        <v>5892</v>
      </c>
      <c r="C75" t="s">
        <v>5893</v>
      </c>
    </row>
    <row r="76" spans="1:3" x14ac:dyDescent="0.3">
      <c r="A76" t="s">
        <v>5894</v>
      </c>
      <c r="B76" t="s">
        <v>5895</v>
      </c>
      <c r="C76" t="s">
        <v>5896</v>
      </c>
    </row>
    <row r="79" spans="1:3" x14ac:dyDescent="0.3">
      <c r="A79" s="1" t="s">
        <v>5897</v>
      </c>
    </row>
    <row r="80" spans="1:3" x14ac:dyDescent="0.3">
      <c r="A80" s="408" t="s">
        <v>5566</v>
      </c>
      <c r="B80" s="408" t="s">
        <v>5315</v>
      </c>
    </row>
    <row r="81" spans="1:3" x14ac:dyDescent="0.3">
      <c r="A81" t="s">
        <v>5898</v>
      </c>
      <c r="B81" t="s">
        <v>5899</v>
      </c>
    </row>
    <row r="82" spans="1:3" x14ac:dyDescent="0.3">
      <c r="A82" t="s">
        <v>5900</v>
      </c>
      <c r="B82" t="s">
        <v>5901</v>
      </c>
    </row>
    <row r="83" spans="1:3" x14ac:dyDescent="0.3">
      <c r="A83" t="s">
        <v>5902</v>
      </c>
      <c r="B83" t="s">
        <v>5903</v>
      </c>
    </row>
    <row r="84" spans="1:3" x14ac:dyDescent="0.3">
      <c r="A84" t="s">
        <v>5904</v>
      </c>
      <c r="B84" t="s">
        <v>5905</v>
      </c>
    </row>
    <row r="85" spans="1:3" x14ac:dyDescent="0.3">
      <c r="A85" t="s">
        <v>5906</v>
      </c>
      <c r="B85" t="s">
        <v>5907</v>
      </c>
    </row>
    <row r="86" spans="1:3" x14ac:dyDescent="0.3">
      <c r="A86" t="s">
        <v>5908</v>
      </c>
      <c r="B86" t="s">
        <v>5909</v>
      </c>
    </row>
    <row r="87" spans="1:3" x14ac:dyDescent="0.3">
      <c r="A87" t="s">
        <v>5910</v>
      </c>
      <c r="B87" t="s">
        <v>5911</v>
      </c>
    </row>
    <row r="90" spans="1:3" ht="18" x14ac:dyDescent="0.35">
      <c r="A90" s="409" t="s">
        <v>5912</v>
      </c>
    </row>
    <row r="92" spans="1:3" x14ac:dyDescent="0.3">
      <c r="A92" s="1" t="s">
        <v>5913</v>
      </c>
    </row>
    <row r="93" spans="1:3" x14ac:dyDescent="0.3">
      <c r="A93" s="408" t="s">
        <v>2739</v>
      </c>
      <c r="B93" s="408" t="s">
        <v>3374</v>
      </c>
      <c r="C93" s="408" t="s">
        <v>5914</v>
      </c>
    </row>
    <row r="94" spans="1:3" x14ac:dyDescent="0.3">
      <c r="A94" t="s">
        <v>5915</v>
      </c>
      <c r="B94" t="s">
        <v>5916</v>
      </c>
      <c r="C94" t="s">
        <v>5917</v>
      </c>
    </row>
    <row r="95" spans="1:3" x14ac:dyDescent="0.3">
      <c r="A95" t="s">
        <v>5918</v>
      </c>
      <c r="B95" t="s">
        <v>5919</v>
      </c>
      <c r="C95" t="s">
        <v>5920</v>
      </c>
    </row>
    <row r="96" spans="1:3" x14ac:dyDescent="0.3">
      <c r="A96" t="s">
        <v>5921</v>
      </c>
      <c r="B96" t="s">
        <v>5922</v>
      </c>
      <c r="C96" t="s">
        <v>5923</v>
      </c>
    </row>
    <row r="97" spans="1:3" x14ac:dyDescent="0.3">
      <c r="A97" t="s">
        <v>5924</v>
      </c>
      <c r="B97" t="s">
        <v>5925</v>
      </c>
      <c r="C97" t="s">
        <v>5926</v>
      </c>
    </row>
    <row r="98" spans="1:3" x14ac:dyDescent="0.3">
      <c r="A98" t="s">
        <v>5927</v>
      </c>
      <c r="B98" t="s">
        <v>5928</v>
      </c>
      <c r="C98" t="s">
        <v>5929</v>
      </c>
    </row>
    <row r="99" spans="1:3" x14ac:dyDescent="0.3">
      <c r="A99" t="s">
        <v>5930</v>
      </c>
      <c r="B99" t="s">
        <v>5931</v>
      </c>
      <c r="C99" t="s">
        <v>5932</v>
      </c>
    </row>
    <row r="100" spans="1:3" x14ac:dyDescent="0.3">
      <c r="A100" t="s">
        <v>5933</v>
      </c>
      <c r="B100" t="s">
        <v>5934</v>
      </c>
      <c r="C100" t="s">
        <v>5935</v>
      </c>
    </row>
    <row r="101" spans="1:3" x14ac:dyDescent="0.3">
      <c r="A101" t="s">
        <v>5936</v>
      </c>
      <c r="B101" t="s">
        <v>5937</v>
      </c>
      <c r="C101" t="s">
        <v>5938</v>
      </c>
    </row>
    <row r="104" spans="1:3" x14ac:dyDescent="0.3">
      <c r="A104" s="1" t="s">
        <v>5939</v>
      </c>
    </row>
    <row r="105" spans="1:3" x14ac:dyDescent="0.3">
      <c r="A105" s="408" t="s">
        <v>5940</v>
      </c>
      <c r="B105" s="408" t="s">
        <v>5941</v>
      </c>
    </row>
    <row r="106" spans="1:3" x14ac:dyDescent="0.3">
      <c r="A106" t="s">
        <v>5942</v>
      </c>
      <c r="B106" t="s">
        <v>5943</v>
      </c>
    </row>
    <row r="107" spans="1:3" x14ac:dyDescent="0.3">
      <c r="A107" t="s">
        <v>5944</v>
      </c>
      <c r="B107" t="s">
        <v>5945</v>
      </c>
    </row>
    <row r="108" spans="1:3" x14ac:dyDescent="0.3">
      <c r="A108" t="s">
        <v>5946</v>
      </c>
      <c r="B108" t="s">
        <v>5947</v>
      </c>
    </row>
    <row r="109" spans="1:3" x14ac:dyDescent="0.3">
      <c r="A109" t="s">
        <v>5948</v>
      </c>
      <c r="B109" t="s">
        <v>5949</v>
      </c>
    </row>
    <row r="110" spans="1:3" x14ac:dyDescent="0.3">
      <c r="A110" t="s">
        <v>5950</v>
      </c>
      <c r="B110" t="s">
        <v>5951</v>
      </c>
    </row>
    <row r="111" spans="1:3" x14ac:dyDescent="0.3">
      <c r="A111" t="s">
        <v>5952</v>
      </c>
      <c r="B111" t="s">
        <v>5953</v>
      </c>
    </row>
    <row r="115" spans="1:2" ht="18" x14ac:dyDescent="0.35">
      <c r="A115" s="409" t="s">
        <v>5954</v>
      </c>
    </row>
    <row r="117" spans="1:2" x14ac:dyDescent="0.3">
      <c r="A117" s="1" t="s">
        <v>5955</v>
      </c>
    </row>
    <row r="118" spans="1:2" x14ac:dyDescent="0.3">
      <c r="A118" s="408" t="s">
        <v>5337</v>
      </c>
      <c r="B118" s="408" t="s">
        <v>1800</v>
      </c>
    </row>
    <row r="119" spans="1:2" x14ac:dyDescent="0.3">
      <c r="A119" t="s">
        <v>5338</v>
      </c>
      <c r="B119" t="s">
        <v>5956</v>
      </c>
    </row>
    <row r="120" spans="1:2" x14ac:dyDescent="0.3">
      <c r="A120" t="s">
        <v>5957</v>
      </c>
      <c r="B120" t="s">
        <v>5958</v>
      </c>
    </row>
    <row r="121" spans="1:2" x14ac:dyDescent="0.3">
      <c r="A121" t="s">
        <v>5959</v>
      </c>
      <c r="B121" t="s">
        <v>5960</v>
      </c>
    </row>
    <row r="122" spans="1:2" x14ac:dyDescent="0.3">
      <c r="A122" t="s">
        <v>5961</v>
      </c>
      <c r="B122" t="s">
        <v>5962</v>
      </c>
    </row>
    <row r="123" spans="1:2" x14ac:dyDescent="0.3">
      <c r="A123" t="s">
        <v>5963</v>
      </c>
      <c r="B123" t="s">
        <v>5964</v>
      </c>
    </row>
    <row r="126" spans="1:2" x14ac:dyDescent="0.3">
      <c r="A126" s="1" t="s">
        <v>5965</v>
      </c>
    </row>
    <row r="127" spans="1:2" x14ac:dyDescent="0.3">
      <c r="A127" s="408" t="s">
        <v>2739</v>
      </c>
      <c r="B127" s="408" t="s">
        <v>5966</v>
      </c>
    </row>
    <row r="128" spans="1:2" x14ac:dyDescent="0.3">
      <c r="A128" t="s">
        <v>5967</v>
      </c>
      <c r="B128" t="s">
        <v>5968</v>
      </c>
    </row>
    <row r="129" spans="1:2" x14ac:dyDescent="0.3">
      <c r="A129" t="s">
        <v>5969</v>
      </c>
      <c r="B129" t="s">
        <v>5970</v>
      </c>
    </row>
    <row r="130" spans="1:2" x14ac:dyDescent="0.3">
      <c r="A130" t="s">
        <v>5971</v>
      </c>
      <c r="B130" t="s">
        <v>5972</v>
      </c>
    </row>
    <row r="131" spans="1:2" x14ac:dyDescent="0.3">
      <c r="A131" t="s">
        <v>5973</v>
      </c>
      <c r="B131" t="s">
        <v>5974</v>
      </c>
    </row>
    <row r="132" spans="1:2" x14ac:dyDescent="0.3">
      <c r="A132" t="s">
        <v>5975</v>
      </c>
      <c r="B132" t="s">
        <v>5976</v>
      </c>
    </row>
    <row r="135" spans="1:2" x14ac:dyDescent="0.3">
      <c r="A135" s="1" t="s">
        <v>5977</v>
      </c>
    </row>
    <row r="136" spans="1:2" x14ac:dyDescent="0.3">
      <c r="A136" s="408" t="s">
        <v>5486</v>
      </c>
      <c r="B136" s="408" t="s">
        <v>5487</v>
      </c>
    </row>
    <row r="137" spans="1:2" x14ac:dyDescent="0.3">
      <c r="A137" t="s">
        <v>5978</v>
      </c>
      <c r="B137" t="s">
        <v>5979</v>
      </c>
    </row>
    <row r="138" spans="1:2" x14ac:dyDescent="0.3">
      <c r="A138" t="s">
        <v>5494</v>
      </c>
      <c r="B138" t="s">
        <v>5980</v>
      </c>
    </row>
    <row r="139" spans="1:2" x14ac:dyDescent="0.3">
      <c r="A139" t="s">
        <v>5981</v>
      </c>
      <c r="B139" t="s">
        <v>5982</v>
      </c>
    </row>
    <row r="140" spans="1:2" x14ac:dyDescent="0.3">
      <c r="A140" t="s">
        <v>5983</v>
      </c>
      <c r="B140" t="s">
        <v>5984</v>
      </c>
    </row>
    <row r="141" spans="1:2" x14ac:dyDescent="0.3">
      <c r="A141" t="s">
        <v>5985</v>
      </c>
      <c r="B141" t="s">
        <v>5986</v>
      </c>
    </row>
    <row r="144" spans="1:2" x14ac:dyDescent="0.3">
      <c r="A144" s="221" t="s">
        <v>5987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11B99-84E4-41D8-8851-EAD360E4FE5C}">
  <sheetPr>
    <tabColor theme="7"/>
  </sheetPr>
  <dimension ref="A1:E178"/>
  <sheetViews>
    <sheetView workbookViewId="0"/>
  </sheetViews>
  <sheetFormatPr defaultRowHeight="14.4" x14ac:dyDescent="0.3"/>
  <cols>
    <col min="1" max="1" width="33.33203125" customWidth="1"/>
    <col min="2" max="2" width="51.88671875" customWidth="1"/>
    <col min="3" max="3" width="40.77734375" customWidth="1"/>
    <col min="4" max="4" width="27.77734375" customWidth="1"/>
    <col min="5" max="5" width="37" customWidth="1"/>
  </cols>
  <sheetData>
    <row r="1" spans="1:5" ht="21" x14ac:dyDescent="0.4">
      <c r="A1" s="410" t="s">
        <v>5988</v>
      </c>
    </row>
    <row r="2" spans="1:5" x14ac:dyDescent="0.3">
      <c r="A2" t="s">
        <v>5591</v>
      </c>
      <c r="B2" t="s">
        <v>5592</v>
      </c>
      <c r="C2" t="s">
        <v>5593</v>
      </c>
      <c r="D2" t="s">
        <v>5784</v>
      </c>
    </row>
    <row r="4" spans="1:5" x14ac:dyDescent="0.3">
      <c r="A4" s="1" t="s">
        <v>5296</v>
      </c>
    </row>
    <row r="5" spans="1:5" x14ac:dyDescent="0.3">
      <c r="A5" t="s">
        <v>5989</v>
      </c>
      <c r="B5" t="s">
        <v>5298</v>
      </c>
    </row>
    <row r="6" spans="1:5" x14ac:dyDescent="0.3">
      <c r="A6" t="s">
        <v>5990</v>
      </c>
      <c r="B6" t="s">
        <v>5991</v>
      </c>
    </row>
    <row r="7" spans="1:5" x14ac:dyDescent="0.3">
      <c r="A7" t="s">
        <v>5992</v>
      </c>
      <c r="B7" t="s">
        <v>5993</v>
      </c>
    </row>
    <row r="8" spans="1:5" x14ac:dyDescent="0.3">
      <c r="A8" t="s">
        <v>5994</v>
      </c>
      <c r="B8" t="s">
        <v>5995</v>
      </c>
    </row>
    <row r="9" spans="1:5" x14ac:dyDescent="0.3">
      <c r="A9" t="s">
        <v>5996</v>
      </c>
      <c r="B9" t="s">
        <v>5997</v>
      </c>
    </row>
    <row r="10" spans="1:5" x14ac:dyDescent="0.3">
      <c r="A10" t="s">
        <v>5998</v>
      </c>
      <c r="B10" t="s">
        <v>5999</v>
      </c>
    </row>
    <row r="12" spans="1:5" ht="18" x14ac:dyDescent="0.35">
      <c r="A12" s="409" t="s">
        <v>6000</v>
      </c>
    </row>
    <row r="14" spans="1:5" x14ac:dyDescent="0.3">
      <c r="A14" s="1" t="s">
        <v>6001</v>
      </c>
    </row>
    <row r="15" spans="1:5" x14ac:dyDescent="0.3">
      <c r="A15" s="408" t="s">
        <v>2269</v>
      </c>
      <c r="B15" s="408" t="s">
        <v>383</v>
      </c>
      <c r="C15" s="408" t="s">
        <v>5364</v>
      </c>
      <c r="D15" s="408" t="s">
        <v>6002</v>
      </c>
      <c r="E15" s="408" t="s">
        <v>1919</v>
      </c>
    </row>
    <row r="16" spans="1:5" x14ac:dyDescent="0.3">
      <c r="A16" t="s">
        <v>1781</v>
      </c>
      <c r="B16" t="s">
        <v>6003</v>
      </c>
      <c r="C16" t="s">
        <v>3219</v>
      </c>
      <c r="D16" t="s">
        <v>3219</v>
      </c>
      <c r="E16" t="s">
        <v>6004</v>
      </c>
    </row>
    <row r="17" spans="1:5" x14ac:dyDescent="0.3">
      <c r="A17" t="s">
        <v>103</v>
      </c>
      <c r="B17" t="s">
        <v>6003</v>
      </c>
      <c r="C17" t="s">
        <v>3219</v>
      </c>
      <c r="D17" t="s">
        <v>3219</v>
      </c>
      <c r="E17" t="s">
        <v>6005</v>
      </c>
    </row>
    <row r="18" spans="1:5" x14ac:dyDescent="0.3">
      <c r="A18" t="s">
        <v>2</v>
      </c>
      <c r="B18" t="s">
        <v>6006</v>
      </c>
      <c r="C18" t="s">
        <v>3219</v>
      </c>
      <c r="D18" t="s">
        <v>5524</v>
      </c>
      <c r="E18" t="s">
        <v>5084</v>
      </c>
    </row>
    <row r="19" spans="1:5" x14ac:dyDescent="0.3">
      <c r="A19" t="s">
        <v>1</v>
      </c>
      <c r="B19" t="s">
        <v>6006</v>
      </c>
      <c r="C19" t="s">
        <v>3219</v>
      </c>
      <c r="D19" t="s">
        <v>5524</v>
      </c>
      <c r="E19" t="s">
        <v>6007</v>
      </c>
    </row>
    <row r="20" spans="1:5" x14ac:dyDescent="0.3">
      <c r="A20" t="s">
        <v>105</v>
      </c>
      <c r="B20" t="s">
        <v>6008</v>
      </c>
      <c r="C20" t="s">
        <v>3219</v>
      </c>
      <c r="D20" t="s">
        <v>5524</v>
      </c>
      <c r="E20" t="s">
        <v>6009</v>
      </c>
    </row>
    <row r="21" spans="1:5" x14ac:dyDescent="0.3">
      <c r="A21" t="s">
        <v>1783</v>
      </c>
      <c r="B21" t="s">
        <v>6006</v>
      </c>
      <c r="C21" t="s">
        <v>3219</v>
      </c>
      <c r="D21" t="s">
        <v>5524</v>
      </c>
      <c r="E21" t="s">
        <v>6010</v>
      </c>
    </row>
    <row r="22" spans="1:5" x14ac:dyDescent="0.3">
      <c r="A22" t="s">
        <v>1784</v>
      </c>
      <c r="B22" t="s">
        <v>2059</v>
      </c>
      <c r="C22" t="s">
        <v>3219</v>
      </c>
      <c r="D22" t="s">
        <v>5529</v>
      </c>
      <c r="E22" t="s">
        <v>6011</v>
      </c>
    </row>
    <row r="23" spans="1:5" x14ac:dyDescent="0.3">
      <c r="A23" t="s">
        <v>1785</v>
      </c>
      <c r="B23" t="s">
        <v>2059</v>
      </c>
      <c r="C23" t="s">
        <v>3219</v>
      </c>
      <c r="D23" t="s">
        <v>5529</v>
      </c>
      <c r="E23" t="s">
        <v>6012</v>
      </c>
    </row>
    <row r="24" spans="1:5" x14ac:dyDescent="0.3">
      <c r="A24" t="s">
        <v>1787</v>
      </c>
      <c r="B24" t="s">
        <v>6006</v>
      </c>
      <c r="C24" t="s">
        <v>3219</v>
      </c>
      <c r="D24" t="s">
        <v>5524</v>
      </c>
      <c r="E24" t="s">
        <v>6013</v>
      </c>
    </row>
    <row r="25" spans="1:5" x14ac:dyDescent="0.3">
      <c r="A25" t="s">
        <v>1788</v>
      </c>
      <c r="B25" t="s">
        <v>2059</v>
      </c>
      <c r="C25" t="s">
        <v>3219</v>
      </c>
      <c r="D25" t="s">
        <v>5529</v>
      </c>
      <c r="E25" t="s">
        <v>6014</v>
      </c>
    </row>
    <row r="26" spans="1:5" x14ac:dyDescent="0.3">
      <c r="A26" t="s">
        <v>1789</v>
      </c>
      <c r="B26" t="s">
        <v>2059</v>
      </c>
      <c r="C26" t="s">
        <v>3219</v>
      </c>
      <c r="D26" t="s">
        <v>5529</v>
      </c>
      <c r="E26" t="s">
        <v>6015</v>
      </c>
    </row>
    <row r="27" spans="1:5" x14ac:dyDescent="0.3">
      <c r="A27" t="s">
        <v>1791</v>
      </c>
      <c r="B27" t="s">
        <v>6006</v>
      </c>
      <c r="C27" t="s">
        <v>3219</v>
      </c>
      <c r="D27" t="s">
        <v>5524</v>
      </c>
      <c r="E27" t="s">
        <v>6016</v>
      </c>
    </row>
    <row r="28" spans="1:5" x14ac:dyDescent="0.3">
      <c r="A28" t="s">
        <v>1792</v>
      </c>
      <c r="B28" t="s">
        <v>2059</v>
      </c>
      <c r="C28" t="s">
        <v>3219</v>
      </c>
      <c r="D28" t="s">
        <v>5529</v>
      </c>
      <c r="E28" t="s">
        <v>6017</v>
      </c>
    </row>
    <row r="29" spans="1:5" x14ac:dyDescent="0.3">
      <c r="A29" t="s">
        <v>1793</v>
      </c>
      <c r="B29" t="s">
        <v>2059</v>
      </c>
      <c r="C29" t="s">
        <v>3219</v>
      </c>
      <c r="D29" t="s">
        <v>5529</v>
      </c>
      <c r="E29" t="s">
        <v>6018</v>
      </c>
    </row>
    <row r="30" spans="1:5" x14ac:dyDescent="0.3">
      <c r="A30" t="s">
        <v>112</v>
      </c>
      <c r="B30" t="s">
        <v>6008</v>
      </c>
      <c r="C30" t="s">
        <v>3219</v>
      </c>
      <c r="D30" t="s">
        <v>5524</v>
      </c>
      <c r="E30" t="s">
        <v>6019</v>
      </c>
    </row>
    <row r="31" spans="1:5" x14ac:dyDescent="0.3">
      <c r="A31" t="s">
        <v>113</v>
      </c>
      <c r="B31" t="s">
        <v>5655</v>
      </c>
      <c r="C31" t="s">
        <v>3219</v>
      </c>
      <c r="D31" t="s">
        <v>5531</v>
      </c>
      <c r="E31" t="s">
        <v>6020</v>
      </c>
    </row>
    <row r="32" spans="1:5" x14ac:dyDescent="0.3">
      <c r="A32" t="s">
        <v>5891</v>
      </c>
      <c r="B32" t="s">
        <v>6021</v>
      </c>
      <c r="C32" t="s">
        <v>3219</v>
      </c>
      <c r="D32" t="s">
        <v>6022</v>
      </c>
      <c r="E32" t="s">
        <v>6023</v>
      </c>
    </row>
    <row r="33" spans="1:5" x14ac:dyDescent="0.3">
      <c r="A33" t="s">
        <v>114</v>
      </c>
      <c r="B33" t="s">
        <v>6024</v>
      </c>
      <c r="C33" t="s">
        <v>2800</v>
      </c>
      <c r="D33" t="s">
        <v>6025</v>
      </c>
      <c r="E33" t="s">
        <v>6026</v>
      </c>
    </row>
    <row r="36" spans="1:5" x14ac:dyDescent="0.3">
      <c r="A36" s="1" t="s">
        <v>6027</v>
      </c>
    </row>
    <row r="37" spans="1:5" x14ac:dyDescent="0.3">
      <c r="A37" s="408" t="s">
        <v>5535</v>
      </c>
      <c r="B37" s="408" t="s">
        <v>5314</v>
      </c>
    </row>
    <row r="38" spans="1:5" x14ac:dyDescent="0.3">
      <c r="A38" t="s">
        <v>5387</v>
      </c>
      <c r="B38" t="s">
        <v>6028</v>
      </c>
    </row>
    <row r="39" spans="1:5" x14ac:dyDescent="0.3">
      <c r="A39" t="s">
        <v>6029</v>
      </c>
      <c r="B39" t="s">
        <v>6030</v>
      </c>
    </row>
    <row r="40" spans="1:5" x14ac:dyDescent="0.3">
      <c r="A40" t="s">
        <v>6031</v>
      </c>
      <c r="B40" t="s">
        <v>6032</v>
      </c>
    </row>
    <row r="41" spans="1:5" x14ac:dyDescent="0.3">
      <c r="A41" t="s">
        <v>6033</v>
      </c>
      <c r="B41" t="s">
        <v>6034</v>
      </c>
    </row>
    <row r="42" spans="1:5" x14ac:dyDescent="0.3">
      <c r="A42" t="s">
        <v>5409</v>
      </c>
      <c r="B42" t="s">
        <v>6035</v>
      </c>
    </row>
    <row r="43" spans="1:5" x14ac:dyDescent="0.3">
      <c r="A43" t="s">
        <v>6036</v>
      </c>
      <c r="B43" t="s">
        <v>6037</v>
      </c>
    </row>
    <row r="44" spans="1:5" x14ac:dyDescent="0.3">
      <c r="A44" t="s">
        <v>6038</v>
      </c>
      <c r="B44" t="s">
        <v>6039</v>
      </c>
    </row>
    <row r="45" spans="1:5" x14ac:dyDescent="0.3">
      <c r="A45" t="s">
        <v>6040</v>
      </c>
      <c r="B45" t="s">
        <v>6041</v>
      </c>
    </row>
    <row r="46" spans="1:5" x14ac:dyDescent="0.3">
      <c r="A46" t="s">
        <v>5303</v>
      </c>
      <c r="B46" t="s">
        <v>6042</v>
      </c>
    </row>
    <row r="50" spans="1:2" ht="18" x14ac:dyDescent="0.35">
      <c r="A50" s="409" t="s">
        <v>6043</v>
      </c>
    </row>
    <row r="52" spans="1:2" x14ac:dyDescent="0.3">
      <c r="A52" s="1" t="s">
        <v>6044</v>
      </c>
    </row>
    <row r="53" spans="1:2" x14ac:dyDescent="0.3">
      <c r="A53" s="408" t="s">
        <v>5337</v>
      </c>
      <c r="B53" s="408" t="s">
        <v>5314</v>
      </c>
    </row>
    <row r="54" spans="1:2" x14ac:dyDescent="0.3">
      <c r="A54" t="s">
        <v>6045</v>
      </c>
      <c r="B54" t="s">
        <v>6046</v>
      </c>
    </row>
    <row r="55" spans="1:2" x14ac:dyDescent="0.3">
      <c r="A55" t="s">
        <v>6047</v>
      </c>
      <c r="B55" t="s">
        <v>6048</v>
      </c>
    </row>
    <row r="56" spans="1:2" x14ac:dyDescent="0.3">
      <c r="A56" t="s">
        <v>6049</v>
      </c>
      <c r="B56" t="s">
        <v>6050</v>
      </c>
    </row>
    <row r="57" spans="1:2" x14ac:dyDescent="0.3">
      <c r="A57" t="s">
        <v>6051</v>
      </c>
      <c r="B57" t="s">
        <v>6052</v>
      </c>
    </row>
    <row r="58" spans="1:2" x14ac:dyDescent="0.3">
      <c r="A58" t="s">
        <v>6053</v>
      </c>
      <c r="B58" t="s">
        <v>6054</v>
      </c>
    </row>
    <row r="59" spans="1:2" x14ac:dyDescent="0.3">
      <c r="A59" t="s">
        <v>6055</v>
      </c>
      <c r="B59" t="s">
        <v>6056</v>
      </c>
    </row>
    <row r="60" spans="1:2" x14ac:dyDescent="0.3">
      <c r="A60" t="s">
        <v>6057</v>
      </c>
      <c r="B60" t="s">
        <v>6058</v>
      </c>
    </row>
    <row r="61" spans="1:2" x14ac:dyDescent="0.3">
      <c r="A61" t="s">
        <v>6059</v>
      </c>
      <c r="B61" t="s">
        <v>6060</v>
      </c>
    </row>
    <row r="62" spans="1:2" x14ac:dyDescent="0.3">
      <c r="A62" t="s">
        <v>6061</v>
      </c>
      <c r="B62" t="s">
        <v>6062</v>
      </c>
    </row>
    <row r="63" spans="1:2" x14ac:dyDescent="0.3">
      <c r="A63" t="s">
        <v>6063</v>
      </c>
      <c r="B63" t="s">
        <v>6064</v>
      </c>
    </row>
    <row r="64" spans="1:2" x14ac:dyDescent="0.3">
      <c r="A64" t="s">
        <v>6065</v>
      </c>
      <c r="B64" t="s">
        <v>6066</v>
      </c>
    </row>
    <row r="65" spans="1:3" x14ac:dyDescent="0.3">
      <c r="A65" t="s">
        <v>5906</v>
      </c>
      <c r="B65" t="s">
        <v>6067</v>
      </c>
    </row>
    <row r="68" spans="1:3" x14ac:dyDescent="0.3">
      <c r="A68" s="1" t="s">
        <v>6068</v>
      </c>
    </row>
    <row r="69" spans="1:3" x14ac:dyDescent="0.3">
      <c r="A69" s="408" t="s">
        <v>2739</v>
      </c>
      <c r="B69" s="408" t="s">
        <v>3374</v>
      </c>
      <c r="C69" s="408" t="s">
        <v>5914</v>
      </c>
    </row>
    <row r="70" spans="1:3" x14ac:dyDescent="0.3">
      <c r="A70" t="s">
        <v>6069</v>
      </c>
      <c r="B70" t="s">
        <v>6070</v>
      </c>
      <c r="C70" t="s">
        <v>6071</v>
      </c>
    </row>
    <row r="71" spans="1:3" x14ac:dyDescent="0.3">
      <c r="A71" t="s">
        <v>6072</v>
      </c>
      <c r="B71" t="s">
        <v>6073</v>
      </c>
      <c r="C71" t="s">
        <v>6074</v>
      </c>
    </row>
    <row r="72" spans="1:3" x14ac:dyDescent="0.3">
      <c r="A72" t="s">
        <v>6075</v>
      </c>
      <c r="B72" t="s">
        <v>6076</v>
      </c>
      <c r="C72" t="s">
        <v>6077</v>
      </c>
    </row>
    <row r="73" spans="1:3" x14ac:dyDescent="0.3">
      <c r="A73" t="s">
        <v>6078</v>
      </c>
      <c r="B73" t="s">
        <v>6079</v>
      </c>
      <c r="C73" t="s">
        <v>6080</v>
      </c>
    </row>
    <row r="74" spans="1:3" x14ac:dyDescent="0.3">
      <c r="A74" t="s">
        <v>6081</v>
      </c>
      <c r="B74" t="s">
        <v>6082</v>
      </c>
      <c r="C74" t="s">
        <v>6083</v>
      </c>
    </row>
    <row r="75" spans="1:3" x14ac:dyDescent="0.3">
      <c r="A75" t="s">
        <v>5918</v>
      </c>
      <c r="B75" t="s">
        <v>6084</v>
      </c>
      <c r="C75" t="s">
        <v>6085</v>
      </c>
    </row>
    <row r="76" spans="1:3" x14ac:dyDescent="0.3">
      <c r="A76" t="s">
        <v>6086</v>
      </c>
      <c r="B76" t="s">
        <v>6087</v>
      </c>
      <c r="C76" t="s">
        <v>6088</v>
      </c>
    </row>
    <row r="77" spans="1:3" x14ac:dyDescent="0.3">
      <c r="A77" t="s">
        <v>6089</v>
      </c>
      <c r="B77" t="s">
        <v>6090</v>
      </c>
      <c r="C77" t="s">
        <v>6091</v>
      </c>
    </row>
    <row r="80" spans="1:3" ht="18" x14ac:dyDescent="0.35">
      <c r="A80" s="409" t="s">
        <v>6092</v>
      </c>
    </row>
    <row r="82" spans="1:3" x14ac:dyDescent="0.3">
      <c r="A82" s="1" t="s">
        <v>6093</v>
      </c>
    </row>
    <row r="83" spans="1:3" x14ac:dyDescent="0.3">
      <c r="A83" s="408" t="s">
        <v>5940</v>
      </c>
      <c r="B83" s="408" t="s">
        <v>6094</v>
      </c>
      <c r="C83" s="408" t="s">
        <v>5941</v>
      </c>
    </row>
    <row r="84" spans="1:3" x14ac:dyDescent="0.3">
      <c r="A84" t="s">
        <v>5942</v>
      </c>
      <c r="B84" t="s">
        <v>6095</v>
      </c>
      <c r="C84" t="s">
        <v>6096</v>
      </c>
    </row>
    <row r="85" spans="1:3" x14ac:dyDescent="0.3">
      <c r="A85" t="s">
        <v>5944</v>
      </c>
      <c r="B85" t="s">
        <v>6097</v>
      </c>
      <c r="C85" t="s">
        <v>6098</v>
      </c>
    </row>
    <row r="86" spans="1:3" x14ac:dyDescent="0.3">
      <c r="A86" t="s">
        <v>5948</v>
      </c>
      <c r="B86" t="s">
        <v>6099</v>
      </c>
      <c r="C86" t="s">
        <v>6100</v>
      </c>
    </row>
    <row r="87" spans="1:3" x14ac:dyDescent="0.3">
      <c r="A87" t="s">
        <v>5946</v>
      </c>
      <c r="B87" t="s">
        <v>6101</v>
      </c>
      <c r="C87" t="s">
        <v>6102</v>
      </c>
    </row>
    <row r="88" spans="1:3" x14ac:dyDescent="0.3">
      <c r="A88" t="s">
        <v>6103</v>
      </c>
      <c r="B88" t="s">
        <v>6104</v>
      </c>
      <c r="C88" t="s">
        <v>6105</v>
      </c>
    </row>
    <row r="89" spans="1:3" x14ac:dyDescent="0.3">
      <c r="A89" t="s">
        <v>6106</v>
      </c>
      <c r="B89" t="s">
        <v>6107</v>
      </c>
      <c r="C89" t="s">
        <v>6108</v>
      </c>
    </row>
    <row r="90" spans="1:3" x14ac:dyDescent="0.3">
      <c r="A90" t="s">
        <v>6109</v>
      </c>
      <c r="B90" t="s">
        <v>6110</v>
      </c>
      <c r="C90" t="s">
        <v>6111</v>
      </c>
    </row>
    <row r="93" spans="1:3" x14ac:dyDescent="0.3">
      <c r="A93" s="1" t="s">
        <v>6112</v>
      </c>
    </row>
    <row r="94" spans="1:3" x14ac:dyDescent="0.3">
      <c r="A94" s="408" t="s">
        <v>6113</v>
      </c>
      <c r="B94" s="408" t="s">
        <v>2739</v>
      </c>
    </row>
    <row r="95" spans="1:3" x14ac:dyDescent="0.3">
      <c r="A95">
        <v>1</v>
      </c>
      <c r="B95" t="s">
        <v>6114</v>
      </c>
    </row>
    <row r="96" spans="1:3" x14ac:dyDescent="0.3">
      <c r="A96">
        <v>2</v>
      </c>
      <c r="B96" t="s">
        <v>6115</v>
      </c>
    </row>
    <row r="97" spans="1:2" x14ac:dyDescent="0.3">
      <c r="A97" t="s">
        <v>6116</v>
      </c>
      <c r="B97" t="s">
        <v>6117</v>
      </c>
    </row>
    <row r="98" spans="1:2" x14ac:dyDescent="0.3">
      <c r="A98" t="s">
        <v>6118</v>
      </c>
      <c r="B98" t="s">
        <v>6119</v>
      </c>
    </row>
    <row r="99" spans="1:2" x14ac:dyDescent="0.3">
      <c r="A99" t="s">
        <v>6120</v>
      </c>
      <c r="B99" t="s">
        <v>6121</v>
      </c>
    </row>
    <row r="100" spans="1:2" x14ac:dyDescent="0.3">
      <c r="A100">
        <v>4</v>
      </c>
      <c r="B100" t="s">
        <v>6122</v>
      </c>
    </row>
    <row r="101" spans="1:2" x14ac:dyDescent="0.3">
      <c r="A101">
        <v>5</v>
      </c>
      <c r="B101" t="s">
        <v>6123</v>
      </c>
    </row>
    <row r="102" spans="1:2" x14ac:dyDescent="0.3">
      <c r="A102">
        <v>6</v>
      </c>
      <c r="B102" t="s">
        <v>6124</v>
      </c>
    </row>
    <row r="103" spans="1:2" x14ac:dyDescent="0.3">
      <c r="A103">
        <v>7</v>
      </c>
      <c r="B103" t="s">
        <v>6125</v>
      </c>
    </row>
    <row r="110" spans="1:2" ht="18" x14ac:dyDescent="0.35">
      <c r="A110" s="409" t="s">
        <v>6126</v>
      </c>
    </row>
    <row r="112" spans="1:2" x14ac:dyDescent="0.3">
      <c r="A112" s="1" t="s">
        <v>6127</v>
      </c>
    </row>
    <row r="113" spans="1:3" x14ac:dyDescent="0.3">
      <c r="A113" s="408" t="s">
        <v>5880</v>
      </c>
      <c r="B113" s="408" t="s">
        <v>383</v>
      </c>
      <c r="C113" s="408" t="s">
        <v>5522</v>
      </c>
    </row>
    <row r="114" spans="1:3" x14ac:dyDescent="0.3">
      <c r="A114" t="s">
        <v>6128</v>
      </c>
      <c r="B114" t="s">
        <v>5886</v>
      </c>
      <c r="C114" t="s">
        <v>6129</v>
      </c>
    </row>
    <row r="115" spans="1:3" x14ac:dyDescent="0.3">
      <c r="A115" t="s">
        <v>6130</v>
      </c>
      <c r="B115" t="s">
        <v>6131</v>
      </c>
      <c r="C115" t="s">
        <v>4096</v>
      </c>
    </row>
    <row r="116" spans="1:3" x14ac:dyDescent="0.3">
      <c r="A116" t="s">
        <v>1</v>
      </c>
      <c r="B116" t="s">
        <v>6131</v>
      </c>
      <c r="C116" t="s">
        <v>4096</v>
      </c>
    </row>
    <row r="117" spans="1:3" x14ac:dyDescent="0.3">
      <c r="A117" t="s">
        <v>2</v>
      </c>
      <c r="B117" t="s">
        <v>6131</v>
      </c>
      <c r="C117" t="s">
        <v>4096</v>
      </c>
    </row>
    <row r="118" spans="1:3" x14ac:dyDescent="0.3">
      <c r="A118" t="s">
        <v>5529</v>
      </c>
      <c r="B118" t="s">
        <v>6132</v>
      </c>
      <c r="C118" t="s">
        <v>6133</v>
      </c>
    </row>
    <row r="119" spans="1:3" x14ac:dyDescent="0.3">
      <c r="A119" t="s">
        <v>112</v>
      </c>
      <c r="B119" t="s">
        <v>5886</v>
      </c>
      <c r="C119" t="s">
        <v>6134</v>
      </c>
    </row>
    <row r="120" spans="1:3" x14ac:dyDescent="0.3">
      <c r="A120" t="s">
        <v>6135</v>
      </c>
      <c r="B120" t="s">
        <v>6136</v>
      </c>
      <c r="C120" t="s">
        <v>6137</v>
      </c>
    </row>
    <row r="121" spans="1:3" x14ac:dyDescent="0.3">
      <c r="A121" t="s">
        <v>6138</v>
      </c>
      <c r="B121" t="s">
        <v>6139</v>
      </c>
      <c r="C121" t="s">
        <v>6137</v>
      </c>
    </row>
    <row r="122" spans="1:3" x14ac:dyDescent="0.3">
      <c r="A122" t="s">
        <v>105</v>
      </c>
      <c r="B122" t="s">
        <v>5886</v>
      </c>
      <c r="C122" t="s">
        <v>4096</v>
      </c>
    </row>
    <row r="123" spans="1:3" x14ac:dyDescent="0.3">
      <c r="A123" t="s">
        <v>5891</v>
      </c>
      <c r="B123" t="s">
        <v>6140</v>
      </c>
      <c r="C123" t="s">
        <v>3444</v>
      </c>
    </row>
    <row r="124" spans="1:3" x14ac:dyDescent="0.3">
      <c r="A124" t="s">
        <v>6141</v>
      </c>
      <c r="B124" t="s">
        <v>6142</v>
      </c>
      <c r="C124" t="s">
        <v>6143</v>
      </c>
    </row>
    <row r="135" spans="1:3" ht="18" x14ac:dyDescent="0.35">
      <c r="A135" s="409" t="s">
        <v>6144</v>
      </c>
    </row>
    <row r="137" spans="1:3" x14ac:dyDescent="0.3">
      <c r="A137" s="1" t="s">
        <v>6145</v>
      </c>
    </row>
    <row r="138" spans="1:3" x14ac:dyDescent="0.3">
      <c r="A138" s="408" t="s">
        <v>2739</v>
      </c>
      <c r="B138" s="408" t="s">
        <v>5536</v>
      </c>
      <c r="C138" s="408" t="s">
        <v>1919</v>
      </c>
    </row>
    <row r="139" spans="1:3" x14ac:dyDescent="0.3">
      <c r="A139" t="s">
        <v>6146</v>
      </c>
      <c r="B139" t="s">
        <v>6147</v>
      </c>
      <c r="C139" t="s">
        <v>6148</v>
      </c>
    </row>
    <row r="140" spans="1:3" x14ac:dyDescent="0.3">
      <c r="A140" t="s">
        <v>6149</v>
      </c>
      <c r="B140" t="s">
        <v>6150</v>
      </c>
      <c r="C140" t="s">
        <v>6151</v>
      </c>
    </row>
    <row r="141" spans="1:3" x14ac:dyDescent="0.3">
      <c r="A141" t="s">
        <v>6152</v>
      </c>
      <c r="B141" t="s">
        <v>6153</v>
      </c>
      <c r="C141" t="s">
        <v>6154</v>
      </c>
    </row>
    <row r="142" spans="1:3" x14ac:dyDescent="0.3">
      <c r="A142" t="s">
        <v>6155</v>
      </c>
      <c r="B142" t="s">
        <v>6153</v>
      </c>
      <c r="C142" t="s">
        <v>6156</v>
      </c>
    </row>
    <row r="143" spans="1:3" x14ac:dyDescent="0.3">
      <c r="A143" t="s">
        <v>6072</v>
      </c>
      <c r="B143" t="s">
        <v>6153</v>
      </c>
      <c r="C143" t="s">
        <v>6157</v>
      </c>
    </row>
    <row r="144" spans="1:3" x14ac:dyDescent="0.3">
      <c r="A144" t="s">
        <v>6158</v>
      </c>
      <c r="B144" t="s">
        <v>6153</v>
      </c>
      <c r="C144" t="s">
        <v>6159</v>
      </c>
    </row>
    <row r="145" spans="1:3" x14ac:dyDescent="0.3">
      <c r="A145" t="s">
        <v>6160</v>
      </c>
      <c r="B145" t="s">
        <v>6161</v>
      </c>
      <c r="C145" t="s">
        <v>6162</v>
      </c>
    </row>
    <row r="146" spans="1:3" x14ac:dyDescent="0.3">
      <c r="A146" t="s">
        <v>6163</v>
      </c>
      <c r="B146" t="s">
        <v>6164</v>
      </c>
      <c r="C146" t="s">
        <v>6165</v>
      </c>
    </row>
    <row r="147" spans="1:3" x14ac:dyDescent="0.3">
      <c r="A147" t="s">
        <v>6166</v>
      </c>
      <c r="B147" t="s">
        <v>6167</v>
      </c>
      <c r="C147" t="s">
        <v>6168</v>
      </c>
    </row>
    <row r="148" spans="1:3" x14ac:dyDescent="0.3">
      <c r="A148" t="s">
        <v>6169</v>
      </c>
      <c r="B148" t="s">
        <v>6153</v>
      </c>
      <c r="C148" t="s">
        <v>6170</v>
      </c>
    </row>
    <row r="149" spans="1:3" x14ac:dyDescent="0.3">
      <c r="A149" t="s">
        <v>6171</v>
      </c>
      <c r="B149" t="s">
        <v>6153</v>
      </c>
      <c r="C149" t="s">
        <v>6172</v>
      </c>
    </row>
    <row r="160" spans="1:3" ht="18" x14ac:dyDescent="0.35">
      <c r="A160" s="409" t="s">
        <v>6173</v>
      </c>
    </row>
    <row r="162" spans="1:3" x14ac:dyDescent="0.3">
      <c r="A162" s="1" t="s">
        <v>6174</v>
      </c>
    </row>
    <row r="163" spans="1:3" x14ac:dyDescent="0.3">
      <c r="A163" s="408" t="s">
        <v>6175</v>
      </c>
      <c r="B163" s="408" t="s">
        <v>3375</v>
      </c>
      <c r="C163" s="408" t="s">
        <v>3376</v>
      </c>
    </row>
    <row r="164" spans="1:3" x14ac:dyDescent="0.3">
      <c r="A164" t="s">
        <v>6176</v>
      </c>
      <c r="B164" t="s">
        <v>6177</v>
      </c>
      <c r="C164" t="s">
        <v>6178</v>
      </c>
    </row>
    <row r="165" spans="1:3" x14ac:dyDescent="0.3">
      <c r="A165" t="s">
        <v>6179</v>
      </c>
      <c r="B165" t="s">
        <v>6180</v>
      </c>
      <c r="C165" t="s">
        <v>6178</v>
      </c>
    </row>
    <row r="166" spans="1:3" x14ac:dyDescent="0.3">
      <c r="A166" t="s">
        <v>6181</v>
      </c>
      <c r="B166" t="s">
        <v>6182</v>
      </c>
      <c r="C166" t="s">
        <v>6178</v>
      </c>
    </row>
    <row r="167" spans="1:3" x14ac:dyDescent="0.3">
      <c r="A167" t="s">
        <v>6183</v>
      </c>
      <c r="B167" t="s">
        <v>6184</v>
      </c>
      <c r="C167" t="s">
        <v>6185</v>
      </c>
    </row>
    <row r="168" spans="1:3" x14ac:dyDescent="0.3">
      <c r="A168" t="s">
        <v>6186</v>
      </c>
      <c r="B168" t="s">
        <v>6187</v>
      </c>
      <c r="C168" t="s">
        <v>6178</v>
      </c>
    </row>
    <row r="169" spans="1:3" x14ac:dyDescent="0.3">
      <c r="A169" t="s">
        <v>6188</v>
      </c>
      <c r="B169" t="s">
        <v>6189</v>
      </c>
      <c r="C169" t="s">
        <v>6190</v>
      </c>
    </row>
    <row r="170" spans="1:3" x14ac:dyDescent="0.3">
      <c r="A170" t="s">
        <v>6191</v>
      </c>
      <c r="B170" t="s">
        <v>6192</v>
      </c>
      <c r="C170" t="s">
        <v>6193</v>
      </c>
    </row>
    <row r="171" spans="1:3" x14ac:dyDescent="0.3">
      <c r="A171" t="s">
        <v>6194</v>
      </c>
      <c r="B171" t="s">
        <v>6195</v>
      </c>
      <c r="C171" t="s">
        <v>6185</v>
      </c>
    </row>
    <row r="172" spans="1:3" x14ac:dyDescent="0.3">
      <c r="A172" t="s">
        <v>6196</v>
      </c>
      <c r="B172" t="s">
        <v>6197</v>
      </c>
      <c r="C172" t="s">
        <v>6178</v>
      </c>
    </row>
    <row r="173" spans="1:3" x14ac:dyDescent="0.3">
      <c r="A173" t="s">
        <v>6198</v>
      </c>
      <c r="B173" t="s">
        <v>6199</v>
      </c>
      <c r="C173" t="s">
        <v>6200</v>
      </c>
    </row>
    <row r="178" spans="1:1" x14ac:dyDescent="0.3">
      <c r="A178" s="221" t="s">
        <v>6201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90069-453E-4E46-8B58-D34DCA346946}">
  <sheetPr>
    <tabColor theme="7"/>
  </sheetPr>
  <dimension ref="A1:D170"/>
  <sheetViews>
    <sheetView workbookViewId="0"/>
  </sheetViews>
  <sheetFormatPr defaultRowHeight="14.4" x14ac:dyDescent="0.3"/>
  <cols>
    <col min="1" max="1" width="33.33203125" customWidth="1"/>
    <col min="2" max="2" width="51.88671875" customWidth="1"/>
    <col min="3" max="3" width="37" customWidth="1"/>
    <col min="4" max="4" width="27.77734375" customWidth="1"/>
  </cols>
  <sheetData>
    <row r="1" spans="1:4" ht="21" x14ac:dyDescent="0.4">
      <c r="A1" s="410" t="s">
        <v>6202</v>
      </c>
    </row>
    <row r="2" spans="1:4" x14ac:dyDescent="0.3">
      <c r="A2" t="s">
        <v>5591</v>
      </c>
      <c r="B2" t="s">
        <v>5592</v>
      </c>
      <c r="C2" t="s">
        <v>5593</v>
      </c>
      <c r="D2" t="s">
        <v>5784</v>
      </c>
    </row>
    <row r="4" spans="1:4" x14ac:dyDescent="0.3">
      <c r="A4" s="1" t="s">
        <v>5296</v>
      </c>
    </row>
    <row r="5" spans="1:4" x14ac:dyDescent="0.3">
      <c r="A5" t="s">
        <v>6203</v>
      </c>
      <c r="B5" t="s">
        <v>5786</v>
      </c>
    </row>
    <row r="6" spans="1:4" x14ac:dyDescent="0.3">
      <c r="A6" t="s">
        <v>6204</v>
      </c>
      <c r="B6" t="s">
        <v>6205</v>
      </c>
    </row>
    <row r="7" spans="1:4" x14ac:dyDescent="0.3">
      <c r="A7" t="s">
        <v>6206</v>
      </c>
      <c r="B7" t="s">
        <v>5601</v>
      </c>
    </row>
    <row r="8" spans="1:4" x14ac:dyDescent="0.3">
      <c r="A8" t="s">
        <v>6207</v>
      </c>
      <c r="B8" t="s">
        <v>6208</v>
      </c>
    </row>
    <row r="9" spans="1:4" x14ac:dyDescent="0.3">
      <c r="A9" t="s">
        <v>6209</v>
      </c>
      <c r="B9" t="s">
        <v>6210</v>
      </c>
    </row>
    <row r="11" spans="1:4" ht="18" x14ac:dyDescent="0.35">
      <c r="A11" s="409" t="s">
        <v>6211</v>
      </c>
    </row>
    <row r="13" spans="1:4" x14ac:dyDescent="0.3">
      <c r="A13" s="1" t="s">
        <v>6212</v>
      </c>
    </row>
    <row r="14" spans="1:4" x14ac:dyDescent="0.3">
      <c r="A14" s="408" t="s">
        <v>5337</v>
      </c>
      <c r="B14" s="408" t="s">
        <v>1800</v>
      </c>
    </row>
    <row r="15" spans="1:4" x14ac:dyDescent="0.3">
      <c r="A15" t="s">
        <v>2737</v>
      </c>
      <c r="B15" t="s">
        <v>6213</v>
      </c>
    </row>
    <row r="16" spans="1:4" x14ac:dyDescent="0.3">
      <c r="A16" t="s">
        <v>6214</v>
      </c>
      <c r="B16" t="s">
        <v>6215</v>
      </c>
    </row>
    <row r="17" spans="1:4" x14ac:dyDescent="0.3">
      <c r="A17" t="s">
        <v>6216</v>
      </c>
      <c r="B17" t="s">
        <v>6217</v>
      </c>
    </row>
    <row r="18" spans="1:4" x14ac:dyDescent="0.3">
      <c r="A18" t="s">
        <v>5366</v>
      </c>
      <c r="B18" t="s">
        <v>6218</v>
      </c>
    </row>
    <row r="19" spans="1:4" x14ac:dyDescent="0.3">
      <c r="A19" t="s">
        <v>6219</v>
      </c>
      <c r="B19" t="s">
        <v>6220</v>
      </c>
    </row>
    <row r="20" spans="1:4" x14ac:dyDescent="0.3">
      <c r="A20" t="s">
        <v>6221</v>
      </c>
      <c r="B20" t="s">
        <v>6222</v>
      </c>
    </row>
    <row r="21" spans="1:4" x14ac:dyDescent="0.3">
      <c r="A21" t="s">
        <v>6223</v>
      </c>
      <c r="B21" t="s">
        <v>6224</v>
      </c>
    </row>
    <row r="24" spans="1:4" x14ac:dyDescent="0.3">
      <c r="A24" s="1" t="s">
        <v>6225</v>
      </c>
    </row>
    <row r="25" spans="1:4" x14ac:dyDescent="0.3">
      <c r="A25" s="408" t="s">
        <v>2737</v>
      </c>
      <c r="B25" s="408" t="s">
        <v>3042</v>
      </c>
      <c r="C25" s="408" t="s">
        <v>3191</v>
      </c>
      <c r="D25" s="408" t="s">
        <v>3147</v>
      </c>
    </row>
    <row r="26" spans="1:4" x14ac:dyDescent="0.3">
      <c r="A26" t="s">
        <v>6226</v>
      </c>
      <c r="B26" t="s">
        <v>6227</v>
      </c>
      <c r="C26" t="s">
        <v>5743</v>
      </c>
      <c r="D26" t="s">
        <v>6228</v>
      </c>
    </row>
    <row r="27" spans="1:4" x14ac:dyDescent="0.3">
      <c r="A27" t="s">
        <v>6229</v>
      </c>
      <c r="B27" t="s">
        <v>6230</v>
      </c>
      <c r="C27" t="s">
        <v>5745</v>
      </c>
      <c r="D27" t="s">
        <v>6231</v>
      </c>
    </row>
    <row r="28" spans="1:4" x14ac:dyDescent="0.3">
      <c r="A28" t="s">
        <v>6232</v>
      </c>
      <c r="B28" t="s">
        <v>6233</v>
      </c>
      <c r="C28" t="s">
        <v>5753</v>
      </c>
      <c r="D28" t="s">
        <v>6234</v>
      </c>
    </row>
    <row r="29" spans="1:4" x14ac:dyDescent="0.3">
      <c r="A29" t="s">
        <v>6235</v>
      </c>
      <c r="B29" t="s">
        <v>6236</v>
      </c>
      <c r="C29" t="s">
        <v>5749</v>
      </c>
      <c r="D29" t="s">
        <v>6237</v>
      </c>
    </row>
    <row r="30" spans="1:4" x14ac:dyDescent="0.3">
      <c r="A30" t="s">
        <v>6238</v>
      </c>
      <c r="B30" t="s">
        <v>6239</v>
      </c>
      <c r="C30" t="s">
        <v>5755</v>
      </c>
      <c r="D30" t="s">
        <v>6240</v>
      </c>
    </row>
    <row r="33" spans="1:4" x14ac:dyDescent="0.3">
      <c r="A33" s="1" t="s">
        <v>6241</v>
      </c>
    </row>
    <row r="34" spans="1:4" x14ac:dyDescent="0.3">
      <c r="A34" s="408" t="s">
        <v>2700</v>
      </c>
      <c r="B34" s="408" t="s">
        <v>2701</v>
      </c>
      <c r="C34" s="408" t="s">
        <v>6242</v>
      </c>
    </row>
    <row r="35" spans="1:4" x14ac:dyDescent="0.3">
      <c r="A35" t="s">
        <v>6243</v>
      </c>
      <c r="B35" s="57">
        <v>0.25</v>
      </c>
      <c r="C35" t="s">
        <v>6244</v>
      </c>
    </row>
    <row r="36" spans="1:4" x14ac:dyDescent="0.3">
      <c r="A36" t="s">
        <v>6245</v>
      </c>
      <c r="B36" s="57">
        <v>0.2</v>
      </c>
      <c r="C36" t="s">
        <v>6246</v>
      </c>
    </row>
    <row r="37" spans="1:4" x14ac:dyDescent="0.3">
      <c r="A37" t="s">
        <v>6247</v>
      </c>
      <c r="B37" s="57">
        <v>0.15</v>
      </c>
      <c r="C37" t="s">
        <v>6248</v>
      </c>
    </row>
    <row r="38" spans="1:4" x14ac:dyDescent="0.3">
      <c r="A38" t="s">
        <v>6249</v>
      </c>
      <c r="B38" s="57">
        <v>0.2</v>
      </c>
      <c r="C38" t="s">
        <v>6250</v>
      </c>
    </row>
    <row r="39" spans="1:4" x14ac:dyDescent="0.3">
      <c r="A39" t="s">
        <v>6251</v>
      </c>
      <c r="B39" s="57">
        <v>0.1</v>
      </c>
      <c r="C39" t="s">
        <v>6252</v>
      </c>
    </row>
    <row r="40" spans="1:4" x14ac:dyDescent="0.3">
      <c r="A40" t="s">
        <v>3336</v>
      </c>
      <c r="B40" s="57">
        <v>0.1</v>
      </c>
      <c r="C40" t="s">
        <v>6253</v>
      </c>
    </row>
    <row r="45" spans="1:4" ht="18" x14ac:dyDescent="0.35">
      <c r="A45" s="409" t="s">
        <v>6254</v>
      </c>
    </row>
    <row r="47" spans="1:4" x14ac:dyDescent="0.3">
      <c r="A47" s="1" t="s">
        <v>6255</v>
      </c>
    </row>
    <row r="48" spans="1:4" x14ac:dyDescent="0.3">
      <c r="A48" s="408" t="s">
        <v>2782</v>
      </c>
      <c r="B48" s="408" t="s">
        <v>6256</v>
      </c>
      <c r="C48" s="408" t="s">
        <v>6257</v>
      </c>
      <c r="D48" s="408" t="s">
        <v>2786</v>
      </c>
    </row>
    <row r="49" spans="1:4" x14ac:dyDescent="0.3">
      <c r="A49" t="s">
        <v>105</v>
      </c>
      <c r="B49" t="s">
        <v>6258</v>
      </c>
      <c r="C49" t="s">
        <v>6259</v>
      </c>
      <c r="D49" s="57">
        <v>0.08</v>
      </c>
    </row>
    <row r="50" spans="1:4" x14ac:dyDescent="0.3">
      <c r="A50" t="s">
        <v>2996</v>
      </c>
      <c r="B50" t="s">
        <v>6260</v>
      </c>
      <c r="C50" t="s">
        <v>6261</v>
      </c>
      <c r="D50" s="57">
        <v>7.0000000000000007E-2</v>
      </c>
    </row>
    <row r="51" spans="1:4" x14ac:dyDescent="0.3">
      <c r="A51" t="s">
        <v>6262</v>
      </c>
      <c r="B51" t="s">
        <v>6263</v>
      </c>
      <c r="C51" t="s">
        <v>6264</v>
      </c>
      <c r="D51" s="57">
        <v>0.05</v>
      </c>
    </row>
    <row r="52" spans="1:4" x14ac:dyDescent="0.3">
      <c r="A52" t="s">
        <v>6265</v>
      </c>
      <c r="B52" t="s">
        <v>6266</v>
      </c>
      <c r="C52" t="s">
        <v>6259</v>
      </c>
      <c r="D52" s="57">
        <v>0.05</v>
      </c>
    </row>
    <row r="55" spans="1:4" x14ac:dyDescent="0.3">
      <c r="A55" s="1" t="s">
        <v>6267</v>
      </c>
    </row>
    <row r="56" spans="1:4" x14ac:dyDescent="0.3">
      <c r="A56" s="408" t="s">
        <v>2782</v>
      </c>
      <c r="B56" s="408" t="s">
        <v>6256</v>
      </c>
      <c r="C56" s="408" t="s">
        <v>6257</v>
      </c>
      <c r="D56" s="408" t="s">
        <v>2786</v>
      </c>
    </row>
    <row r="57" spans="1:4" x14ac:dyDescent="0.3">
      <c r="A57" t="s">
        <v>6268</v>
      </c>
      <c r="B57" t="s">
        <v>6269</v>
      </c>
      <c r="C57" t="s">
        <v>6261</v>
      </c>
      <c r="D57" s="57">
        <v>7.0000000000000007E-2</v>
      </c>
    </row>
    <row r="58" spans="1:4" x14ac:dyDescent="0.3">
      <c r="A58" t="s">
        <v>6270</v>
      </c>
      <c r="B58" t="s">
        <v>6271</v>
      </c>
      <c r="C58" t="s">
        <v>6261</v>
      </c>
      <c r="D58" s="57">
        <v>0.06</v>
      </c>
    </row>
    <row r="59" spans="1:4" x14ac:dyDescent="0.3">
      <c r="A59" t="s">
        <v>6272</v>
      </c>
      <c r="B59" t="s">
        <v>6273</v>
      </c>
      <c r="C59" t="s">
        <v>6264</v>
      </c>
      <c r="D59" s="57">
        <v>0.04</v>
      </c>
    </row>
    <row r="60" spans="1:4" x14ac:dyDescent="0.3">
      <c r="A60" t="s">
        <v>5273</v>
      </c>
      <c r="B60" t="s">
        <v>6274</v>
      </c>
      <c r="C60" t="s">
        <v>6261</v>
      </c>
      <c r="D60" s="57">
        <v>0.03</v>
      </c>
    </row>
    <row r="63" spans="1:4" x14ac:dyDescent="0.3">
      <c r="A63" s="1" t="s">
        <v>6275</v>
      </c>
    </row>
    <row r="64" spans="1:4" x14ac:dyDescent="0.3">
      <c r="A64" s="408" t="s">
        <v>2782</v>
      </c>
      <c r="B64" s="408" t="s">
        <v>6256</v>
      </c>
      <c r="C64" s="408" t="s">
        <v>6257</v>
      </c>
      <c r="D64" s="408" t="s">
        <v>2786</v>
      </c>
    </row>
    <row r="65" spans="1:4" x14ac:dyDescent="0.3">
      <c r="A65" t="s">
        <v>6276</v>
      </c>
      <c r="B65" t="s">
        <v>6277</v>
      </c>
      <c r="C65" t="s">
        <v>6264</v>
      </c>
      <c r="D65" s="57">
        <v>0.05</v>
      </c>
    </row>
    <row r="66" spans="1:4" x14ac:dyDescent="0.3">
      <c r="A66" t="s">
        <v>6278</v>
      </c>
      <c r="B66" t="s">
        <v>6279</v>
      </c>
      <c r="C66" t="s">
        <v>6261</v>
      </c>
      <c r="D66" s="57">
        <v>0.05</v>
      </c>
    </row>
    <row r="67" spans="1:4" x14ac:dyDescent="0.3">
      <c r="A67" t="s">
        <v>6280</v>
      </c>
      <c r="B67" t="s">
        <v>6281</v>
      </c>
      <c r="C67" t="s">
        <v>6261</v>
      </c>
      <c r="D67" s="57">
        <v>0.05</v>
      </c>
    </row>
    <row r="70" spans="1:4" x14ac:dyDescent="0.3">
      <c r="A70" s="1" t="s">
        <v>6282</v>
      </c>
    </row>
    <row r="71" spans="1:4" x14ac:dyDescent="0.3">
      <c r="A71" s="408" t="s">
        <v>2782</v>
      </c>
      <c r="B71" s="408" t="s">
        <v>6256</v>
      </c>
      <c r="C71" s="408" t="s">
        <v>6257</v>
      </c>
      <c r="D71" s="408" t="s">
        <v>2786</v>
      </c>
    </row>
    <row r="72" spans="1:4" x14ac:dyDescent="0.3">
      <c r="A72" t="s">
        <v>2993</v>
      </c>
      <c r="B72" t="s">
        <v>6283</v>
      </c>
      <c r="C72" t="s">
        <v>6261</v>
      </c>
      <c r="D72" s="57">
        <v>0.06</v>
      </c>
    </row>
    <row r="73" spans="1:4" x14ac:dyDescent="0.3">
      <c r="A73" t="s">
        <v>6284</v>
      </c>
      <c r="B73" t="s">
        <v>6285</v>
      </c>
      <c r="C73" t="s">
        <v>6286</v>
      </c>
      <c r="D73" s="57">
        <v>0.05</v>
      </c>
    </row>
    <row r="74" spans="1:4" x14ac:dyDescent="0.3">
      <c r="A74" t="s">
        <v>6287</v>
      </c>
      <c r="B74" t="s">
        <v>6288</v>
      </c>
      <c r="C74" t="s">
        <v>6264</v>
      </c>
      <c r="D74" s="57">
        <v>0.05</v>
      </c>
    </row>
    <row r="75" spans="1:4" x14ac:dyDescent="0.3">
      <c r="A75" t="s">
        <v>6289</v>
      </c>
      <c r="B75" t="s">
        <v>6290</v>
      </c>
      <c r="C75" t="s">
        <v>6261</v>
      </c>
      <c r="D75" s="57">
        <v>0.04</v>
      </c>
    </row>
    <row r="78" spans="1:4" x14ac:dyDescent="0.3">
      <c r="A78" s="1" t="s">
        <v>6291</v>
      </c>
    </row>
    <row r="79" spans="1:4" x14ac:dyDescent="0.3">
      <c r="A79" s="408" t="s">
        <v>2782</v>
      </c>
      <c r="B79" s="408" t="s">
        <v>6256</v>
      </c>
      <c r="C79" s="408" t="s">
        <v>6257</v>
      </c>
      <c r="D79" s="408" t="s">
        <v>2786</v>
      </c>
    </row>
    <row r="80" spans="1:4" x14ac:dyDescent="0.3">
      <c r="A80" t="s">
        <v>6292</v>
      </c>
      <c r="B80" t="s">
        <v>6293</v>
      </c>
      <c r="C80" t="s">
        <v>6264</v>
      </c>
      <c r="D80" s="57">
        <v>0.05</v>
      </c>
    </row>
    <row r="81" spans="1:4" x14ac:dyDescent="0.3">
      <c r="A81" t="s">
        <v>6294</v>
      </c>
      <c r="B81" t="s">
        <v>6295</v>
      </c>
      <c r="C81" t="s">
        <v>6296</v>
      </c>
      <c r="D81" s="57">
        <v>0.05</v>
      </c>
    </row>
    <row r="84" spans="1:4" x14ac:dyDescent="0.3">
      <c r="A84" s="1" t="s">
        <v>6297</v>
      </c>
    </row>
    <row r="85" spans="1:4" x14ac:dyDescent="0.3">
      <c r="A85" s="408" t="s">
        <v>2782</v>
      </c>
      <c r="B85" s="408" t="s">
        <v>6256</v>
      </c>
      <c r="C85" s="408" t="s">
        <v>6257</v>
      </c>
      <c r="D85" s="408" t="s">
        <v>2786</v>
      </c>
    </row>
    <row r="86" spans="1:4" x14ac:dyDescent="0.3">
      <c r="A86" t="s">
        <v>2941</v>
      </c>
      <c r="B86" t="s">
        <v>6271</v>
      </c>
      <c r="C86" t="s">
        <v>6261</v>
      </c>
      <c r="D86" s="57">
        <v>0.04</v>
      </c>
    </row>
    <row r="87" spans="1:4" x14ac:dyDescent="0.3">
      <c r="A87" t="s">
        <v>6298</v>
      </c>
      <c r="B87" t="s">
        <v>6299</v>
      </c>
      <c r="C87" t="s">
        <v>6261</v>
      </c>
      <c r="D87" s="57">
        <v>0.03</v>
      </c>
    </row>
    <row r="88" spans="1:4" x14ac:dyDescent="0.3">
      <c r="A88" t="s">
        <v>6300</v>
      </c>
      <c r="B88" t="s">
        <v>6301</v>
      </c>
      <c r="C88" t="s">
        <v>6264</v>
      </c>
      <c r="D88" s="57">
        <v>0.03</v>
      </c>
    </row>
    <row r="95" spans="1:4" ht="18" x14ac:dyDescent="0.35">
      <c r="A95" s="409" t="s">
        <v>6302</v>
      </c>
    </row>
    <row r="97" spans="1:4" x14ac:dyDescent="0.3">
      <c r="A97" s="1" t="s">
        <v>6303</v>
      </c>
    </row>
    <row r="98" spans="1:4" x14ac:dyDescent="0.3">
      <c r="A98" s="408" t="s">
        <v>5313</v>
      </c>
      <c r="B98" s="408" t="s">
        <v>5338</v>
      </c>
      <c r="C98" s="408" t="s">
        <v>5957</v>
      </c>
    </row>
    <row r="99" spans="1:4" x14ac:dyDescent="0.3">
      <c r="A99" t="s">
        <v>6304</v>
      </c>
      <c r="B99" t="s">
        <v>6305</v>
      </c>
      <c r="C99" t="s">
        <v>6306</v>
      </c>
    </row>
    <row r="100" spans="1:4" x14ac:dyDescent="0.3">
      <c r="A100" t="s">
        <v>6307</v>
      </c>
      <c r="B100" t="s">
        <v>6308</v>
      </c>
      <c r="C100" t="s">
        <v>6309</v>
      </c>
    </row>
    <row r="101" spans="1:4" x14ac:dyDescent="0.3">
      <c r="A101" t="s">
        <v>6310</v>
      </c>
      <c r="B101" t="s">
        <v>6311</v>
      </c>
      <c r="C101" t="s">
        <v>6312</v>
      </c>
    </row>
    <row r="102" spans="1:4" x14ac:dyDescent="0.3">
      <c r="A102" t="s">
        <v>6313</v>
      </c>
      <c r="B102" t="s">
        <v>6314</v>
      </c>
      <c r="C102" t="s">
        <v>6315</v>
      </c>
    </row>
    <row r="103" spans="1:4" x14ac:dyDescent="0.3">
      <c r="A103" t="s">
        <v>6316</v>
      </c>
      <c r="B103" t="s">
        <v>6317</v>
      </c>
      <c r="C103" t="s">
        <v>6318</v>
      </c>
    </row>
    <row r="104" spans="1:4" x14ac:dyDescent="0.3">
      <c r="A104" t="s">
        <v>6319</v>
      </c>
      <c r="B104" t="s">
        <v>6320</v>
      </c>
      <c r="C104" t="s">
        <v>6321</v>
      </c>
    </row>
    <row r="105" spans="1:4" x14ac:dyDescent="0.3">
      <c r="A105" t="s">
        <v>6322</v>
      </c>
      <c r="B105" t="s">
        <v>6323</v>
      </c>
      <c r="C105" t="s">
        <v>6324</v>
      </c>
    </row>
    <row r="106" spans="1:4" x14ac:dyDescent="0.3">
      <c r="A106" t="s">
        <v>3843</v>
      </c>
      <c r="B106" t="s">
        <v>6325</v>
      </c>
      <c r="C106" t="s">
        <v>6326</v>
      </c>
    </row>
    <row r="109" spans="1:4" x14ac:dyDescent="0.3">
      <c r="A109" s="1" t="s">
        <v>6327</v>
      </c>
    </row>
    <row r="110" spans="1:4" x14ac:dyDescent="0.3">
      <c r="A110" s="408" t="s">
        <v>2269</v>
      </c>
      <c r="B110" s="408" t="s">
        <v>383</v>
      </c>
      <c r="C110" s="408" t="s">
        <v>5364</v>
      </c>
      <c r="D110" s="408" t="s">
        <v>1919</v>
      </c>
    </row>
    <row r="111" spans="1:4" x14ac:dyDescent="0.3">
      <c r="A111" t="s">
        <v>103</v>
      </c>
      <c r="B111" t="s">
        <v>6003</v>
      </c>
      <c r="C111" t="s">
        <v>3219</v>
      </c>
      <c r="D111" t="s">
        <v>6328</v>
      </c>
    </row>
    <row r="112" spans="1:4" x14ac:dyDescent="0.3">
      <c r="A112" t="s">
        <v>104</v>
      </c>
      <c r="B112" t="s">
        <v>6006</v>
      </c>
      <c r="C112" t="s">
        <v>3219</v>
      </c>
      <c r="D112" t="s">
        <v>6329</v>
      </c>
    </row>
    <row r="113" spans="1:4" x14ac:dyDescent="0.3">
      <c r="A113" t="s">
        <v>2330</v>
      </c>
      <c r="B113" t="s">
        <v>6330</v>
      </c>
      <c r="C113" t="s">
        <v>3219</v>
      </c>
      <c r="D113" t="s">
        <v>6331</v>
      </c>
    </row>
    <row r="114" spans="1:4" x14ac:dyDescent="0.3">
      <c r="A114" t="s">
        <v>2738</v>
      </c>
      <c r="B114" t="s">
        <v>6008</v>
      </c>
      <c r="C114" t="s">
        <v>3219</v>
      </c>
      <c r="D114" t="s">
        <v>6332</v>
      </c>
    </row>
    <row r="115" spans="1:4" x14ac:dyDescent="0.3">
      <c r="A115" t="s">
        <v>6333</v>
      </c>
      <c r="B115" t="s">
        <v>6006</v>
      </c>
      <c r="C115" t="s">
        <v>3219</v>
      </c>
      <c r="D115" t="s">
        <v>6334</v>
      </c>
    </row>
    <row r="116" spans="1:4" x14ac:dyDescent="0.3">
      <c r="A116" t="s">
        <v>1</v>
      </c>
      <c r="B116" t="s">
        <v>6006</v>
      </c>
      <c r="C116" t="s">
        <v>3219</v>
      </c>
      <c r="D116" t="s">
        <v>6007</v>
      </c>
    </row>
    <row r="117" spans="1:4" x14ac:dyDescent="0.3">
      <c r="A117" t="s">
        <v>6335</v>
      </c>
      <c r="B117" t="s">
        <v>2059</v>
      </c>
      <c r="C117" t="s">
        <v>3219</v>
      </c>
      <c r="D117" t="s">
        <v>6336</v>
      </c>
    </row>
    <row r="118" spans="1:4" x14ac:dyDescent="0.3">
      <c r="A118" t="s">
        <v>6337</v>
      </c>
      <c r="B118" t="s">
        <v>6338</v>
      </c>
      <c r="C118" t="s">
        <v>3219</v>
      </c>
      <c r="D118" t="s">
        <v>6339</v>
      </c>
    </row>
    <row r="119" spans="1:4" x14ac:dyDescent="0.3">
      <c r="A119" t="s">
        <v>4195</v>
      </c>
      <c r="B119" t="s">
        <v>5655</v>
      </c>
      <c r="C119" t="s">
        <v>3219</v>
      </c>
      <c r="D119" t="s">
        <v>6340</v>
      </c>
    </row>
    <row r="120" spans="1:4" x14ac:dyDescent="0.3">
      <c r="A120" t="s">
        <v>5367</v>
      </c>
      <c r="B120" t="s">
        <v>5767</v>
      </c>
      <c r="C120" t="s">
        <v>2800</v>
      </c>
      <c r="D120" t="s">
        <v>6341</v>
      </c>
    </row>
    <row r="130" spans="1:3" ht="18" x14ac:dyDescent="0.35">
      <c r="A130" s="409" t="s">
        <v>6342</v>
      </c>
    </row>
    <row r="132" spans="1:3" x14ac:dyDescent="0.3">
      <c r="A132" s="1" t="s">
        <v>6343</v>
      </c>
    </row>
    <row r="133" spans="1:3" x14ac:dyDescent="0.3">
      <c r="A133" s="408" t="s">
        <v>2739</v>
      </c>
      <c r="B133" s="408" t="s">
        <v>5536</v>
      </c>
      <c r="C133" s="408" t="s">
        <v>1919</v>
      </c>
    </row>
    <row r="134" spans="1:3" x14ac:dyDescent="0.3">
      <c r="A134" t="s">
        <v>6344</v>
      </c>
      <c r="B134" t="s">
        <v>6345</v>
      </c>
      <c r="C134" t="s">
        <v>6346</v>
      </c>
    </row>
    <row r="135" spans="1:3" x14ac:dyDescent="0.3">
      <c r="A135" t="s">
        <v>6347</v>
      </c>
      <c r="B135" t="s">
        <v>6348</v>
      </c>
      <c r="C135" t="s">
        <v>6349</v>
      </c>
    </row>
    <row r="136" spans="1:3" x14ac:dyDescent="0.3">
      <c r="A136" t="s">
        <v>6160</v>
      </c>
      <c r="B136" t="s">
        <v>5891</v>
      </c>
      <c r="C136" t="s">
        <v>6350</v>
      </c>
    </row>
    <row r="137" spans="1:3" x14ac:dyDescent="0.3">
      <c r="A137" t="s">
        <v>6351</v>
      </c>
      <c r="B137" t="s">
        <v>945</v>
      </c>
      <c r="C137" t="s">
        <v>6352</v>
      </c>
    </row>
    <row r="138" spans="1:3" x14ac:dyDescent="0.3">
      <c r="A138" t="s">
        <v>6353</v>
      </c>
      <c r="B138" t="s">
        <v>6345</v>
      </c>
      <c r="C138" t="s">
        <v>6354</v>
      </c>
    </row>
    <row r="139" spans="1:3" x14ac:dyDescent="0.3">
      <c r="A139" t="s">
        <v>6355</v>
      </c>
      <c r="B139" t="s">
        <v>6345</v>
      </c>
      <c r="C139" t="s">
        <v>6356</v>
      </c>
    </row>
    <row r="140" spans="1:3" x14ac:dyDescent="0.3">
      <c r="A140" t="s">
        <v>6357</v>
      </c>
      <c r="B140" t="s">
        <v>6345</v>
      </c>
      <c r="C140" t="s">
        <v>6358</v>
      </c>
    </row>
    <row r="141" spans="1:3" x14ac:dyDescent="0.3">
      <c r="A141" t="s">
        <v>6359</v>
      </c>
      <c r="B141" t="s">
        <v>6345</v>
      </c>
      <c r="C141" t="s">
        <v>6360</v>
      </c>
    </row>
    <row r="142" spans="1:3" x14ac:dyDescent="0.3">
      <c r="A142" t="s">
        <v>6361</v>
      </c>
      <c r="B142" t="s">
        <v>6345</v>
      </c>
      <c r="C142" t="s">
        <v>6362</v>
      </c>
    </row>
    <row r="143" spans="1:3" x14ac:dyDescent="0.3">
      <c r="A143" t="s">
        <v>6363</v>
      </c>
      <c r="B143" t="s">
        <v>6364</v>
      </c>
      <c r="C143" t="s">
        <v>6365</v>
      </c>
    </row>
    <row r="155" spans="1:3" ht="18" x14ac:dyDescent="0.35">
      <c r="A155" s="409" t="s">
        <v>6366</v>
      </c>
    </row>
    <row r="157" spans="1:3" x14ac:dyDescent="0.3">
      <c r="A157" s="1" t="s">
        <v>6367</v>
      </c>
    </row>
    <row r="158" spans="1:3" x14ac:dyDescent="0.3">
      <c r="A158" s="408" t="s">
        <v>3374</v>
      </c>
      <c r="B158" s="408" t="s">
        <v>3375</v>
      </c>
      <c r="C158" s="408" t="s">
        <v>3376</v>
      </c>
    </row>
    <row r="159" spans="1:3" x14ac:dyDescent="0.3">
      <c r="A159" t="s">
        <v>6368</v>
      </c>
      <c r="B159" t="s">
        <v>6369</v>
      </c>
      <c r="C159" t="s">
        <v>6178</v>
      </c>
    </row>
    <row r="160" spans="1:3" x14ac:dyDescent="0.3">
      <c r="A160" t="s">
        <v>6370</v>
      </c>
      <c r="B160" t="s">
        <v>6371</v>
      </c>
      <c r="C160" t="s">
        <v>6372</v>
      </c>
    </row>
    <row r="161" spans="1:3" x14ac:dyDescent="0.3">
      <c r="A161" t="s">
        <v>6373</v>
      </c>
      <c r="B161" t="s">
        <v>5891</v>
      </c>
      <c r="C161" t="s">
        <v>6374</v>
      </c>
    </row>
    <row r="162" spans="1:3" x14ac:dyDescent="0.3">
      <c r="A162" t="s">
        <v>6375</v>
      </c>
      <c r="B162" t="s">
        <v>3386</v>
      </c>
      <c r="C162" t="s">
        <v>6376</v>
      </c>
    </row>
    <row r="163" spans="1:3" x14ac:dyDescent="0.3">
      <c r="A163" t="s">
        <v>6377</v>
      </c>
      <c r="B163" t="s">
        <v>6378</v>
      </c>
      <c r="C163" t="s">
        <v>6379</v>
      </c>
    </row>
    <row r="164" spans="1:3" x14ac:dyDescent="0.3">
      <c r="A164" t="s">
        <v>6380</v>
      </c>
      <c r="B164" t="s">
        <v>6369</v>
      </c>
      <c r="C164" t="s">
        <v>6190</v>
      </c>
    </row>
    <row r="165" spans="1:3" x14ac:dyDescent="0.3">
      <c r="A165" t="s">
        <v>6381</v>
      </c>
      <c r="B165" t="s">
        <v>6382</v>
      </c>
      <c r="C165" t="s">
        <v>6383</v>
      </c>
    </row>
    <row r="166" spans="1:3" x14ac:dyDescent="0.3">
      <c r="A166" t="s">
        <v>6384</v>
      </c>
      <c r="B166" t="s">
        <v>5891</v>
      </c>
      <c r="C166" t="s">
        <v>6385</v>
      </c>
    </row>
    <row r="170" spans="1:3" x14ac:dyDescent="0.3">
      <c r="A170" s="221" t="s">
        <v>6386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CACEC-82F6-413A-B816-CAEDB92E4A6B}">
  <sheetPr>
    <tabColor theme="7"/>
  </sheetPr>
  <dimension ref="A1:D60"/>
  <sheetViews>
    <sheetView workbookViewId="0"/>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410" t="s">
        <v>6387</v>
      </c>
    </row>
    <row r="2" spans="1:4" x14ac:dyDescent="0.3">
      <c r="A2" t="s">
        <v>5591</v>
      </c>
      <c r="B2" t="s">
        <v>5592</v>
      </c>
      <c r="C2" t="s">
        <v>5593</v>
      </c>
      <c r="D2" t="s">
        <v>6388</v>
      </c>
    </row>
    <row r="5" spans="1:4" ht="18" x14ac:dyDescent="0.35">
      <c r="A5" s="409" t="s">
        <v>6389</v>
      </c>
    </row>
    <row r="7" spans="1:4" x14ac:dyDescent="0.3">
      <c r="A7" s="1" t="s">
        <v>6390</v>
      </c>
    </row>
    <row r="8" spans="1:4" x14ac:dyDescent="0.3">
      <c r="A8" s="408" t="s">
        <v>2269</v>
      </c>
      <c r="B8" s="408" t="s">
        <v>383</v>
      </c>
      <c r="C8" s="408" t="s">
        <v>5364</v>
      </c>
      <c r="D8" s="408" t="s">
        <v>1919</v>
      </c>
    </row>
    <row r="9" spans="1:4" x14ac:dyDescent="0.3">
      <c r="A9" t="s">
        <v>2275</v>
      </c>
      <c r="B9" t="s">
        <v>6003</v>
      </c>
      <c r="C9" t="s">
        <v>3219</v>
      </c>
      <c r="D9" t="s">
        <v>6391</v>
      </c>
    </row>
    <row r="10" spans="1:4" x14ac:dyDescent="0.3">
      <c r="A10" t="s">
        <v>2277</v>
      </c>
      <c r="B10" t="s">
        <v>6392</v>
      </c>
      <c r="C10" t="s">
        <v>3219</v>
      </c>
      <c r="D10" t="s">
        <v>6393</v>
      </c>
    </row>
    <row r="11" spans="1:4" x14ac:dyDescent="0.3">
      <c r="A11" t="s">
        <v>2</v>
      </c>
      <c r="B11" t="s">
        <v>6006</v>
      </c>
      <c r="C11" t="s">
        <v>3219</v>
      </c>
      <c r="D11" t="s">
        <v>6394</v>
      </c>
    </row>
    <row r="12" spans="1:4" x14ac:dyDescent="0.3">
      <c r="A12" t="s">
        <v>487</v>
      </c>
      <c r="B12" t="s">
        <v>6006</v>
      </c>
      <c r="C12" t="s">
        <v>3219</v>
      </c>
      <c r="D12" t="s">
        <v>6395</v>
      </c>
    </row>
    <row r="13" spans="1:4" x14ac:dyDescent="0.3">
      <c r="A13" t="s">
        <v>5313</v>
      </c>
      <c r="B13" t="s">
        <v>6006</v>
      </c>
      <c r="C13" t="s">
        <v>3219</v>
      </c>
      <c r="D13" t="s">
        <v>6396</v>
      </c>
    </row>
    <row r="14" spans="1:4" x14ac:dyDescent="0.3">
      <c r="A14" t="s">
        <v>6397</v>
      </c>
      <c r="B14" t="s">
        <v>6008</v>
      </c>
      <c r="C14" t="s">
        <v>3219</v>
      </c>
      <c r="D14" t="s">
        <v>6398</v>
      </c>
    </row>
    <row r="15" spans="1:4" x14ac:dyDescent="0.3">
      <c r="A15" t="s">
        <v>2278</v>
      </c>
      <c r="B15" t="s">
        <v>6008</v>
      </c>
      <c r="C15" t="s">
        <v>3219</v>
      </c>
      <c r="D15" t="s">
        <v>6332</v>
      </c>
    </row>
    <row r="16" spans="1:4" x14ac:dyDescent="0.3">
      <c r="A16" t="s">
        <v>6399</v>
      </c>
      <c r="B16" t="s">
        <v>6400</v>
      </c>
      <c r="C16" t="s">
        <v>2800</v>
      </c>
      <c r="D16" t="s">
        <v>6401</v>
      </c>
    </row>
    <row r="17" spans="1:4" x14ac:dyDescent="0.3">
      <c r="A17" t="s">
        <v>6402</v>
      </c>
      <c r="B17" t="s">
        <v>6400</v>
      </c>
      <c r="C17" t="s">
        <v>2800</v>
      </c>
      <c r="D17" t="s">
        <v>6403</v>
      </c>
    </row>
    <row r="18" spans="1:4" x14ac:dyDescent="0.3">
      <c r="A18" t="s">
        <v>6404</v>
      </c>
      <c r="B18" t="s">
        <v>6006</v>
      </c>
      <c r="C18" t="s">
        <v>2800</v>
      </c>
      <c r="D18" t="s">
        <v>6405</v>
      </c>
    </row>
    <row r="19" spans="1:4" x14ac:dyDescent="0.3">
      <c r="A19" t="s">
        <v>112</v>
      </c>
      <c r="B19" t="s">
        <v>6008</v>
      </c>
      <c r="C19" t="s">
        <v>3219</v>
      </c>
      <c r="D19" t="s">
        <v>6406</v>
      </c>
    </row>
    <row r="20" spans="1:4" x14ac:dyDescent="0.3">
      <c r="A20" t="s">
        <v>3921</v>
      </c>
      <c r="B20" t="s">
        <v>6021</v>
      </c>
      <c r="C20" t="s">
        <v>3219</v>
      </c>
      <c r="D20" t="s">
        <v>6407</v>
      </c>
    </row>
    <row r="21" spans="1:4" x14ac:dyDescent="0.3">
      <c r="A21" t="s">
        <v>6408</v>
      </c>
      <c r="B21" t="s">
        <v>6392</v>
      </c>
      <c r="C21" t="s">
        <v>3219</v>
      </c>
      <c r="D21" t="s">
        <v>6409</v>
      </c>
    </row>
    <row r="22" spans="1:4" x14ac:dyDescent="0.3">
      <c r="A22" t="s">
        <v>5367</v>
      </c>
      <c r="B22" t="s">
        <v>5767</v>
      </c>
      <c r="C22" t="s">
        <v>2800</v>
      </c>
      <c r="D22" t="s">
        <v>6410</v>
      </c>
    </row>
    <row r="25" spans="1:4" x14ac:dyDescent="0.3">
      <c r="A25" s="1" t="s">
        <v>6411</v>
      </c>
    </row>
    <row r="26" spans="1:4" x14ac:dyDescent="0.3">
      <c r="A26" s="408" t="s">
        <v>2278</v>
      </c>
      <c r="B26" s="408" t="s">
        <v>3191</v>
      </c>
      <c r="C26" s="408" t="s">
        <v>6412</v>
      </c>
    </row>
    <row r="27" spans="1:4" x14ac:dyDescent="0.3">
      <c r="A27" t="s">
        <v>2166</v>
      </c>
      <c r="B27" t="s">
        <v>5749</v>
      </c>
      <c r="C27" t="s">
        <v>6413</v>
      </c>
    </row>
    <row r="28" spans="1:4" x14ac:dyDescent="0.3">
      <c r="A28" t="s">
        <v>128</v>
      </c>
      <c r="B28" t="s">
        <v>5753</v>
      </c>
      <c r="C28" t="s">
        <v>6414</v>
      </c>
    </row>
    <row r="29" spans="1:4" x14ac:dyDescent="0.3">
      <c r="A29" t="s">
        <v>127</v>
      </c>
      <c r="B29" t="s">
        <v>5745</v>
      </c>
      <c r="C29" t="s">
        <v>6415</v>
      </c>
    </row>
    <row r="30" spans="1:4" x14ac:dyDescent="0.3">
      <c r="A30" t="s">
        <v>118</v>
      </c>
      <c r="B30" t="s">
        <v>5743</v>
      </c>
      <c r="C30" t="s">
        <v>6416</v>
      </c>
    </row>
    <row r="33" spans="1:3" ht="18" x14ac:dyDescent="0.35">
      <c r="A33" s="409" t="s">
        <v>6417</v>
      </c>
    </row>
    <row r="35" spans="1:3" x14ac:dyDescent="0.3">
      <c r="A35" s="1" t="s">
        <v>6418</v>
      </c>
    </row>
    <row r="36" spans="1:3" x14ac:dyDescent="0.3">
      <c r="A36" s="408" t="s">
        <v>6419</v>
      </c>
      <c r="B36" s="408" t="s">
        <v>1919</v>
      </c>
    </row>
    <row r="37" spans="1:3" x14ac:dyDescent="0.3">
      <c r="A37" t="s">
        <v>6420</v>
      </c>
      <c r="B37" t="s">
        <v>6421</v>
      </c>
    </row>
    <row r="38" spans="1:3" x14ac:dyDescent="0.3">
      <c r="A38" t="s">
        <v>6422</v>
      </c>
      <c r="B38" t="s">
        <v>6423</v>
      </c>
    </row>
    <row r="39" spans="1:3" x14ac:dyDescent="0.3">
      <c r="A39" t="s">
        <v>6424</v>
      </c>
      <c r="B39" t="s">
        <v>6425</v>
      </c>
    </row>
    <row r="40" spans="1:3" x14ac:dyDescent="0.3">
      <c r="A40" t="s">
        <v>6426</v>
      </c>
      <c r="B40" t="s">
        <v>6427</v>
      </c>
    </row>
    <row r="41" spans="1:3" x14ac:dyDescent="0.3">
      <c r="A41" t="s">
        <v>6428</v>
      </c>
      <c r="B41" t="s">
        <v>6429</v>
      </c>
    </row>
    <row r="42" spans="1:3" x14ac:dyDescent="0.3">
      <c r="A42" t="s">
        <v>6430</v>
      </c>
      <c r="B42" t="s">
        <v>6431</v>
      </c>
    </row>
    <row r="45" spans="1:3" ht="18" x14ac:dyDescent="0.35">
      <c r="A45" s="409" t="s">
        <v>6432</v>
      </c>
    </row>
    <row r="47" spans="1:3" x14ac:dyDescent="0.3">
      <c r="A47" s="1" t="s">
        <v>6433</v>
      </c>
    </row>
    <row r="48" spans="1:3" x14ac:dyDescent="0.3">
      <c r="A48" s="408" t="s">
        <v>2739</v>
      </c>
      <c r="B48" s="408" t="s">
        <v>5536</v>
      </c>
      <c r="C48" s="408" t="s">
        <v>5914</v>
      </c>
    </row>
    <row r="49" spans="1:3" x14ac:dyDescent="0.3">
      <c r="A49" t="s">
        <v>6434</v>
      </c>
      <c r="B49" t="s">
        <v>945</v>
      </c>
      <c r="C49" t="s">
        <v>6435</v>
      </c>
    </row>
    <row r="50" spans="1:3" x14ac:dyDescent="0.3">
      <c r="A50" t="s">
        <v>6436</v>
      </c>
      <c r="B50" t="s">
        <v>5891</v>
      </c>
      <c r="C50" t="s">
        <v>6437</v>
      </c>
    </row>
    <row r="51" spans="1:3" x14ac:dyDescent="0.3">
      <c r="A51" t="s">
        <v>6438</v>
      </c>
      <c r="B51" t="s">
        <v>3444</v>
      </c>
      <c r="C51" t="s">
        <v>6439</v>
      </c>
    </row>
    <row r="52" spans="1:3" x14ac:dyDescent="0.3">
      <c r="A52" t="s">
        <v>6440</v>
      </c>
      <c r="B52" t="s">
        <v>945</v>
      </c>
      <c r="C52" t="s">
        <v>6441</v>
      </c>
    </row>
    <row r="53" spans="1:3" x14ac:dyDescent="0.3">
      <c r="A53" t="s">
        <v>6442</v>
      </c>
      <c r="B53" t="s">
        <v>945</v>
      </c>
      <c r="C53" t="s">
        <v>6443</v>
      </c>
    </row>
    <row r="54" spans="1:3" x14ac:dyDescent="0.3">
      <c r="A54" t="s">
        <v>2530</v>
      </c>
      <c r="B54" t="s">
        <v>3444</v>
      </c>
      <c r="C54" t="s">
        <v>6444</v>
      </c>
    </row>
    <row r="55" spans="1:3" x14ac:dyDescent="0.3">
      <c r="A55" t="s">
        <v>6445</v>
      </c>
      <c r="B55" t="s">
        <v>3444</v>
      </c>
      <c r="C55" t="s">
        <v>6446</v>
      </c>
    </row>
    <row r="56" spans="1:3" x14ac:dyDescent="0.3">
      <c r="A56" t="s">
        <v>6169</v>
      </c>
      <c r="B56" t="s">
        <v>3444</v>
      </c>
      <c r="C56" t="s">
        <v>6447</v>
      </c>
    </row>
    <row r="60" spans="1:3" x14ac:dyDescent="0.3">
      <c r="A60" s="221" t="s">
        <v>6448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65F2-116B-41E5-8546-6A310E5BCCA2}">
  <sheetPr>
    <tabColor theme="7"/>
  </sheetPr>
  <dimension ref="A1:D60"/>
  <sheetViews>
    <sheetView workbookViewId="0"/>
  </sheetViews>
  <sheetFormatPr defaultRowHeight="14.4" x14ac:dyDescent="0.3"/>
  <cols>
    <col min="1" max="1" width="27.77734375" customWidth="1"/>
    <col min="2" max="2" width="64.77734375" customWidth="1"/>
    <col min="3" max="3" width="46.33203125" customWidth="1"/>
    <col min="4" max="4" width="37" customWidth="1"/>
  </cols>
  <sheetData>
    <row r="1" spans="1:4" ht="21" x14ac:dyDescent="0.4">
      <c r="A1" s="410" t="s">
        <v>6449</v>
      </c>
    </row>
    <row r="2" spans="1:4" x14ac:dyDescent="0.3">
      <c r="A2" t="s">
        <v>5591</v>
      </c>
      <c r="B2" t="s">
        <v>5592</v>
      </c>
      <c r="C2" t="s">
        <v>5593</v>
      </c>
      <c r="D2" t="s">
        <v>6388</v>
      </c>
    </row>
    <row r="5" spans="1:4" ht="18" x14ac:dyDescent="0.35">
      <c r="A5" s="409" t="s">
        <v>6450</v>
      </c>
    </row>
    <row r="7" spans="1:4" x14ac:dyDescent="0.3">
      <c r="A7" s="1" t="s">
        <v>6390</v>
      </c>
    </row>
    <row r="8" spans="1:4" x14ac:dyDescent="0.3">
      <c r="A8" s="408" t="s">
        <v>2269</v>
      </c>
      <c r="B8" s="408" t="s">
        <v>383</v>
      </c>
      <c r="C8" s="408" t="s">
        <v>5364</v>
      </c>
      <c r="D8" s="408" t="s">
        <v>1919</v>
      </c>
    </row>
    <row r="9" spans="1:4" x14ac:dyDescent="0.3">
      <c r="A9" t="s">
        <v>6451</v>
      </c>
      <c r="B9" t="s">
        <v>6006</v>
      </c>
      <c r="C9" t="s">
        <v>3219</v>
      </c>
      <c r="D9" t="s">
        <v>6452</v>
      </c>
    </row>
    <row r="10" spans="1:4" x14ac:dyDescent="0.3">
      <c r="A10" t="s">
        <v>103</v>
      </c>
      <c r="B10" t="s">
        <v>6003</v>
      </c>
      <c r="C10" t="s">
        <v>3219</v>
      </c>
      <c r="D10" t="s">
        <v>6453</v>
      </c>
    </row>
    <row r="11" spans="1:4" x14ac:dyDescent="0.3">
      <c r="A11" t="s">
        <v>104</v>
      </c>
      <c r="B11" t="s">
        <v>6006</v>
      </c>
      <c r="C11" t="s">
        <v>3219</v>
      </c>
      <c r="D11" t="s">
        <v>6454</v>
      </c>
    </row>
    <row r="12" spans="1:4" x14ac:dyDescent="0.3">
      <c r="A12" t="s">
        <v>5056</v>
      </c>
      <c r="B12" t="s">
        <v>6003</v>
      </c>
      <c r="C12" t="s">
        <v>3219</v>
      </c>
      <c r="D12" t="s">
        <v>6455</v>
      </c>
    </row>
    <row r="13" spans="1:4" x14ac:dyDescent="0.3">
      <c r="A13" t="s">
        <v>2583</v>
      </c>
      <c r="B13" t="s">
        <v>6006</v>
      </c>
      <c r="C13" t="s">
        <v>3219</v>
      </c>
      <c r="D13" t="s">
        <v>6456</v>
      </c>
    </row>
    <row r="14" spans="1:4" x14ac:dyDescent="0.3">
      <c r="A14" t="s">
        <v>2584</v>
      </c>
      <c r="B14" t="s">
        <v>6008</v>
      </c>
      <c r="C14" t="s">
        <v>3219</v>
      </c>
      <c r="D14" t="s">
        <v>6457</v>
      </c>
    </row>
    <row r="15" spans="1:4" x14ac:dyDescent="0.3">
      <c r="A15" t="s">
        <v>112</v>
      </c>
      <c r="B15" t="s">
        <v>6008</v>
      </c>
      <c r="C15" t="s">
        <v>3219</v>
      </c>
      <c r="D15" t="s">
        <v>6458</v>
      </c>
    </row>
    <row r="16" spans="1:4" x14ac:dyDescent="0.3">
      <c r="A16" t="s">
        <v>2585</v>
      </c>
      <c r="B16" t="s">
        <v>6008</v>
      </c>
      <c r="C16" t="s">
        <v>3219</v>
      </c>
      <c r="D16" t="s">
        <v>6332</v>
      </c>
    </row>
    <row r="17" spans="1:4" x14ac:dyDescent="0.3">
      <c r="A17" t="s">
        <v>114</v>
      </c>
      <c r="B17" t="s">
        <v>6006</v>
      </c>
      <c r="C17" t="s">
        <v>2800</v>
      </c>
      <c r="D17" t="s">
        <v>6459</v>
      </c>
    </row>
    <row r="18" spans="1:4" x14ac:dyDescent="0.3">
      <c r="A18" t="s">
        <v>5367</v>
      </c>
      <c r="B18" t="s">
        <v>5767</v>
      </c>
      <c r="C18" t="s">
        <v>2800</v>
      </c>
      <c r="D18" t="s">
        <v>6460</v>
      </c>
    </row>
    <row r="21" spans="1:4" x14ac:dyDescent="0.3">
      <c r="A21" s="1" t="s">
        <v>6461</v>
      </c>
    </row>
    <row r="22" spans="1:4" x14ac:dyDescent="0.3">
      <c r="A22" s="408" t="s">
        <v>383</v>
      </c>
      <c r="B22" s="408" t="s">
        <v>3191</v>
      </c>
      <c r="C22" s="408" t="s">
        <v>5315</v>
      </c>
    </row>
    <row r="23" spans="1:4" x14ac:dyDescent="0.3">
      <c r="A23" t="s">
        <v>2587</v>
      </c>
      <c r="B23" t="s">
        <v>5749</v>
      </c>
      <c r="C23" t="s">
        <v>6462</v>
      </c>
    </row>
    <row r="24" spans="1:4" x14ac:dyDescent="0.3">
      <c r="A24" t="s">
        <v>2592</v>
      </c>
      <c r="B24" t="s">
        <v>5745</v>
      </c>
      <c r="C24" t="s">
        <v>6463</v>
      </c>
    </row>
    <row r="25" spans="1:4" x14ac:dyDescent="0.3">
      <c r="A25" t="s">
        <v>5728</v>
      </c>
      <c r="B25" t="s">
        <v>5751</v>
      </c>
      <c r="C25" t="s">
        <v>6464</v>
      </c>
    </row>
    <row r="28" spans="1:4" ht="18" x14ac:dyDescent="0.35">
      <c r="A28" s="409" t="s">
        <v>6465</v>
      </c>
    </row>
    <row r="30" spans="1:4" x14ac:dyDescent="0.3">
      <c r="A30" s="1" t="s">
        <v>6466</v>
      </c>
    </row>
    <row r="31" spans="1:4" x14ac:dyDescent="0.3">
      <c r="A31" s="408" t="s">
        <v>5535</v>
      </c>
      <c r="B31" s="408" t="s">
        <v>1919</v>
      </c>
    </row>
    <row r="32" spans="1:4" x14ac:dyDescent="0.3">
      <c r="A32" t="s">
        <v>5906</v>
      </c>
      <c r="B32" t="s">
        <v>6467</v>
      </c>
    </row>
    <row r="33" spans="1:2" x14ac:dyDescent="0.3">
      <c r="A33" t="s">
        <v>6468</v>
      </c>
      <c r="B33" t="s">
        <v>6469</v>
      </c>
    </row>
    <row r="34" spans="1:2" x14ac:dyDescent="0.3">
      <c r="A34" t="s">
        <v>6470</v>
      </c>
      <c r="B34" t="s">
        <v>6471</v>
      </c>
    </row>
    <row r="35" spans="1:2" x14ac:dyDescent="0.3">
      <c r="A35" t="s">
        <v>6472</v>
      </c>
      <c r="B35" t="s">
        <v>6473</v>
      </c>
    </row>
    <row r="36" spans="1:2" x14ac:dyDescent="0.3">
      <c r="A36" t="s">
        <v>6474</v>
      </c>
      <c r="B36" t="s">
        <v>6475</v>
      </c>
    </row>
    <row r="37" spans="1:2" x14ac:dyDescent="0.3">
      <c r="A37" t="s">
        <v>6476</v>
      </c>
      <c r="B37" t="s">
        <v>6477</v>
      </c>
    </row>
    <row r="38" spans="1:2" x14ac:dyDescent="0.3">
      <c r="A38" t="s">
        <v>6478</v>
      </c>
      <c r="B38" t="s">
        <v>6479</v>
      </c>
    </row>
    <row r="39" spans="1:2" x14ac:dyDescent="0.3">
      <c r="A39" t="s">
        <v>6480</v>
      </c>
      <c r="B39" t="s">
        <v>6481</v>
      </c>
    </row>
    <row r="40" spans="1:2" x14ac:dyDescent="0.3">
      <c r="A40" t="s">
        <v>6482</v>
      </c>
      <c r="B40" t="s">
        <v>6483</v>
      </c>
    </row>
    <row r="41" spans="1:2" x14ac:dyDescent="0.3">
      <c r="A41" t="s">
        <v>6484</v>
      </c>
      <c r="B41" t="s">
        <v>6485</v>
      </c>
    </row>
    <row r="44" spans="1:2" ht="18" x14ac:dyDescent="0.35">
      <c r="A44" s="409" t="s">
        <v>6486</v>
      </c>
    </row>
    <row r="46" spans="1:2" x14ac:dyDescent="0.3">
      <c r="A46" s="1" t="s">
        <v>6487</v>
      </c>
    </row>
    <row r="47" spans="1:2" x14ac:dyDescent="0.3">
      <c r="A47" s="408" t="s">
        <v>5535</v>
      </c>
      <c r="B47" s="408" t="s">
        <v>1919</v>
      </c>
    </row>
    <row r="48" spans="1:2" x14ac:dyDescent="0.3">
      <c r="A48" t="s">
        <v>6488</v>
      </c>
      <c r="B48" t="s">
        <v>6489</v>
      </c>
    </row>
    <row r="49" spans="1:2" x14ac:dyDescent="0.3">
      <c r="A49" t="s">
        <v>6490</v>
      </c>
      <c r="B49" t="s">
        <v>6491</v>
      </c>
    </row>
    <row r="50" spans="1:2" x14ac:dyDescent="0.3">
      <c r="A50" t="s">
        <v>6492</v>
      </c>
      <c r="B50" t="s">
        <v>6493</v>
      </c>
    </row>
    <row r="51" spans="1:2" x14ac:dyDescent="0.3">
      <c r="A51" t="s">
        <v>6494</v>
      </c>
      <c r="B51" t="s">
        <v>6495</v>
      </c>
    </row>
    <row r="52" spans="1:2" x14ac:dyDescent="0.3">
      <c r="A52" t="s">
        <v>6496</v>
      </c>
      <c r="B52" t="s">
        <v>6497</v>
      </c>
    </row>
    <row r="53" spans="1:2" x14ac:dyDescent="0.3">
      <c r="A53" t="s">
        <v>6498</v>
      </c>
      <c r="B53" t="s">
        <v>6499</v>
      </c>
    </row>
    <row r="54" spans="1:2" x14ac:dyDescent="0.3">
      <c r="A54" t="s">
        <v>6500</v>
      </c>
      <c r="B54" t="s">
        <v>6501</v>
      </c>
    </row>
    <row r="55" spans="1:2" x14ac:dyDescent="0.3">
      <c r="A55" t="s">
        <v>5810</v>
      </c>
      <c r="B55" t="s">
        <v>6502</v>
      </c>
    </row>
    <row r="60" spans="1:2" x14ac:dyDescent="0.3">
      <c r="A60" s="221" t="s">
        <v>6503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BDD98-0A87-4534-AEA7-E3E2035E07A8}">
  <sheetPr>
    <tabColor theme="7"/>
  </sheetPr>
  <dimension ref="A1:D65"/>
  <sheetViews>
    <sheetView workbookViewId="0"/>
  </sheetViews>
  <sheetFormatPr defaultRowHeight="14.4" x14ac:dyDescent="0.3"/>
  <cols>
    <col min="1" max="1" width="27.77734375" customWidth="1"/>
    <col min="2" max="2" width="51.88671875" customWidth="1"/>
    <col min="3" max="3" width="46.33203125" customWidth="1"/>
    <col min="4" max="4" width="37" customWidth="1"/>
  </cols>
  <sheetData>
    <row r="1" spans="1:4" ht="21" x14ac:dyDescent="0.4">
      <c r="A1" s="410" t="s">
        <v>6504</v>
      </c>
    </row>
    <row r="2" spans="1:4" x14ac:dyDescent="0.3">
      <c r="A2" t="s">
        <v>5591</v>
      </c>
      <c r="B2" t="s">
        <v>5592</v>
      </c>
      <c r="C2" t="s">
        <v>5593</v>
      </c>
      <c r="D2" t="s">
        <v>6388</v>
      </c>
    </row>
    <row r="5" spans="1:4" ht="18" x14ac:dyDescent="0.35">
      <c r="A5" s="409" t="s">
        <v>6505</v>
      </c>
    </row>
    <row r="7" spans="1:4" x14ac:dyDescent="0.3">
      <c r="A7" s="1" t="s">
        <v>6390</v>
      </c>
    </row>
    <row r="8" spans="1:4" x14ac:dyDescent="0.3">
      <c r="A8" s="408" t="s">
        <v>2269</v>
      </c>
      <c r="B8" s="408" t="s">
        <v>383</v>
      </c>
      <c r="C8" s="408" t="s">
        <v>5364</v>
      </c>
      <c r="D8" s="408" t="s">
        <v>1919</v>
      </c>
    </row>
    <row r="9" spans="1:4" x14ac:dyDescent="0.3">
      <c r="A9" t="s">
        <v>2632</v>
      </c>
      <c r="B9" t="s">
        <v>6006</v>
      </c>
      <c r="C9" t="s">
        <v>3219</v>
      </c>
      <c r="D9" t="s">
        <v>6506</v>
      </c>
    </row>
    <row r="10" spans="1:4" x14ac:dyDescent="0.3">
      <c r="A10" t="s">
        <v>103</v>
      </c>
      <c r="B10" t="s">
        <v>6003</v>
      </c>
      <c r="C10" t="s">
        <v>3219</v>
      </c>
      <c r="D10" t="s">
        <v>6507</v>
      </c>
    </row>
    <row r="11" spans="1:4" x14ac:dyDescent="0.3">
      <c r="A11" t="s">
        <v>104</v>
      </c>
      <c r="B11" t="s">
        <v>6006</v>
      </c>
      <c r="C11" t="s">
        <v>3219</v>
      </c>
      <c r="D11" t="s">
        <v>6329</v>
      </c>
    </row>
    <row r="12" spans="1:4" x14ac:dyDescent="0.3">
      <c r="A12" t="s">
        <v>2633</v>
      </c>
      <c r="B12" t="s">
        <v>6008</v>
      </c>
      <c r="C12" t="s">
        <v>3219</v>
      </c>
      <c r="D12" t="s">
        <v>6508</v>
      </c>
    </row>
    <row r="13" spans="1:4" x14ac:dyDescent="0.3">
      <c r="A13" t="s">
        <v>4320</v>
      </c>
      <c r="B13" t="s">
        <v>6021</v>
      </c>
      <c r="C13" t="s">
        <v>3219</v>
      </c>
      <c r="D13" t="s">
        <v>6509</v>
      </c>
    </row>
    <row r="14" spans="1:4" x14ac:dyDescent="0.3">
      <c r="A14" t="s">
        <v>2636</v>
      </c>
      <c r="B14" t="s">
        <v>6006</v>
      </c>
      <c r="C14" t="s">
        <v>3219</v>
      </c>
      <c r="D14" t="s">
        <v>6510</v>
      </c>
    </row>
    <row r="15" spans="1:4" x14ac:dyDescent="0.3">
      <c r="A15" t="s">
        <v>2637</v>
      </c>
      <c r="B15" t="s">
        <v>6392</v>
      </c>
      <c r="C15" t="s">
        <v>3219</v>
      </c>
      <c r="D15" t="s">
        <v>6511</v>
      </c>
    </row>
    <row r="16" spans="1:4" x14ac:dyDescent="0.3">
      <c r="A16" t="s">
        <v>6512</v>
      </c>
      <c r="B16" t="s">
        <v>2059</v>
      </c>
      <c r="C16" t="s">
        <v>3219</v>
      </c>
      <c r="D16" t="s">
        <v>6513</v>
      </c>
    </row>
    <row r="17" spans="1:4" x14ac:dyDescent="0.3">
      <c r="A17" t="s">
        <v>2638</v>
      </c>
      <c r="B17" t="s">
        <v>6392</v>
      </c>
      <c r="C17" t="s">
        <v>3219</v>
      </c>
      <c r="D17" t="s">
        <v>6514</v>
      </c>
    </row>
    <row r="18" spans="1:4" x14ac:dyDescent="0.3">
      <c r="A18" t="s">
        <v>2639</v>
      </c>
      <c r="B18" t="s">
        <v>6008</v>
      </c>
      <c r="C18" t="s">
        <v>3219</v>
      </c>
      <c r="D18" t="s">
        <v>6515</v>
      </c>
    </row>
    <row r="19" spans="1:4" x14ac:dyDescent="0.3">
      <c r="A19" t="s">
        <v>2640</v>
      </c>
      <c r="B19" t="s">
        <v>6006</v>
      </c>
      <c r="C19" t="s">
        <v>2800</v>
      </c>
      <c r="D19" t="s">
        <v>6516</v>
      </c>
    </row>
    <row r="20" spans="1:4" x14ac:dyDescent="0.3">
      <c r="A20" t="s">
        <v>2641</v>
      </c>
      <c r="B20" t="s">
        <v>6003</v>
      </c>
      <c r="C20" t="s">
        <v>3219</v>
      </c>
      <c r="D20" t="s">
        <v>6517</v>
      </c>
    </row>
    <row r="21" spans="1:4" x14ac:dyDescent="0.3">
      <c r="A21" t="s">
        <v>6518</v>
      </c>
      <c r="B21" t="s">
        <v>6338</v>
      </c>
      <c r="C21" t="s">
        <v>3219</v>
      </c>
      <c r="D21" t="s">
        <v>6519</v>
      </c>
    </row>
    <row r="22" spans="1:4" x14ac:dyDescent="0.3">
      <c r="A22" t="s">
        <v>5367</v>
      </c>
      <c r="B22" t="s">
        <v>5767</v>
      </c>
      <c r="C22" t="s">
        <v>2800</v>
      </c>
      <c r="D22" t="s">
        <v>6520</v>
      </c>
    </row>
    <row r="25" spans="1:4" x14ac:dyDescent="0.3">
      <c r="A25" s="1" t="s">
        <v>6521</v>
      </c>
    </row>
    <row r="26" spans="1:4" x14ac:dyDescent="0.3">
      <c r="A26" s="408" t="s">
        <v>383</v>
      </c>
      <c r="B26" s="408" t="s">
        <v>3791</v>
      </c>
      <c r="C26" s="408" t="s">
        <v>3374</v>
      </c>
    </row>
    <row r="27" spans="1:4" x14ac:dyDescent="0.3">
      <c r="A27" t="s">
        <v>6522</v>
      </c>
      <c r="B27" t="s">
        <v>6523</v>
      </c>
      <c r="C27" t="s">
        <v>6524</v>
      </c>
    </row>
    <row r="28" spans="1:4" x14ac:dyDescent="0.3">
      <c r="A28" t="s">
        <v>6525</v>
      </c>
      <c r="B28" t="s">
        <v>6526</v>
      </c>
      <c r="C28" t="s">
        <v>6527</v>
      </c>
    </row>
    <row r="29" spans="1:4" x14ac:dyDescent="0.3">
      <c r="A29" t="s">
        <v>3165</v>
      </c>
      <c r="B29" t="s">
        <v>6528</v>
      </c>
      <c r="C29" t="s">
        <v>6529</v>
      </c>
    </row>
    <row r="30" spans="1:4" x14ac:dyDescent="0.3">
      <c r="A30" t="s">
        <v>2648</v>
      </c>
      <c r="B30" t="s">
        <v>6530</v>
      </c>
      <c r="C30" t="s">
        <v>6531</v>
      </c>
    </row>
    <row r="31" spans="1:4" x14ac:dyDescent="0.3">
      <c r="A31" t="s">
        <v>6532</v>
      </c>
      <c r="B31" t="s">
        <v>6533</v>
      </c>
      <c r="C31" t="s">
        <v>6534</v>
      </c>
    </row>
    <row r="32" spans="1:4" x14ac:dyDescent="0.3">
      <c r="A32" t="s">
        <v>6535</v>
      </c>
      <c r="B32" t="s">
        <v>6536</v>
      </c>
      <c r="C32" t="s">
        <v>6537</v>
      </c>
    </row>
    <row r="35" spans="1:3" ht="18" x14ac:dyDescent="0.35">
      <c r="A35" s="409" t="s">
        <v>6538</v>
      </c>
    </row>
    <row r="37" spans="1:3" x14ac:dyDescent="0.3">
      <c r="A37" s="1" t="s">
        <v>6539</v>
      </c>
    </row>
    <row r="38" spans="1:3" x14ac:dyDescent="0.3">
      <c r="A38" s="408" t="s">
        <v>2739</v>
      </c>
      <c r="B38" s="408" t="s">
        <v>6540</v>
      </c>
      <c r="C38" s="408" t="s">
        <v>6541</v>
      </c>
    </row>
    <row r="39" spans="1:3" x14ac:dyDescent="0.3">
      <c r="A39" t="s">
        <v>3216</v>
      </c>
      <c r="B39" t="s">
        <v>6542</v>
      </c>
      <c r="C39" t="s">
        <v>6543</v>
      </c>
    </row>
    <row r="40" spans="1:3" x14ac:dyDescent="0.3">
      <c r="A40" t="s">
        <v>6544</v>
      </c>
      <c r="B40" t="s">
        <v>6545</v>
      </c>
      <c r="C40" t="s">
        <v>6546</v>
      </c>
    </row>
    <row r="41" spans="1:3" x14ac:dyDescent="0.3">
      <c r="A41" t="s">
        <v>6547</v>
      </c>
      <c r="B41" t="s">
        <v>6548</v>
      </c>
      <c r="C41" t="s">
        <v>6549</v>
      </c>
    </row>
    <row r="42" spans="1:3" x14ac:dyDescent="0.3">
      <c r="A42" t="s">
        <v>6550</v>
      </c>
      <c r="B42" t="s">
        <v>6551</v>
      </c>
      <c r="C42" t="s">
        <v>6552</v>
      </c>
    </row>
    <row r="43" spans="1:3" x14ac:dyDescent="0.3">
      <c r="A43" t="s">
        <v>6553</v>
      </c>
      <c r="B43" t="s">
        <v>6554</v>
      </c>
      <c r="C43" t="s">
        <v>6555</v>
      </c>
    </row>
    <row r="44" spans="1:3" x14ac:dyDescent="0.3">
      <c r="A44" t="s">
        <v>6556</v>
      </c>
      <c r="B44" t="s">
        <v>6557</v>
      </c>
      <c r="C44" t="s">
        <v>6558</v>
      </c>
    </row>
    <row r="45" spans="1:3" x14ac:dyDescent="0.3">
      <c r="A45" t="s">
        <v>2530</v>
      </c>
      <c r="B45" t="s">
        <v>6559</v>
      </c>
      <c r="C45" t="s">
        <v>6560</v>
      </c>
    </row>
    <row r="48" spans="1:3" ht="18" x14ac:dyDescent="0.35">
      <c r="A48" s="409" t="s">
        <v>6561</v>
      </c>
    </row>
    <row r="50" spans="1:2" x14ac:dyDescent="0.3">
      <c r="A50" s="1" t="s">
        <v>6562</v>
      </c>
    </row>
    <row r="51" spans="1:2" x14ac:dyDescent="0.3">
      <c r="A51" s="408" t="s">
        <v>5535</v>
      </c>
      <c r="B51" s="408" t="s">
        <v>1919</v>
      </c>
    </row>
    <row r="52" spans="1:2" x14ac:dyDescent="0.3">
      <c r="A52" t="s">
        <v>6563</v>
      </c>
      <c r="B52" t="s">
        <v>6564</v>
      </c>
    </row>
    <row r="53" spans="1:2" x14ac:dyDescent="0.3">
      <c r="A53" t="s">
        <v>6565</v>
      </c>
      <c r="B53" t="s">
        <v>6566</v>
      </c>
    </row>
    <row r="54" spans="1:2" x14ac:dyDescent="0.3">
      <c r="A54" t="s">
        <v>6567</v>
      </c>
      <c r="B54" t="s">
        <v>6568</v>
      </c>
    </row>
    <row r="55" spans="1:2" x14ac:dyDescent="0.3">
      <c r="A55" t="s">
        <v>6569</v>
      </c>
      <c r="B55" t="s">
        <v>6570</v>
      </c>
    </row>
    <row r="56" spans="1:2" x14ac:dyDescent="0.3">
      <c r="A56" t="s">
        <v>6571</v>
      </c>
      <c r="B56" t="s">
        <v>6572</v>
      </c>
    </row>
    <row r="57" spans="1:2" x14ac:dyDescent="0.3">
      <c r="A57" t="s">
        <v>6573</v>
      </c>
      <c r="B57" t="s">
        <v>6574</v>
      </c>
    </row>
    <row r="58" spans="1:2" x14ac:dyDescent="0.3">
      <c r="A58" t="s">
        <v>6575</v>
      </c>
      <c r="B58" t="s">
        <v>6576</v>
      </c>
    </row>
    <row r="59" spans="1:2" x14ac:dyDescent="0.3">
      <c r="A59" t="s">
        <v>6577</v>
      </c>
      <c r="B59" t="s">
        <v>6578</v>
      </c>
    </row>
    <row r="65" spans="1:1" x14ac:dyDescent="0.3">
      <c r="A65" s="221" t="s">
        <v>6579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95FE-685E-4508-AC01-083E5D3CFCDF}">
  <sheetPr>
    <tabColor theme="7"/>
  </sheetPr>
  <dimension ref="A1:D52"/>
  <sheetViews>
    <sheetView workbookViewId="0"/>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410" t="s">
        <v>6580</v>
      </c>
    </row>
    <row r="2" spans="1:4" x14ac:dyDescent="0.3">
      <c r="A2" t="s">
        <v>5591</v>
      </c>
      <c r="B2" t="s">
        <v>5592</v>
      </c>
      <c r="C2" t="s">
        <v>5593</v>
      </c>
      <c r="D2" t="s">
        <v>6388</v>
      </c>
    </row>
    <row r="5" spans="1:4" ht="18" x14ac:dyDescent="0.35">
      <c r="A5" s="409" t="s">
        <v>6581</v>
      </c>
    </row>
    <row r="7" spans="1:4" x14ac:dyDescent="0.3">
      <c r="A7" s="1" t="s">
        <v>6390</v>
      </c>
    </row>
    <row r="8" spans="1:4" x14ac:dyDescent="0.3">
      <c r="A8" s="408" t="s">
        <v>2269</v>
      </c>
      <c r="B8" s="408" t="s">
        <v>383</v>
      </c>
      <c r="C8" s="408" t="s">
        <v>5364</v>
      </c>
      <c r="D8" s="408" t="s">
        <v>1919</v>
      </c>
    </row>
    <row r="9" spans="1:4" x14ac:dyDescent="0.3">
      <c r="A9" t="s">
        <v>1938</v>
      </c>
      <c r="B9" t="s">
        <v>6006</v>
      </c>
      <c r="C9" t="s">
        <v>3219</v>
      </c>
      <c r="D9" t="s">
        <v>6582</v>
      </c>
    </row>
    <row r="10" spans="1:4" x14ac:dyDescent="0.3">
      <c r="A10" t="s">
        <v>935</v>
      </c>
      <c r="B10" t="s">
        <v>6003</v>
      </c>
      <c r="C10" t="s">
        <v>3219</v>
      </c>
      <c r="D10" t="s">
        <v>6583</v>
      </c>
    </row>
    <row r="11" spans="1:4" x14ac:dyDescent="0.3">
      <c r="A11" t="s">
        <v>1939</v>
      </c>
      <c r="B11" t="s">
        <v>6006</v>
      </c>
      <c r="C11" t="s">
        <v>3219</v>
      </c>
      <c r="D11" t="s">
        <v>6584</v>
      </c>
    </row>
    <row r="12" spans="1:4" x14ac:dyDescent="0.3">
      <c r="A12" t="s">
        <v>1</v>
      </c>
      <c r="B12" t="s">
        <v>6006</v>
      </c>
      <c r="C12" t="s">
        <v>3219</v>
      </c>
      <c r="D12" t="s">
        <v>6585</v>
      </c>
    </row>
    <row r="13" spans="1:4" x14ac:dyDescent="0.3">
      <c r="A13" t="s">
        <v>1942</v>
      </c>
      <c r="B13" t="s">
        <v>6008</v>
      </c>
      <c r="C13" t="s">
        <v>3219</v>
      </c>
      <c r="D13" t="s">
        <v>6586</v>
      </c>
    </row>
    <row r="14" spans="1:4" x14ac:dyDescent="0.3">
      <c r="A14" t="s">
        <v>108</v>
      </c>
      <c r="B14" t="s">
        <v>2059</v>
      </c>
      <c r="C14" t="s">
        <v>3219</v>
      </c>
      <c r="D14" t="s">
        <v>6587</v>
      </c>
    </row>
    <row r="15" spans="1:4" x14ac:dyDescent="0.3">
      <c r="A15" t="s">
        <v>109</v>
      </c>
      <c r="B15" t="s">
        <v>2059</v>
      </c>
      <c r="C15" t="s">
        <v>3219</v>
      </c>
      <c r="D15" t="s">
        <v>6588</v>
      </c>
    </row>
    <row r="16" spans="1:4" x14ac:dyDescent="0.3">
      <c r="A16" t="s">
        <v>2260</v>
      </c>
      <c r="B16" t="s">
        <v>6338</v>
      </c>
      <c r="C16" t="s">
        <v>3219</v>
      </c>
      <c r="D16" t="s">
        <v>6589</v>
      </c>
    </row>
    <row r="17" spans="1:4" x14ac:dyDescent="0.3">
      <c r="A17" t="s">
        <v>112</v>
      </c>
      <c r="B17" t="s">
        <v>6008</v>
      </c>
      <c r="C17" t="s">
        <v>3219</v>
      </c>
      <c r="D17" t="s">
        <v>6590</v>
      </c>
    </row>
    <row r="18" spans="1:4" x14ac:dyDescent="0.3">
      <c r="A18" t="s">
        <v>6591</v>
      </c>
      <c r="B18" t="s">
        <v>6592</v>
      </c>
      <c r="C18" t="s">
        <v>3219</v>
      </c>
      <c r="D18" t="s">
        <v>6593</v>
      </c>
    </row>
    <row r="19" spans="1:4" x14ac:dyDescent="0.3">
      <c r="A19" t="s">
        <v>6594</v>
      </c>
      <c r="B19" t="s">
        <v>5655</v>
      </c>
      <c r="C19" t="s">
        <v>3219</v>
      </c>
      <c r="D19" t="s">
        <v>6595</v>
      </c>
    </row>
    <row r="20" spans="1:4" x14ac:dyDescent="0.3">
      <c r="A20" t="s">
        <v>114</v>
      </c>
      <c r="B20" t="s">
        <v>6006</v>
      </c>
      <c r="C20" t="s">
        <v>2800</v>
      </c>
      <c r="D20" t="s">
        <v>6596</v>
      </c>
    </row>
    <row r="23" spans="1:4" ht="18" x14ac:dyDescent="0.35">
      <c r="A23" s="409" t="s">
        <v>6597</v>
      </c>
    </row>
    <row r="25" spans="1:4" x14ac:dyDescent="0.3">
      <c r="A25" s="1" t="s">
        <v>6598</v>
      </c>
    </row>
    <row r="26" spans="1:4" x14ac:dyDescent="0.3">
      <c r="A26" s="408" t="s">
        <v>5535</v>
      </c>
      <c r="B26" s="408" t="s">
        <v>1919</v>
      </c>
    </row>
    <row r="27" spans="1:4" x14ac:dyDescent="0.3">
      <c r="A27" t="s">
        <v>6599</v>
      </c>
      <c r="B27" t="s">
        <v>6600</v>
      </c>
    </row>
    <row r="28" spans="1:4" x14ac:dyDescent="0.3">
      <c r="A28" t="s">
        <v>6601</v>
      </c>
      <c r="B28" t="s">
        <v>6602</v>
      </c>
    </row>
    <row r="29" spans="1:4" x14ac:dyDescent="0.3">
      <c r="A29" t="s">
        <v>6603</v>
      </c>
      <c r="B29" t="s">
        <v>6604</v>
      </c>
    </row>
    <row r="30" spans="1:4" x14ac:dyDescent="0.3">
      <c r="A30" t="s">
        <v>6605</v>
      </c>
      <c r="B30" t="s">
        <v>6606</v>
      </c>
    </row>
    <row r="31" spans="1:4" x14ac:dyDescent="0.3">
      <c r="A31" t="s">
        <v>6057</v>
      </c>
      <c r="B31" t="s">
        <v>6607</v>
      </c>
    </row>
    <row r="32" spans="1:4" x14ac:dyDescent="0.3">
      <c r="A32" t="s">
        <v>6608</v>
      </c>
      <c r="B32" t="s">
        <v>6609</v>
      </c>
    </row>
    <row r="33" spans="1:2" x14ac:dyDescent="0.3">
      <c r="A33" t="s">
        <v>6610</v>
      </c>
      <c r="B33" t="s">
        <v>6611</v>
      </c>
    </row>
    <row r="34" spans="1:2" x14ac:dyDescent="0.3">
      <c r="A34" t="s">
        <v>6612</v>
      </c>
      <c r="B34" t="s">
        <v>6613</v>
      </c>
    </row>
    <row r="37" spans="1:2" ht="18" x14ac:dyDescent="0.35">
      <c r="A37" s="409" t="s">
        <v>6614</v>
      </c>
    </row>
    <row r="39" spans="1:2" x14ac:dyDescent="0.3">
      <c r="A39" s="1" t="s">
        <v>6615</v>
      </c>
    </row>
    <row r="40" spans="1:2" x14ac:dyDescent="0.3">
      <c r="A40" s="408" t="s">
        <v>5535</v>
      </c>
      <c r="B40" s="408" t="s">
        <v>1919</v>
      </c>
    </row>
    <row r="41" spans="1:2" x14ac:dyDescent="0.3">
      <c r="A41" t="s">
        <v>6616</v>
      </c>
      <c r="B41" t="s">
        <v>6617</v>
      </c>
    </row>
    <row r="42" spans="1:2" x14ac:dyDescent="0.3">
      <c r="A42" t="s">
        <v>6618</v>
      </c>
      <c r="B42" t="s">
        <v>6619</v>
      </c>
    </row>
    <row r="43" spans="1:2" x14ac:dyDescent="0.3">
      <c r="A43" t="s">
        <v>6620</v>
      </c>
      <c r="B43" t="s">
        <v>6621</v>
      </c>
    </row>
    <row r="44" spans="1:2" x14ac:dyDescent="0.3">
      <c r="A44" t="s">
        <v>6622</v>
      </c>
      <c r="B44" t="s">
        <v>6623</v>
      </c>
    </row>
    <row r="45" spans="1:2" x14ac:dyDescent="0.3">
      <c r="A45" t="s">
        <v>6624</v>
      </c>
      <c r="B45" t="s">
        <v>6625</v>
      </c>
    </row>
    <row r="46" spans="1:2" x14ac:dyDescent="0.3">
      <c r="A46" t="s">
        <v>6626</v>
      </c>
      <c r="B46" t="s">
        <v>6627</v>
      </c>
    </row>
    <row r="47" spans="1:2" x14ac:dyDescent="0.3">
      <c r="A47" t="s">
        <v>6628</v>
      </c>
      <c r="B47" t="s">
        <v>6629</v>
      </c>
    </row>
    <row r="48" spans="1:2" x14ac:dyDescent="0.3">
      <c r="A48" t="s">
        <v>6630</v>
      </c>
      <c r="B48" t="s">
        <v>6631</v>
      </c>
    </row>
    <row r="52" spans="1:1" x14ac:dyDescent="0.3">
      <c r="A52" s="221" t="s">
        <v>6632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3894-0C2D-4329-AFD2-966B2F28287F}">
  <sheetPr>
    <tabColor theme="7"/>
  </sheetPr>
  <dimension ref="A1:D50"/>
  <sheetViews>
    <sheetView workbookViewId="0"/>
  </sheetViews>
  <sheetFormatPr defaultRowHeight="14.4" x14ac:dyDescent="0.3"/>
  <cols>
    <col min="1" max="1" width="27.77734375" customWidth="1"/>
    <col min="2" max="2" width="64.77734375" customWidth="1"/>
    <col min="3" max="3" width="27.77734375" customWidth="1"/>
    <col min="4" max="4" width="37" customWidth="1"/>
  </cols>
  <sheetData>
    <row r="1" spans="1:4" ht="21" x14ac:dyDescent="0.4">
      <c r="A1" s="410" t="s">
        <v>6633</v>
      </c>
    </row>
    <row r="2" spans="1:4" x14ac:dyDescent="0.3">
      <c r="A2" t="s">
        <v>5591</v>
      </c>
      <c r="B2" t="s">
        <v>5592</v>
      </c>
      <c r="C2" t="s">
        <v>5593</v>
      </c>
      <c r="D2" t="s">
        <v>6388</v>
      </c>
    </row>
    <row r="5" spans="1:4" ht="18" x14ac:dyDescent="0.35">
      <c r="A5" s="409" t="s">
        <v>6634</v>
      </c>
    </row>
    <row r="7" spans="1:4" x14ac:dyDescent="0.3">
      <c r="A7" s="1" t="s">
        <v>6390</v>
      </c>
    </row>
    <row r="8" spans="1:4" x14ac:dyDescent="0.3">
      <c r="A8" s="408" t="s">
        <v>2269</v>
      </c>
      <c r="B8" s="408" t="s">
        <v>383</v>
      </c>
      <c r="C8" s="408" t="s">
        <v>5364</v>
      </c>
      <c r="D8" s="408" t="s">
        <v>1919</v>
      </c>
    </row>
    <row r="9" spans="1:4" x14ac:dyDescent="0.3">
      <c r="A9" t="s">
        <v>2</v>
      </c>
      <c r="B9" t="s">
        <v>6003</v>
      </c>
      <c r="C9" t="s">
        <v>3219</v>
      </c>
      <c r="D9" t="s">
        <v>6635</v>
      </c>
    </row>
    <row r="10" spans="1:4" x14ac:dyDescent="0.3">
      <c r="A10" t="s">
        <v>6636</v>
      </c>
      <c r="B10" t="s">
        <v>6006</v>
      </c>
      <c r="C10" t="s">
        <v>3219</v>
      </c>
      <c r="D10" t="s">
        <v>6637</v>
      </c>
    </row>
    <row r="11" spans="1:4" x14ac:dyDescent="0.3">
      <c r="A11" t="s">
        <v>6638</v>
      </c>
      <c r="B11" t="s">
        <v>6006</v>
      </c>
      <c r="C11" t="s">
        <v>3219</v>
      </c>
      <c r="D11" t="s">
        <v>6639</v>
      </c>
    </row>
    <row r="12" spans="1:4" x14ac:dyDescent="0.3">
      <c r="A12" t="s">
        <v>6640</v>
      </c>
      <c r="B12" t="s">
        <v>6006</v>
      </c>
      <c r="C12" t="s">
        <v>3219</v>
      </c>
      <c r="D12" t="s">
        <v>6641</v>
      </c>
    </row>
    <row r="13" spans="1:4" x14ac:dyDescent="0.3">
      <c r="A13" t="s">
        <v>6642</v>
      </c>
      <c r="B13" t="s">
        <v>6006</v>
      </c>
      <c r="C13" t="s">
        <v>3219</v>
      </c>
      <c r="D13" t="s">
        <v>6643</v>
      </c>
    </row>
    <row r="14" spans="1:4" x14ac:dyDescent="0.3">
      <c r="A14" t="s">
        <v>6644</v>
      </c>
      <c r="B14" t="s">
        <v>6006</v>
      </c>
      <c r="C14" t="s">
        <v>3219</v>
      </c>
      <c r="D14" t="s">
        <v>6645</v>
      </c>
    </row>
    <row r="15" spans="1:4" x14ac:dyDescent="0.3">
      <c r="A15" t="s">
        <v>6646</v>
      </c>
      <c r="B15" t="s">
        <v>6392</v>
      </c>
      <c r="C15" t="s">
        <v>3219</v>
      </c>
      <c r="D15" t="s">
        <v>6647</v>
      </c>
    </row>
    <row r="16" spans="1:4" x14ac:dyDescent="0.3">
      <c r="A16" t="s">
        <v>6648</v>
      </c>
      <c r="B16" t="s">
        <v>6008</v>
      </c>
      <c r="C16" t="s">
        <v>3219</v>
      </c>
      <c r="D16" t="s">
        <v>6649</v>
      </c>
    </row>
    <row r="17" spans="1:4" x14ac:dyDescent="0.3">
      <c r="A17" t="s">
        <v>6650</v>
      </c>
      <c r="B17" t="s">
        <v>6003</v>
      </c>
      <c r="C17" t="s">
        <v>3219</v>
      </c>
      <c r="D17" t="s">
        <v>6651</v>
      </c>
    </row>
    <row r="18" spans="1:4" x14ac:dyDescent="0.3">
      <c r="A18" t="s">
        <v>5891</v>
      </c>
      <c r="B18" t="s">
        <v>6021</v>
      </c>
      <c r="C18" t="s">
        <v>3219</v>
      </c>
      <c r="D18" t="s">
        <v>6652</v>
      </c>
    </row>
    <row r="19" spans="1:4" x14ac:dyDescent="0.3">
      <c r="A19" t="s">
        <v>6653</v>
      </c>
      <c r="B19" t="s">
        <v>5655</v>
      </c>
      <c r="C19" t="s">
        <v>3219</v>
      </c>
      <c r="D19" t="s">
        <v>6654</v>
      </c>
    </row>
    <row r="22" spans="1:4" ht="18" x14ac:dyDescent="0.35">
      <c r="A22" s="409" t="s">
        <v>6655</v>
      </c>
    </row>
    <row r="24" spans="1:4" x14ac:dyDescent="0.3">
      <c r="A24" s="1" t="s">
        <v>6656</v>
      </c>
    </row>
    <row r="25" spans="1:4" x14ac:dyDescent="0.3">
      <c r="A25" s="408" t="s">
        <v>5535</v>
      </c>
      <c r="B25" s="408" t="s">
        <v>1919</v>
      </c>
    </row>
    <row r="26" spans="1:4" x14ac:dyDescent="0.3">
      <c r="A26" t="s">
        <v>6657</v>
      </c>
      <c r="B26" t="s">
        <v>6658</v>
      </c>
    </row>
    <row r="27" spans="1:4" x14ac:dyDescent="0.3">
      <c r="A27" t="s">
        <v>6659</v>
      </c>
      <c r="B27" t="s">
        <v>6660</v>
      </c>
    </row>
    <row r="28" spans="1:4" x14ac:dyDescent="0.3">
      <c r="A28" t="s">
        <v>6661</v>
      </c>
      <c r="B28" t="s">
        <v>6662</v>
      </c>
    </row>
    <row r="29" spans="1:4" x14ac:dyDescent="0.3">
      <c r="A29" t="s">
        <v>6663</v>
      </c>
      <c r="B29" t="s">
        <v>6664</v>
      </c>
    </row>
    <row r="30" spans="1:4" x14ac:dyDescent="0.3">
      <c r="A30" t="s">
        <v>6665</v>
      </c>
      <c r="B30" t="s">
        <v>6666</v>
      </c>
    </row>
    <row r="31" spans="1:4" x14ac:dyDescent="0.3">
      <c r="A31" t="s">
        <v>6667</v>
      </c>
      <c r="B31" t="s">
        <v>6668</v>
      </c>
    </row>
    <row r="32" spans="1:4" x14ac:dyDescent="0.3">
      <c r="A32" t="s">
        <v>6669</v>
      </c>
      <c r="B32" t="s">
        <v>6670</v>
      </c>
    </row>
    <row r="35" spans="1:2" ht="18" x14ac:dyDescent="0.35">
      <c r="A35" s="409" t="s">
        <v>6671</v>
      </c>
    </row>
    <row r="37" spans="1:2" x14ac:dyDescent="0.3">
      <c r="A37" s="1" t="s">
        <v>6672</v>
      </c>
    </row>
    <row r="38" spans="1:2" x14ac:dyDescent="0.3">
      <c r="A38" s="408" t="s">
        <v>5535</v>
      </c>
      <c r="B38" s="408" t="s">
        <v>1919</v>
      </c>
    </row>
    <row r="39" spans="1:2" x14ac:dyDescent="0.3">
      <c r="A39" t="s">
        <v>6673</v>
      </c>
      <c r="B39" t="s">
        <v>6674</v>
      </c>
    </row>
    <row r="40" spans="1:2" x14ac:dyDescent="0.3">
      <c r="A40" t="s">
        <v>6675</v>
      </c>
      <c r="B40" t="s">
        <v>6676</v>
      </c>
    </row>
    <row r="41" spans="1:2" x14ac:dyDescent="0.3">
      <c r="A41" t="s">
        <v>6677</v>
      </c>
      <c r="B41" t="s">
        <v>6678</v>
      </c>
    </row>
    <row r="42" spans="1:2" x14ac:dyDescent="0.3">
      <c r="A42" t="s">
        <v>6294</v>
      </c>
      <c r="B42" t="s">
        <v>6679</v>
      </c>
    </row>
    <row r="43" spans="1:2" x14ac:dyDescent="0.3">
      <c r="A43" t="s">
        <v>6680</v>
      </c>
      <c r="B43" t="s">
        <v>6681</v>
      </c>
    </row>
    <row r="44" spans="1:2" x14ac:dyDescent="0.3">
      <c r="A44" t="s">
        <v>6682</v>
      </c>
      <c r="B44" t="s">
        <v>6683</v>
      </c>
    </row>
    <row r="45" spans="1:2" x14ac:dyDescent="0.3">
      <c r="A45" t="s">
        <v>6684</v>
      </c>
      <c r="B45" t="s">
        <v>6685</v>
      </c>
    </row>
    <row r="46" spans="1:2" x14ac:dyDescent="0.3">
      <c r="A46" t="s">
        <v>6686</v>
      </c>
      <c r="B46" t="s">
        <v>6687</v>
      </c>
    </row>
    <row r="50" spans="1:1" x14ac:dyDescent="0.3">
      <c r="A50" s="221" t="s">
        <v>6688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A6AF-D29D-491A-BCDE-BCE2E519130E}">
  <sheetPr>
    <tabColor theme="7"/>
  </sheetPr>
  <dimension ref="A1:D54"/>
  <sheetViews>
    <sheetView workbookViewId="0"/>
  </sheetViews>
  <sheetFormatPr defaultRowHeight="14.4" x14ac:dyDescent="0.3"/>
  <cols>
    <col min="1" max="1" width="33.33203125" customWidth="1"/>
    <col min="2" max="2" width="64.77734375" customWidth="1"/>
    <col min="3" max="3" width="46.33203125" customWidth="1"/>
  </cols>
  <sheetData>
    <row r="1" spans="1:4" ht="21" x14ac:dyDescent="0.4">
      <c r="A1" s="410" t="s">
        <v>6689</v>
      </c>
    </row>
    <row r="2" spans="1:4" x14ac:dyDescent="0.3">
      <c r="A2" t="s">
        <v>5591</v>
      </c>
      <c r="B2" t="s">
        <v>5592</v>
      </c>
      <c r="C2" t="s">
        <v>5593</v>
      </c>
      <c r="D2" t="s">
        <v>6388</v>
      </c>
    </row>
    <row r="5" spans="1:4" ht="18" x14ac:dyDescent="0.35">
      <c r="A5" s="409" t="s">
        <v>6690</v>
      </c>
    </row>
    <row r="7" spans="1:4" x14ac:dyDescent="0.3">
      <c r="A7" s="1" t="s">
        <v>6691</v>
      </c>
    </row>
    <row r="8" spans="1:4" x14ac:dyDescent="0.3">
      <c r="A8" s="408" t="s">
        <v>5535</v>
      </c>
      <c r="B8" s="408" t="s">
        <v>1919</v>
      </c>
    </row>
    <row r="9" spans="1:4" x14ac:dyDescent="0.3">
      <c r="A9" t="s">
        <v>6692</v>
      </c>
      <c r="B9" t="s">
        <v>6693</v>
      </c>
    </row>
    <row r="10" spans="1:4" x14ac:dyDescent="0.3">
      <c r="A10" t="s">
        <v>6694</v>
      </c>
      <c r="B10" t="s">
        <v>6695</v>
      </c>
    </row>
    <row r="11" spans="1:4" x14ac:dyDescent="0.3">
      <c r="A11" t="s">
        <v>6696</v>
      </c>
      <c r="B11" t="s">
        <v>6697</v>
      </c>
    </row>
    <row r="12" spans="1:4" x14ac:dyDescent="0.3">
      <c r="A12" t="s">
        <v>6698</v>
      </c>
      <c r="B12" t="s">
        <v>6699</v>
      </c>
    </row>
    <row r="13" spans="1:4" x14ac:dyDescent="0.3">
      <c r="A13" t="s">
        <v>6700</v>
      </c>
      <c r="B13" t="s">
        <v>6701</v>
      </c>
    </row>
    <row r="14" spans="1:4" x14ac:dyDescent="0.3">
      <c r="A14" t="s">
        <v>6702</v>
      </c>
      <c r="B14" t="s">
        <v>6703</v>
      </c>
    </row>
    <row r="15" spans="1:4" x14ac:dyDescent="0.3">
      <c r="A15" t="s">
        <v>6704</v>
      </c>
      <c r="B15" t="s">
        <v>6705</v>
      </c>
    </row>
    <row r="16" spans="1:4" x14ac:dyDescent="0.3">
      <c r="A16" t="s">
        <v>6706</v>
      </c>
      <c r="B16" t="s">
        <v>6707</v>
      </c>
    </row>
    <row r="17" spans="1:3" x14ac:dyDescent="0.3">
      <c r="A17" t="s">
        <v>6708</v>
      </c>
      <c r="B17" t="s">
        <v>6709</v>
      </c>
    </row>
    <row r="18" spans="1:3" x14ac:dyDescent="0.3">
      <c r="A18" t="s">
        <v>6480</v>
      </c>
      <c r="B18" t="s">
        <v>6710</v>
      </c>
    </row>
    <row r="19" spans="1:3" x14ac:dyDescent="0.3">
      <c r="A19" t="s">
        <v>6141</v>
      </c>
      <c r="B19" t="s">
        <v>6711</v>
      </c>
    </row>
    <row r="20" spans="1:3" x14ac:dyDescent="0.3">
      <c r="A20" t="s">
        <v>5880</v>
      </c>
      <c r="B20" t="s">
        <v>6712</v>
      </c>
    </row>
    <row r="21" spans="1:3" x14ac:dyDescent="0.3">
      <c r="A21" t="s">
        <v>6713</v>
      </c>
      <c r="B21" t="s">
        <v>6714</v>
      </c>
    </row>
    <row r="22" spans="1:3" x14ac:dyDescent="0.3">
      <c r="A22" t="s">
        <v>6715</v>
      </c>
      <c r="B22" t="s">
        <v>6716</v>
      </c>
    </row>
    <row r="25" spans="1:3" ht="18" x14ac:dyDescent="0.35">
      <c r="A25" s="409" t="s">
        <v>6717</v>
      </c>
    </row>
    <row r="27" spans="1:3" x14ac:dyDescent="0.3">
      <c r="A27" s="1" t="s">
        <v>6718</v>
      </c>
    </row>
    <row r="28" spans="1:3" x14ac:dyDescent="0.3">
      <c r="A28" s="408" t="s">
        <v>2739</v>
      </c>
      <c r="B28" s="408" t="s">
        <v>3374</v>
      </c>
      <c r="C28" s="408" t="s">
        <v>5914</v>
      </c>
    </row>
    <row r="29" spans="1:3" x14ac:dyDescent="0.3">
      <c r="A29" t="s">
        <v>6719</v>
      </c>
      <c r="B29" t="s">
        <v>6720</v>
      </c>
      <c r="C29" t="s">
        <v>6721</v>
      </c>
    </row>
    <row r="30" spans="1:3" x14ac:dyDescent="0.3">
      <c r="A30" t="s">
        <v>6722</v>
      </c>
      <c r="B30" t="s">
        <v>6723</v>
      </c>
      <c r="C30" t="s">
        <v>6724</v>
      </c>
    </row>
    <row r="31" spans="1:3" x14ac:dyDescent="0.3">
      <c r="A31" t="s">
        <v>6725</v>
      </c>
      <c r="B31" t="s">
        <v>6726</v>
      </c>
      <c r="C31" t="s">
        <v>6727</v>
      </c>
    </row>
    <row r="32" spans="1:3" x14ac:dyDescent="0.3">
      <c r="A32" t="s">
        <v>6728</v>
      </c>
      <c r="B32" t="s">
        <v>5408</v>
      </c>
      <c r="C32" t="s">
        <v>6729</v>
      </c>
    </row>
    <row r="33" spans="1:3" x14ac:dyDescent="0.3">
      <c r="A33" t="s">
        <v>6730</v>
      </c>
      <c r="B33" t="s">
        <v>6731</v>
      </c>
      <c r="C33" t="s">
        <v>6732</v>
      </c>
    </row>
    <row r="34" spans="1:3" x14ac:dyDescent="0.3">
      <c r="A34" t="s">
        <v>6733</v>
      </c>
      <c r="B34" t="s">
        <v>6734</v>
      </c>
      <c r="C34" t="s">
        <v>6735</v>
      </c>
    </row>
    <row r="35" spans="1:3" x14ac:dyDescent="0.3">
      <c r="A35" t="s">
        <v>6736</v>
      </c>
      <c r="B35" t="s">
        <v>6737</v>
      </c>
      <c r="C35" t="s">
        <v>6738</v>
      </c>
    </row>
    <row r="36" spans="1:3" x14ac:dyDescent="0.3">
      <c r="A36" t="s">
        <v>6739</v>
      </c>
      <c r="B36" t="s">
        <v>6740</v>
      </c>
      <c r="C36" t="s">
        <v>6741</v>
      </c>
    </row>
    <row r="39" spans="1:3" ht="18" x14ac:dyDescent="0.35">
      <c r="A39" s="409" t="s">
        <v>6486</v>
      </c>
    </row>
    <row r="41" spans="1:3" x14ac:dyDescent="0.3">
      <c r="A41" s="1" t="s">
        <v>6487</v>
      </c>
    </row>
    <row r="42" spans="1:3" x14ac:dyDescent="0.3">
      <c r="A42" s="408" t="s">
        <v>5535</v>
      </c>
      <c r="B42" s="408" t="s">
        <v>1919</v>
      </c>
    </row>
    <row r="43" spans="1:3" x14ac:dyDescent="0.3">
      <c r="A43" t="s">
        <v>6742</v>
      </c>
      <c r="B43" t="s">
        <v>6743</v>
      </c>
    </row>
    <row r="44" spans="1:3" x14ac:dyDescent="0.3">
      <c r="A44" t="s">
        <v>6744</v>
      </c>
      <c r="B44" t="s">
        <v>6745</v>
      </c>
    </row>
    <row r="45" spans="1:3" x14ac:dyDescent="0.3">
      <c r="A45" t="s">
        <v>6492</v>
      </c>
      <c r="B45" t="s">
        <v>6746</v>
      </c>
    </row>
    <row r="46" spans="1:3" x14ac:dyDescent="0.3">
      <c r="A46" t="s">
        <v>6747</v>
      </c>
      <c r="B46" t="s">
        <v>6748</v>
      </c>
    </row>
    <row r="47" spans="1:3" x14ac:dyDescent="0.3">
      <c r="A47" t="s">
        <v>6622</v>
      </c>
      <c r="B47" t="s">
        <v>6749</v>
      </c>
    </row>
    <row r="48" spans="1:3" x14ac:dyDescent="0.3">
      <c r="A48" t="s">
        <v>6750</v>
      </c>
      <c r="B48" t="s">
        <v>6751</v>
      </c>
    </row>
    <row r="49" spans="1:2" x14ac:dyDescent="0.3">
      <c r="A49" t="s">
        <v>6752</v>
      </c>
      <c r="B49" t="s">
        <v>6753</v>
      </c>
    </row>
    <row r="50" spans="1:2" x14ac:dyDescent="0.3">
      <c r="A50" t="s">
        <v>6754</v>
      </c>
      <c r="B50" t="s">
        <v>6755</v>
      </c>
    </row>
    <row r="54" spans="1:2" x14ac:dyDescent="0.3">
      <c r="A54" s="221" t="s">
        <v>6756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36C25-9434-433F-A18A-BA5ABE76E0CE}">
  <sheetPr>
    <tabColor theme="7"/>
  </sheetPr>
  <dimension ref="A1:D54"/>
  <sheetViews>
    <sheetView workbookViewId="0"/>
  </sheetViews>
  <sheetFormatPr defaultRowHeight="14.4" x14ac:dyDescent="0.3"/>
  <cols>
    <col min="1" max="1" width="27.77734375" customWidth="1"/>
    <col min="2" max="2" width="55.5546875" customWidth="1"/>
    <col min="3" max="3" width="46.33203125" customWidth="1"/>
    <col min="4" max="4" width="37" customWidth="1"/>
  </cols>
  <sheetData>
    <row r="1" spans="1:4" ht="21" x14ac:dyDescent="0.4">
      <c r="A1" s="410" t="s">
        <v>6757</v>
      </c>
    </row>
    <row r="2" spans="1:4" x14ac:dyDescent="0.3">
      <c r="A2" t="s">
        <v>5591</v>
      </c>
      <c r="B2" t="s">
        <v>5592</v>
      </c>
      <c r="C2" t="s">
        <v>5593</v>
      </c>
      <c r="D2" t="s">
        <v>6388</v>
      </c>
    </row>
    <row r="5" spans="1:4" ht="18" x14ac:dyDescent="0.35">
      <c r="A5" s="409" t="s">
        <v>6758</v>
      </c>
    </row>
    <row r="7" spans="1:4" x14ac:dyDescent="0.3">
      <c r="A7" s="1" t="s">
        <v>6390</v>
      </c>
    </row>
    <row r="8" spans="1:4" x14ac:dyDescent="0.3">
      <c r="A8" s="408" t="s">
        <v>2269</v>
      </c>
      <c r="B8" s="408" t="s">
        <v>383</v>
      </c>
      <c r="C8" s="408" t="s">
        <v>5364</v>
      </c>
      <c r="D8" s="408" t="s">
        <v>1919</v>
      </c>
    </row>
    <row r="9" spans="1:4" x14ac:dyDescent="0.3">
      <c r="A9" t="s">
        <v>3916</v>
      </c>
      <c r="B9" t="s">
        <v>6006</v>
      </c>
      <c r="C9" t="s">
        <v>3219</v>
      </c>
      <c r="D9" t="s">
        <v>6759</v>
      </c>
    </row>
    <row r="10" spans="1:4" x14ac:dyDescent="0.3">
      <c r="A10" t="s">
        <v>3917</v>
      </c>
      <c r="B10" t="s">
        <v>6392</v>
      </c>
      <c r="C10" t="s">
        <v>3219</v>
      </c>
      <c r="D10" t="s">
        <v>6760</v>
      </c>
    </row>
    <row r="11" spans="1:4" x14ac:dyDescent="0.3">
      <c r="A11" t="s">
        <v>2</v>
      </c>
      <c r="B11" t="s">
        <v>6003</v>
      </c>
      <c r="C11" t="s">
        <v>3219</v>
      </c>
      <c r="D11" t="s">
        <v>6394</v>
      </c>
    </row>
    <row r="12" spans="1:4" x14ac:dyDescent="0.3">
      <c r="A12" t="s">
        <v>487</v>
      </c>
      <c r="B12" t="s">
        <v>6008</v>
      </c>
      <c r="C12" t="s">
        <v>3219</v>
      </c>
      <c r="D12" t="s">
        <v>6761</v>
      </c>
    </row>
    <row r="13" spans="1:4" x14ac:dyDescent="0.3">
      <c r="A13" t="s">
        <v>3918</v>
      </c>
      <c r="B13" t="s">
        <v>6008</v>
      </c>
      <c r="C13" t="s">
        <v>3219</v>
      </c>
      <c r="D13" t="s">
        <v>6762</v>
      </c>
    </row>
    <row r="14" spans="1:4" x14ac:dyDescent="0.3">
      <c r="A14" t="s">
        <v>2278</v>
      </c>
      <c r="B14" t="s">
        <v>6008</v>
      </c>
      <c r="C14" t="s">
        <v>3219</v>
      </c>
      <c r="D14" t="s">
        <v>6763</v>
      </c>
    </row>
    <row r="15" spans="1:4" x14ac:dyDescent="0.3">
      <c r="A15" t="s">
        <v>1799</v>
      </c>
      <c r="B15" t="s">
        <v>6006</v>
      </c>
      <c r="C15" t="s">
        <v>3219</v>
      </c>
      <c r="D15" t="s">
        <v>6764</v>
      </c>
    </row>
    <row r="16" spans="1:4" x14ac:dyDescent="0.3">
      <c r="A16" t="s">
        <v>3919</v>
      </c>
      <c r="B16" t="s">
        <v>6338</v>
      </c>
      <c r="C16" t="s">
        <v>3219</v>
      </c>
      <c r="D16" t="s">
        <v>6765</v>
      </c>
    </row>
    <row r="17" spans="1:4" x14ac:dyDescent="0.3">
      <c r="A17" t="s">
        <v>3920</v>
      </c>
      <c r="B17" t="s">
        <v>6338</v>
      </c>
      <c r="C17" t="s">
        <v>3219</v>
      </c>
      <c r="D17" t="s">
        <v>6766</v>
      </c>
    </row>
    <row r="18" spans="1:4" x14ac:dyDescent="0.3">
      <c r="A18" t="s">
        <v>112</v>
      </c>
      <c r="B18" t="s">
        <v>6008</v>
      </c>
      <c r="C18" t="s">
        <v>3219</v>
      </c>
      <c r="D18" t="s">
        <v>6767</v>
      </c>
    </row>
    <row r="19" spans="1:4" x14ac:dyDescent="0.3">
      <c r="A19" t="s">
        <v>3921</v>
      </c>
      <c r="B19" t="s">
        <v>6021</v>
      </c>
      <c r="C19" t="s">
        <v>3219</v>
      </c>
      <c r="D19" t="s">
        <v>6768</v>
      </c>
    </row>
    <row r="20" spans="1:4" x14ac:dyDescent="0.3">
      <c r="A20" t="s">
        <v>3241</v>
      </c>
      <c r="B20" t="s">
        <v>6769</v>
      </c>
      <c r="C20" t="s">
        <v>3219</v>
      </c>
      <c r="D20" t="s">
        <v>6770</v>
      </c>
    </row>
    <row r="21" spans="1:4" x14ac:dyDescent="0.3">
      <c r="A21" t="s">
        <v>4016</v>
      </c>
      <c r="B21" t="s">
        <v>6003</v>
      </c>
      <c r="C21" t="s">
        <v>3219</v>
      </c>
      <c r="D21" t="s">
        <v>6771</v>
      </c>
    </row>
    <row r="22" spans="1:4" x14ac:dyDescent="0.3">
      <c r="A22" t="s">
        <v>5367</v>
      </c>
      <c r="B22" t="s">
        <v>5767</v>
      </c>
      <c r="C22" t="s">
        <v>2800</v>
      </c>
      <c r="D22" t="s">
        <v>6772</v>
      </c>
    </row>
    <row r="25" spans="1:4" ht="18" x14ac:dyDescent="0.35">
      <c r="A25" s="409" t="s">
        <v>6773</v>
      </c>
    </row>
    <row r="27" spans="1:4" x14ac:dyDescent="0.3">
      <c r="A27" s="1" t="s">
        <v>6774</v>
      </c>
    </row>
    <row r="28" spans="1:4" x14ac:dyDescent="0.3">
      <c r="A28" s="408" t="s">
        <v>2739</v>
      </c>
      <c r="B28" s="408" t="s">
        <v>6540</v>
      </c>
      <c r="C28" s="408" t="s">
        <v>6541</v>
      </c>
    </row>
    <row r="29" spans="1:4" x14ac:dyDescent="0.3">
      <c r="A29" t="s">
        <v>6775</v>
      </c>
      <c r="B29" t="s">
        <v>6776</v>
      </c>
      <c r="C29" t="s">
        <v>6777</v>
      </c>
    </row>
    <row r="30" spans="1:4" x14ac:dyDescent="0.3">
      <c r="A30" t="s">
        <v>6778</v>
      </c>
      <c r="B30" t="s">
        <v>6779</v>
      </c>
      <c r="C30" t="s">
        <v>6780</v>
      </c>
    </row>
    <row r="31" spans="1:4" x14ac:dyDescent="0.3">
      <c r="A31" t="s">
        <v>6781</v>
      </c>
      <c r="B31" t="s">
        <v>6782</v>
      </c>
      <c r="C31" t="s">
        <v>6783</v>
      </c>
    </row>
    <row r="32" spans="1:4" x14ac:dyDescent="0.3">
      <c r="A32" t="s">
        <v>2530</v>
      </c>
      <c r="B32" t="s">
        <v>6784</v>
      </c>
      <c r="C32" t="s">
        <v>6785</v>
      </c>
    </row>
    <row r="33" spans="1:3" x14ac:dyDescent="0.3">
      <c r="A33" t="s">
        <v>6786</v>
      </c>
      <c r="B33" t="s">
        <v>6787</v>
      </c>
      <c r="C33" t="s">
        <v>6788</v>
      </c>
    </row>
    <row r="34" spans="1:3" x14ac:dyDescent="0.3">
      <c r="A34" t="s">
        <v>6789</v>
      </c>
      <c r="B34" t="s">
        <v>6790</v>
      </c>
      <c r="C34" t="s">
        <v>6791</v>
      </c>
    </row>
    <row r="35" spans="1:3" x14ac:dyDescent="0.3">
      <c r="A35" t="s">
        <v>6792</v>
      </c>
      <c r="B35" t="s">
        <v>6793</v>
      </c>
      <c r="C35" t="s">
        <v>6794</v>
      </c>
    </row>
    <row r="36" spans="1:3" x14ac:dyDescent="0.3">
      <c r="A36" t="s">
        <v>6169</v>
      </c>
      <c r="B36" t="s">
        <v>6795</v>
      </c>
      <c r="C36" t="s">
        <v>6796</v>
      </c>
    </row>
    <row r="39" spans="1:3" ht="18" x14ac:dyDescent="0.35">
      <c r="A39" s="409" t="s">
        <v>6797</v>
      </c>
    </row>
    <row r="41" spans="1:3" x14ac:dyDescent="0.3">
      <c r="A41" s="1" t="s">
        <v>6798</v>
      </c>
    </row>
    <row r="42" spans="1:3" x14ac:dyDescent="0.3">
      <c r="A42" s="408" t="s">
        <v>5313</v>
      </c>
      <c r="B42" s="408" t="s">
        <v>5957</v>
      </c>
    </row>
    <row r="43" spans="1:3" x14ac:dyDescent="0.3">
      <c r="A43" t="s">
        <v>6799</v>
      </c>
      <c r="B43" t="s">
        <v>6800</v>
      </c>
    </row>
    <row r="44" spans="1:3" x14ac:dyDescent="0.3">
      <c r="A44" t="s">
        <v>6310</v>
      </c>
      <c r="B44" t="s">
        <v>6801</v>
      </c>
    </row>
    <row r="45" spans="1:3" x14ac:dyDescent="0.3">
      <c r="A45" t="s">
        <v>6802</v>
      </c>
      <c r="B45" t="s">
        <v>6803</v>
      </c>
    </row>
    <row r="46" spans="1:3" x14ac:dyDescent="0.3">
      <c r="A46" t="s">
        <v>6804</v>
      </c>
      <c r="B46" t="s">
        <v>6805</v>
      </c>
    </row>
    <row r="47" spans="1:3" x14ac:dyDescent="0.3">
      <c r="A47" t="s">
        <v>6806</v>
      </c>
      <c r="B47" t="s">
        <v>6807</v>
      </c>
    </row>
    <row r="48" spans="1:3" x14ac:dyDescent="0.3">
      <c r="A48" t="s">
        <v>6808</v>
      </c>
      <c r="B48" t="s">
        <v>6809</v>
      </c>
    </row>
    <row r="49" spans="1:2" x14ac:dyDescent="0.3">
      <c r="A49" t="s">
        <v>6810</v>
      </c>
      <c r="B49" t="s">
        <v>6811</v>
      </c>
    </row>
    <row r="50" spans="1:2" x14ac:dyDescent="0.3">
      <c r="A50" t="s">
        <v>6812</v>
      </c>
      <c r="B50" t="s">
        <v>6813</v>
      </c>
    </row>
    <row r="54" spans="1:2" x14ac:dyDescent="0.3">
      <c r="A54" s="221" t="s">
        <v>6814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386E-F4EA-40B4-B861-237C586DA963}">
  <sheetPr>
    <tabColor theme="7"/>
  </sheetPr>
  <dimension ref="A1:D52"/>
  <sheetViews>
    <sheetView workbookViewId="0">
      <selection activeCell="A35" sqref="A35"/>
    </sheetView>
  </sheetViews>
  <sheetFormatPr defaultRowHeight="14.4" x14ac:dyDescent="0.3"/>
  <cols>
    <col min="1" max="1" width="61.5546875" bestFit="1" customWidth="1"/>
    <col min="2" max="2" width="16.109375" bestFit="1" customWidth="1"/>
    <col min="3" max="3" width="43.33203125" bestFit="1" customWidth="1"/>
    <col min="4" max="4" width="32.6640625" bestFit="1" customWidth="1"/>
  </cols>
  <sheetData>
    <row r="1" spans="1:4" ht="21" x14ac:dyDescent="0.4">
      <c r="A1" s="410" t="s">
        <v>6815</v>
      </c>
    </row>
    <row r="2" spans="1:4" x14ac:dyDescent="0.3">
      <c r="A2" t="s">
        <v>5591</v>
      </c>
      <c r="B2" t="s">
        <v>5592</v>
      </c>
      <c r="C2" t="s">
        <v>5593</v>
      </c>
      <c r="D2" t="s">
        <v>6388</v>
      </c>
    </row>
    <row r="5" spans="1:4" ht="18" x14ac:dyDescent="0.35">
      <c r="A5" s="409" t="s">
        <v>6816</v>
      </c>
    </row>
    <row r="7" spans="1:4" x14ac:dyDescent="0.3">
      <c r="A7" s="1" t="s">
        <v>6390</v>
      </c>
    </row>
    <row r="8" spans="1:4" x14ac:dyDescent="0.3">
      <c r="A8" s="408" t="s">
        <v>2269</v>
      </c>
      <c r="B8" s="408" t="s">
        <v>383</v>
      </c>
      <c r="C8" s="408" t="s">
        <v>5364</v>
      </c>
      <c r="D8" s="408" t="s">
        <v>1919</v>
      </c>
    </row>
    <row r="9" spans="1:4" x14ac:dyDescent="0.3">
      <c r="A9" t="s">
        <v>4015</v>
      </c>
      <c r="B9" t="s">
        <v>6003</v>
      </c>
      <c r="C9" t="s">
        <v>3219</v>
      </c>
      <c r="D9" t="s">
        <v>6817</v>
      </c>
    </row>
    <row r="10" spans="1:4" x14ac:dyDescent="0.3">
      <c r="A10" t="s">
        <v>6818</v>
      </c>
      <c r="B10" t="s">
        <v>6392</v>
      </c>
      <c r="C10" t="s">
        <v>3219</v>
      </c>
      <c r="D10" t="s">
        <v>6819</v>
      </c>
    </row>
    <row r="11" spans="1:4" x14ac:dyDescent="0.3">
      <c r="A11" t="s">
        <v>2</v>
      </c>
      <c r="B11" t="s">
        <v>6003</v>
      </c>
      <c r="C11" t="s">
        <v>3219</v>
      </c>
      <c r="D11" t="s">
        <v>6394</v>
      </c>
    </row>
    <row r="12" spans="1:4" x14ac:dyDescent="0.3">
      <c r="A12" t="s">
        <v>487</v>
      </c>
      <c r="B12" t="s">
        <v>6008</v>
      </c>
      <c r="C12" t="s">
        <v>3219</v>
      </c>
      <c r="D12" t="s">
        <v>6820</v>
      </c>
    </row>
    <row r="13" spans="1:4" x14ac:dyDescent="0.3">
      <c r="A13" t="s">
        <v>2278</v>
      </c>
      <c r="B13" t="s">
        <v>6008</v>
      </c>
      <c r="C13" t="s">
        <v>3219</v>
      </c>
      <c r="D13" t="s">
        <v>6821</v>
      </c>
    </row>
    <row r="14" spans="1:4" x14ac:dyDescent="0.3">
      <c r="A14" t="s">
        <v>1718</v>
      </c>
      <c r="B14" t="s">
        <v>6006</v>
      </c>
      <c r="C14" t="s">
        <v>3219</v>
      </c>
      <c r="D14" t="s">
        <v>6822</v>
      </c>
    </row>
    <row r="15" spans="1:4" x14ac:dyDescent="0.3">
      <c r="A15" t="s">
        <v>112</v>
      </c>
      <c r="B15" t="s">
        <v>6008</v>
      </c>
      <c r="C15" t="s">
        <v>3219</v>
      </c>
      <c r="D15" t="s">
        <v>6823</v>
      </c>
    </row>
    <row r="16" spans="1:4" x14ac:dyDescent="0.3">
      <c r="A16" t="s">
        <v>106</v>
      </c>
      <c r="B16" t="s">
        <v>6006</v>
      </c>
      <c r="C16" t="s">
        <v>3219</v>
      </c>
      <c r="D16" t="s">
        <v>6824</v>
      </c>
    </row>
    <row r="17" spans="1:4" x14ac:dyDescent="0.3">
      <c r="A17" t="s">
        <v>3921</v>
      </c>
      <c r="B17" t="s">
        <v>6021</v>
      </c>
      <c r="C17" t="s">
        <v>3219</v>
      </c>
      <c r="D17" t="s">
        <v>6825</v>
      </c>
    </row>
    <row r="18" spans="1:4" x14ac:dyDescent="0.3">
      <c r="A18" t="s">
        <v>4016</v>
      </c>
      <c r="B18" t="s">
        <v>6003</v>
      </c>
      <c r="C18" t="s">
        <v>3219</v>
      </c>
      <c r="D18" t="s">
        <v>6826</v>
      </c>
    </row>
    <row r="19" spans="1:4" x14ac:dyDescent="0.3">
      <c r="A19" t="s">
        <v>3241</v>
      </c>
      <c r="B19" t="s">
        <v>6769</v>
      </c>
      <c r="C19" t="s">
        <v>3219</v>
      </c>
      <c r="D19" t="s">
        <v>6827</v>
      </c>
    </row>
    <row r="20" spans="1:4" x14ac:dyDescent="0.3">
      <c r="A20" t="s">
        <v>6828</v>
      </c>
      <c r="B20" t="s">
        <v>6008</v>
      </c>
      <c r="C20" t="s">
        <v>3219</v>
      </c>
      <c r="D20" t="s">
        <v>6829</v>
      </c>
    </row>
    <row r="21" spans="1:4" x14ac:dyDescent="0.3">
      <c r="A21" t="s">
        <v>6830</v>
      </c>
      <c r="B21" t="s">
        <v>6338</v>
      </c>
      <c r="C21" t="s">
        <v>3219</v>
      </c>
      <c r="D21" t="s">
        <v>6831</v>
      </c>
    </row>
    <row r="22" spans="1:4" x14ac:dyDescent="0.3">
      <c r="A22" t="s">
        <v>6832</v>
      </c>
      <c r="B22" t="s">
        <v>2754</v>
      </c>
      <c r="C22" t="s">
        <v>3219</v>
      </c>
      <c r="D22" t="s">
        <v>6833</v>
      </c>
    </row>
    <row r="23" spans="1:4" x14ac:dyDescent="0.3">
      <c r="A23" t="s">
        <v>5367</v>
      </c>
      <c r="B23" t="s">
        <v>5767</v>
      </c>
      <c r="C23" t="s">
        <v>2800</v>
      </c>
      <c r="D23" t="s">
        <v>6834</v>
      </c>
    </row>
    <row r="25" spans="1:4" x14ac:dyDescent="0.3">
      <c r="A25" s="1" t="s">
        <v>6835</v>
      </c>
    </row>
    <row r="26" spans="1:4" x14ac:dyDescent="0.3">
      <c r="A26" s="408" t="s">
        <v>2278</v>
      </c>
      <c r="B26" s="408" t="s">
        <v>3191</v>
      </c>
      <c r="C26" s="408" t="s">
        <v>6836</v>
      </c>
      <c r="D26" s="408" t="s">
        <v>6837</v>
      </c>
    </row>
    <row r="27" spans="1:4" x14ac:dyDescent="0.3">
      <c r="A27" t="s">
        <v>129</v>
      </c>
      <c r="B27" t="s">
        <v>6838</v>
      </c>
      <c r="C27" t="s">
        <v>6839</v>
      </c>
      <c r="D27" t="s">
        <v>3106</v>
      </c>
    </row>
    <row r="28" spans="1:4" x14ac:dyDescent="0.3">
      <c r="A28" t="s">
        <v>142</v>
      </c>
      <c r="B28" t="s">
        <v>6840</v>
      </c>
      <c r="C28" t="s">
        <v>6841</v>
      </c>
      <c r="D28" t="s">
        <v>3441</v>
      </c>
    </row>
    <row r="29" spans="1:4" x14ac:dyDescent="0.3">
      <c r="A29" t="s">
        <v>134</v>
      </c>
      <c r="B29" t="s">
        <v>6842</v>
      </c>
      <c r="C29" t="s">
        <v>6843</v>
      </c>
      <c r="D29" t="s">
        <v>6844</v>
      </c>
    </row>
    <row r="30" spans="1:4" x14ac:dyDescent="0.3">
      <c r="A30" t="s">
        <v>119</v>
      </c>
      <c r="B30" t="s">
        <v>6845</v>
      </c>
      <c r="C30" t="s">
        <v>3441</v>
      </c>
      <c r="D30" t="s">
        <v>3114</v>
      </c>
    </row>
    <row r="33" spans="1:4" x14ac:dyDescent="0.3">
      <c r="A33" s="1" t="s">
        <v>6846</v>
      </c>
    </row>
    <row r="34" spans="1:4" x14ac:dyDescent="0.3">
      <c r="A34" s="408" t="s">
        <v>112</v>
      </c>
      <c r="B34" s="408" t="s">
        <v>3191</v>
      </c>
      <c r="C34" s="408" t="s">
        <v>6847</v>
      </c>
      <c r="D34" s="408" t="s">
        <v>3747</v>
      </c>
    </row>
    <row r="35" spans="1:4" x14ac:dyDescent="0.3">
      <c r="A35" t="s">
        <v>2294</v>
      </c>
      <c r="B35" t="s">
        <v>6848</v>
      </c>
      <c r="C35" t="s">
        <v>4022</v>
      </c>
      <c r="D35" t="s">
        <v>6849</v>
      </c>
    </row>
    <row r="36" spans="1:4" x14ac:dyDescent="0.3">
      <c r="A36" t="s">
        <v>4022</v>
      </c>
      <c r="B36" t="s">
        <v>6850</v>
      </c>
      <c r="C36" t="s">
        <v>6851</v>
      </c>
      <c r="D36" t="s">
        <v>6852</v>
      </c>
    </row>
    <row r="37" spans="1:4" x14ac:dyDescent="0.3">
      <c r="A37" t="s">
        <v>2346</v>
      </c>
      <c r="B37" t="s">
        <v>6853</v>
      </c>
      <c r="C37" t="s">
        <v>2599</v>
      </c>
      <c r="D37" t="s">
        <v>6854</v>
      </c>
    </row>
    <row r="38" spans="1:4" x14ac:dyDescent="0.3">
      <c r="A38" t="s">
        <v>2599</v>
      </c>
      <c r="B38" t="s">
        <v>6855</v>
      </c>
      <c r="C38" t="s">
        <v>3140</v>
      </c>
      <c r="D38" t="s">
        <v>6856</v>
      </c>
    </row>
    <row r="39" spans="1:4" x14ac:dyDescent="0.3">
      <c r="A39" t="s">
        <v>3140</v>
      </c>
      <c r="B39" t="s">
        <v>6857</v>
      </c>
      <c r="C39" t="s">
        <v>2163</v>
      </c>
      <c r="D39" t="s">
        <v>6858</v>
      </c>
    </row>
    <row r="42" spans="1:4" ht="18" x14ac:dyDescent="0.35">
      <c r="A42" s="409" t="s">
        <v>6859</v>
      </c>
    </row>
    <row r="44" spans="1:4" x14ac:dyDescent="0.3">
      <c r="A44" s="408" t="s">
        <v>5880</v>
      </c>
      <c r="B44" s="408" t="s">
        <v>383</v>
      </c>
      <c r="C44" s="408" t="s">
        <v>5521</v>
      </c>
      <c r="D44" s="408" t="s">
        <v>5522</v>
      </c>
    </row>
    <row r="45" spans="1:4" x14ac:dyDescent="0.3">
      <c r="A45" t="s">
        <v>112</v>
      </c>
      <c r="B45" t="s">
        <v>6860</v>
      </c>
      <c r="C45" t="s">
        <v>6861</v>
      </c>
      <c r="D45" t="s">
        <v>6862</v>
      </c>
    </row>
    <row r="46" spans="1:4" x14ac:dyDescent="0.3">
      <c r="A46" t="s">
        <v>2278</v>
      </c>
      <c r="B46" t="s">
        <v>6860</v>
      </c>
      <c r="C46" t="s">
        <v>5887</v>
      </c>
      <c r="D46" t="s">
        <v>4096</v>
      </c>
    </row>
    <row r="47" spans="1:4" x14ac:dyDescent="0.3">
      <c r="A47" t="s">
        <v>2</v>
      </c>
      <c r="B47" t="s">
        <v>5524</v>
      </c>
      <c r="C47" t="s">
        <v>6863</v>
      </c>
      <c r="D47" t="s">
        <v>4096</v>
      </c>
    </row>
    <row r="48" spans="1:4" x14ac:dyDescent="0.3">
      <c r="A48" t="s">
        <v>487</v>
      </c>
      <c r="B48" t="s">
        <v>6860</v>
      </c>
      <c r="C48" t="s">
        <v>6864</v>
      </c>
      <c r="D48" t="s">
        <v>3079</v>
      </c>
    </row>
    <row r="49" spans="1:4" x14ac:dyDescent="0.3">
      <c r="A49" t="s">
        <v>3921</v>
      </c>
      <c r="B49" t="s">
        <v>6865</v>
      </c>
      <c r="C49" t="s">
        <v>6866</v>
      </c>
      <c r="D49" t="s">
        <v>4096</v>
      </c>
    </row>
    <row r="50" spans="1:4" x14ac:dyDescent="0.3">
      <c r="A50" t="s">
        <v>5529</v>
      </c>
      <c r="B50" t="s">
        <v>6867</v>
      </c>
      <c r="C50" t="s">
        <v>6868</v>
      </c>
      <c r="D50" t="s">
        <v>6869</v>
      </c>
    </row>
    <row r="51" spans="1:4" x14ac:dyDescent="0.3">
      <c r="A51" t="s">
        <v>6828</v>
      </c>
      <c r="B51" t="s">
        <v>6860</v>
      </c>
      <c r="C51" t="s">
        <v>6870</v>
      </c>
      <c r="D51" t="s">
        <v>4096</v>
      </c>
    </row>
    <row r="52" spans="1:4" x14ac:dyDescent="0.3">
      <c r="A52" t="s">
        <v>4016</v>
      </c>
      <c r="B52" t="s">
        <v>5524</v>
      </c>
      <c r="C52" t="s">
        <v>6871</v>
      </c>
      <c r="D52" t="s">
        <v>4096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Landing Page</vt:lpstr>
      <vt:lpstr>Dashboard</vt:lpstr>
      <vt:lpstr>README</vt:lpstr>
      <vt:lpstr>Technical Specifications</vt:lpstr>
      <vt:lpstr>Reference Data</vt:lpstr>
      <vt:lpstr>Applications</vt:lpstr>
      <vt:lpstr>Users</vt:lpstr>
      <vt:lpstr>Admin (Release Managers)</vt:lpstr>
      <vt:lpstr>Super Admins</vt:lpstr>
      <vt:lpstr>Releases</vt:lpstr>
      <vt:lpstr>Calendar</vt:lpstr>
      <vt:lpstr>Env booking</vt:lpstr>
      <vt:lpstr>Risk Factors</vt:lpstr>
      <vt:lpstr>Risk</vt:lpstr>
      <vt:lpstr>Drift</vt:lpstr>
      <vt:lpstr>Dependencies</vt:lpstr>
      <vt:lpstr>Approvals</vt:lpstr>
      <vt:lpstr>Leave Calendar</vt:lpstr>
      <vt:lpstr>Versions</vt:lpstr>
      <vt:lpstr>System Mapping</vt:lpstr>
      <vt:lpstr>Monitoring Alerts</vt:lpstr>
      <vt:lpstr>Incidents</vt:lpstr>
      <vt:lpstr>Application Status</vt:lpstr>
      <vt:lpstr>Planned Maintenance</vt:lpstr>
      <vt:lpstr>Releases_FS</vt:lpstr>
      <vt:lpstr>Global_Components_FS</vt:lpstr>
      <vt:lpstr>Calendar_FS</vt:lpstr>
      <vt:lpstr>EnvBooking_FS</vt:lpstr>
      <vt:lpstr>RiskFactors_FS</vt:lpstr>
      <vt:lpstr>Drift_FS</vt:lpstr>
      <vt:lpstr>Dependencies_FS</vt:lpstr>
      <vt:lpstr>Approvals_FS</vt:lpstr>
      <vt:lpstr>LeaveCalendar_FS</vt:lpstr>
      <vt:lpstr>Versions_FS</vt:lpstr>
      <vt:lpstr>SystemMapping_FS</vt:lpstr>
      <vt:lpstr>Monitoring_FS</vt:lpstr>
      <vt:lpstr>Incidents_FS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Goddumuri</dc:creator>
  <cp:lastModifiedBy>Guru Goddumuri</cp:lastModifiedBy>
  <dcterms:created xsi:type="dcterms:W3CDTF">2026-06-25T04:35:05Z</dcterms:created>
  <dcterms:modified xsi:type="dcterms:W3CDTF">2026-06-29T14:06:08Z</dcterms:modified>
</cp:coreProperties>
</file>